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art\Downloads\"/>
    </mc:Choice>
  </mc:AlternateContent>
  <xr:revisionPtr revIDLastSave="0" documentId="13_ncr:1_{2B9AEAFB-6FD8-4809-9EF0-BD079E67165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eme" sheetId="1" r:id="rId1"/>
    <sheet name="Mi portafolio" sheetId="2" r:id="rId2"/>
    <sheet name="Acciones" sheetId="3" r:id="rId3"/>
    <sheet name="Correlaciones" sheetId="4" r:id="rId4"/>
    <sheet name="Covarianza" sheetId="5" r:id="rId5"/>
  </sheets>
  <definedNames>
    <definedName name="_xlnm._FilterDatabase" localSheetId="2" hidden="1">Acciones!$A$4:$U$149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Q149" i="5" l="1"/>
  <c r="EQ148" i="5"/>
  <c r="EQ147" i="5"/>
  <c r="EQ146" i="5"/>
  <c r="EQ145" i="5"/>
  <c r="EQ144" i="5"/>
  <c r="EQ143" i="5"/>
  <c r="EQ142" i="5"/>
  <c r="EQ141" i="5"/>
  <c r="EQ140" i="5"/>
  <c r="EQ139" i="5"/>
  <c r="EQ138" i="5"/>
  <c r="EQ137" i="5"/>
  <c r="EQ136" i="5"/>
  <c r="EQ135" i="5"/>
  <c r="EQ134" i="5"/>
  <c r="EQ133" i="5"/>
  <c r="EQ132" i="5"/>
  <c r="EQ131" i="5"/>
  <c r="EQ130" i="5"/>
  <c r="EQ129" i="5"/>
  <c r="EQ128" i="5"/>
  <c r="EQ127" i="5"/>
  <c r="EQ126" i="5"/>
  <c r="EQ125" i="5"/>
  <c r="EQ124" i="5"/>
  <c r="EQ123" i="5"/>
  <c r="EQ122" i="5"/>
  <c r="EQ121" i="5"/>
  <c r="EQ120" i="5"/>
  <c r="EQ119" i="5"/>
  <c r="EQ118" i="5"/>
  <c r="EQ117" i="5"/>
  <c r="EQ116" i="5"/>
  <c r="EQ115" i="5"/>
  <c r="EQ114" i="5"/>
  <c r="EQ113" i="5"/>
  <c r="EQ112" i="5"/>
  <c r="EQ111" i="5"/>
  <c r="EQ110" i="5"/>
  <c r="EQ109" i="5"/>
  <c r="EQ108" i="5"/>
  <c r="EQ107" i="5"/>
  <c r="EQ106" i="5"/>
  <c r="EQ105" i="5"/>
  <c r="EQ104" i="5"/>
  <c r="EQ103" i="5"/>
  <c r="EQ102" i="5"/>
  <c r="EQ101" i="5"/>
  <c r="EQ100" i="5"/>
  <c r="EQ99" i="5"/>
  <c r="EQ98" i="5"/>
  <c r="EQ97" i="5"/>
  <c r="EQ96" i="5"/>
  <c r="EQ95" i="5"/>
  <c r="EQ94" i="5"/>
  <c r="EQ93" i="5"/>
  <c r="EQ92" i="5"/>
  <c r="EQ91" i="5"/>
  <c r="EQ90" i="5"/>
  <c r="EQ89" i="5"/>
  <c r="EQ88" i="5"/>
  <c r="EQ87" i="5"/>
  <c r="EQ86" i="5"/>
  <c r="EQ85" i="5"/>
  <c r="EQ84" i="5"/>
  <c r="EQ83" i="5"/>
  <c r="EQ82" i="5"/>
  <c r="EQ81" i="5"/>
  <c r="EQ80" i="5"/>
  <c r="EQ79" i="5"/>
  <c r="EQ78" i="5"/>
  <c r="EQ77" i="5"/>
  <c r="EQ76" i="5"/>
  <c r="EQ75" i="5"/>
  <c r="EQ74" i="5"/>
  <c r="EQ73" i="5"/>
  <c r="EQ72" i="5"/>
  <c r="EQ71" i="5"/>
  <c r="EQ70" i="5"/>
  <c r="EQ69" i="5"/>
  <c r="EQ68" i="5"/>
  <c r="EQ67" i="5"/>
  <c r="EQ66" i="5"/>
  <c r="EQ65" i="5"/>
  <c r="EQ64" i="5"/>
  <c r="EQ63" i="5"/>
  <c r="EQ62" i="5"/>
  <c r="EQ61" i="5"/>
  <c r="EQ60" i="5"/>
  <c r="EQ59" i="5"/>
  <c r="EQ58" i="5"/>
  <c r="EQ57" i="5"/>
  <c r="EQ56" i="5"/>
  <c r="EQ55" i="5"/>
  <c r="EQ54" i="5"/>
  <c r="EQ53" i="5"/>
  <c r="EQ52" i="5"/>
  <c r="EQ51" i="5"/>
  <c r="EQ50" i="5"/>
  <c r="EQ49" i="5"/>
  <c r="EQ48" i="5"/>
  <c r="EQ47" i="5"/>
  <c r="EQ46" i="5"/>
  <c r="EQ45" i="5"/>
  <c r="EQ44" i="5"/>
  <c r="EQ43" i="5"/>
  <c r="EQ42" i="5"/>
  <c r="EQ41" i="5"/>
  <c r="EQ40" i="5"/>
  <c r="EQ39" i="5"/>
  <c r="EQ38" i="5"/>
  <c r="EQ37" i="5"/>
  <c r="EQ36" i="5"/>
  <c r="EQ35" i="5"/>
  <c r="EQ34" i="5"/>
  <c r="EQ33" i="5"/>
  <c r="EQ32" i="5"/>
  <c r="EQ31" i="5"/>
  <c r="EQ30" i="5"/>
  <c r="EQ29" i="5"/>
  <c r="EQ28" i="5"/>
  <c r="EQ27" i="5"/>
  <c r="EQ26" i="5"/>
  <c r="EQ25" i="5"/>
  <c r="EQ24" i="5"/>
  <c r="EQ23" i="5"/>
  <c r="EQ22" i="5"/>
  <c r="EQ21" i="5"/>
  <c r="EQ20" i="5"/>
  <c r="EQ19" i="5"/>
  <c r="EQ18" i="5"/>
  <c r="EQ17" i="5"/>
  <c r="EQ16" i="5"/>
  <c r="EQ15" i="5"/>
  <c r="EQ14" i="5"/>
  <c r="EQ13" i="5"/>
  <c r="EQ12" i="5"/>
  <c r="EQ11" i="5"/>
  <c r="EQ10" i="5"/>
  <c r="EQ9" i="5"/>
  <c r="EQ8" i="5"/>
  <c r="EQ7" i="5"/>
  <c r="EQ6" i="5"/>
  <c r="EO5" i="5"/>
  <c r="EN5" i="5"/>
  <c r="EM5" i="5"/>
  <c r="EL5" i="5"/>
  <c r="EK5" i="5"/>
  <c r="EJ5" i="5"/>
  <c r="EI5" i="5"/>
  <c r="EH5" i="5"/>
  <c r="EG5" i="5"/>
  <c r="EF5" i="5"/>
  <c r="EE5" i="5"/>
  <c r="ED5" i="5"/>
  <c r="EC5" i="5"/>
  <c r="EB5" i="5"/>
  <c r="EA5" i="5"/>
  <c r="DZ5" i="5"/>
  <c r="DY5" i="5"/>
  <c r="DX5" i="5"/>
  <c r="DW5" i="5"/>
  <c r="DV5" i="5"/>
  <c r="DU5" i="5"/>
  <c r="DT5" i="5"/>
  <c r="DS5" i="5"/>
  <c r="DR5" i="5"/>
  <c r="DQ5" i="5"/>
  <c r="DP5" i="5"/>
  <c r="DO5" i="5"/>
  <c r="DN5" i="5"/>
  <c r="DM5" i="5"/>
  <c r="DL5" i="5"/>
  <c r="DK5" i="5"/>
  <c r="DJ5" i="5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CE5" i="5"/>
  <c r="CD5" i="5"/>
  <c r="CC5" i="5"/>
  <c r="CB5" i="5"/>
  <c r="CA5" i="5"/>
  <c r="BZ5" i="5"/>
  <c r="BY5" i="5"/>
  <c r="BX5" i="5"/>
  <c r="BW5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B25" i="2"/>
  <c r="C25" i="2" s="1"/>
  <c r="B24" i="2"/>
  <c r="C24" i="2" s="1"/>
  <c r="B23" i="2"/>
  <c r="C23" i="2" s="1"/>
  <c r="B22" i="2"/>
  <c r="C22" i="2" s="1"/>
  <c r="O19" i="2"/>
  <c r="N19" i="2"/>
  <c r="J19" i="2"/>
  <c r="K19" i="2" s="1"/>
  <c r="I19" i="2"/>
  <c r="H19" i="2"/>
  <c r="G19" i="2"/>
  <c r="F19" i="2"/>
  <c r="E19" i="2"/>
  <c r="D19" i="2"/>
  <c r="C19" i="2"/>
  <c r="O18" i="2"/>
  <c r="N18" i="2"/>
  <c r="J18" i="2"/>
  <c r="L18" i="2" s="1"/>
  <c r="I18" i="2"/>
  <c r="H18" i="2"/>
  <c r="G18" i="2"/>
  <c r="F18" i="2"/>
  <c r="E18" i="2"/>
  <c r="D18" i="2"/>
  <c r="C18" i="2"/>
  <c r="O17" i="2"/>
  <c r="N17" i="2"/>
  <c r="J17" i="2"/>
  <c r="M17" i="2" s="1"/>
  <c r="I17" i="2"/>
  <c r="H17" i="2"/>
  <c r="G17" i="2"/>
  <c r="F17" i="2"/>
  <c r="E17" i="2"/>
  <c r="D17" i="2"/>
  <c r="C17" i="2"/>
  <c r="O16" i="2"/>
  <c r="N16" i="2"/>
  <c r="J16" i="2"/>
  <c r="M16" i="2" s="1"/>
  <c r="I16" i="2"/>
  <c r="H16" i="2"/>
  <c r="G16" i="2"/>
  <c r="F16" i="2"/>
  <c r="E16" i="2"/>
  <c r="D16" i="2"/>
  <c r="C16" i="2"/>
  <c r="O15" i="2"/>
  <c r="N15" i="2"/>
  <c r="J15" i="2"/>
  <c r="M15" i="2" s="1"/>
  <c r="I15" i="2"/>
  <c r="H15" i="2"/>
  <c r="G15" i="2"/>
  <c r="F15" i="2"/>
  <c r="E15" i="2"/>
  <c r="D15" i="2"/>
  <c r="C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O13" i="2"/>
  <c r="N13" i="2"/>
  <c r="J13" i="2"/>
  <c r="L13" i="2" s="1"/>
  <c r="I13" i="2"/>
  <c r="H13" i="2"/>
  <c r="G13" i="2"/>
  <c r="F13" i="2"/>
  <c r="E13" i="2"/>
  <c r="D13" i="2"/>
  <c r="C13" i="2"/>
  <c r="O12" i="2"/>
  <c r="N12" i="2"/>
  <c r="J12" i="2"/>
  <c r="M12" i="2" s="1"/>
  <c r="I12" i="2"/>
  <c r="H12" i="2"/>
  <c r="G12" i="2"/>
  <c r="E12" i="2"/>
  <c r="F12" i="2" s="1"/>
  <c r="D12" i="2"/>
  <c r="C12" i="2"/>
  <c r="N11" i="2"/>
  <c r="O11" i="2" s="1"/>
  <c r="J11" i="2"/>
  <c r="I11" i="2"/>
  <c r="H11" i="2"/>
  <c r="G11" i="2"/>
  <c r="E11" i="2"/>
  <c r="F11" i="2" s="1"/>
  <c r="D11" i="2"/>
  <c r="C11" i="2"/>
  <c r="N10" i="2"/>
  <c r="O10" i="2" s="1"/>
  <c r="J10" i="2"/>
  <c r="M10" i="2" s="1"/>
  <c r="I10" i="2"/>
  <c r="H10" i="2"/>
  <c r="G10" i="2"/>
  <c r="E10" i="2"/>
  <c r="F10" i="2" s="1"/>
  <c r="D10" i="2"/>
  <c r="C10" i="2"/>
  <c r="O9" i="2"/>
  <c r="N9" i="2"/>
  <c r="J9" i="2"/>
  <c r="I9" i="2"/>
  <c r="H9" i="2"/>
  <c r="G9" i="2"/>
  <c r="E9" i="2"/>
  <c r="F9" i="2" s="1"/>
  <c r="D9" i="2"/>
  <c r="C9" i="2"/>
  <c r="N8" i="2"/>
  <c r="O8" i="2" s="1"/>
  <c r="J8" i="2"/>
  <c r="L8" i="2" s="1"/>
  <c r="I8" i="2"/>
  <c r="H8" i="2"/>
  <c r="G8" i="2"/>
  <c r="E8" i="2"/>
  <c r="F8" i="2" s="1"/>
  <c r="D8" i="2"/>
  <c r="C8" i="2"/>
  <c r="C5" i="2"/>
  <c r="K11" i="2" l="1"/>
  <c r="M19" i="2"/>
  <c r="K9" i="2"/>
  <c r="M13" i="2"/>
  <c r="K15" i="2"/>
  <c r="L15" i="2"/>
  <c r="B33" i="2"/>
  <c r="B26" i="2"/>
  <c r="C26" i="2" s="1"/>
  <c r="L9" i="2"/>
  <c r="M9" i="2"/>
  <c r="K8" i="2"/>
  <c r="M8" i="2"/>
  <c r="EP22" i="5"/>
  <c r="EP149" i="5"/>
  <c r="EP7" i="5"/>
  <c r="EP10" i="5"/>
  <c r="M18" i="2"/>
  <c r="L19" i="2"/>
  <c r="EP6" i="5"/>
  <c r="EP12" i="5"/>
  <c r="EP18" i="5"/>
  <c r="EP24" i="5"/>
  <c r="EP30" i="5"/>
  <c r="EP36" i="5"/>
  <c r="EP42" i="5"/>
  <c r="EP48" i="5"/>
  <c r="EP54" i="5"/>
  <c r="EP60" i="5"/>
  <c r="EP66" i="5"/>
  <c r="EP72" i="5"/>
  <c r="EP78" i="5"/>
  <c r="EP84" i="5"/>
  <c r="EP90" i="5"/>
  <c r="EP96" i="5"/>
  <c r="EP102" i="5"/>
  <c r="EP108" i="5"/>
  <c r="EP114" i="5"/>
  <c r="EP120" i="5"/>
  <c r="EP126" i="5"/>
  <c r="EP132" i="5"/>
  <c r="EP138" i="5"/>
  <c r="EP144" i="5"/>
  <c r="EP37" i="5"/>
  <c r="EP43" i="5"/>
  <c r="EP49" i="5"/>
  <c r="EP55" i="5"/>
  <c r="EP61" i="5"/>
  <c r="EP67" i="5"/>
  <c r="EP73" i="5"/>
  <c r="EP79" i="5"/>
  <c r="EP85" i="5"/>
  <c r="EP91" i="5"/>
  <c r="EP97" i="5"/>
  <c r="EP103" i="5"/>
  <c r="EP109" i="5"/>
  <c r="EP115" i="5"/>
  <c r="EP121" i="5"/>
  <c r="EP127" i="5"/>
  <c r="EP133" i="5"/>
  <c r="EP139" i="5"/>
  <c r="EP145" i="5"/>
  <c r="K10" i="2"/>
  <c r="B27" i="2"/>
  <c r="B28" i="2" s="1"/>
  <c r="EP31" i="5"/>
  <c r="L10" i="2"/>
  <c r="K12" i="2"/>
  <c r="EP8" i="5"/>
  <c r="EP14" i="5"/>
  <c r="EP20" i="5"/>
  <c r="EP26" i="5"/>
  <c r="EP32" i="5"/>
  <c r="EP38" i="5"/>
  <c r="EP44" i="5"/>
  <c r="EP50" i="5"/>
  <c r="EP56" i="5"/>
  <c r="EP62" i="5"/>
  <c r="EP68" i="5"/>
  <c r="EP74" i="5"/>
  <c r="EP80" i="5"/>
  <c r="EP86" i="5"/>
  <c r="EP92" i="5"/>
  <c r="EP98" i="5"/>
  <c r="EP104" i="5"/>
  <c r="EP110" i="5"/>
  <c r="EP116" i="5"/>
  <c r="EP122" i="5"/>
  <c r="EP128" i="5"/>
  <c r="EP134" i="5"/>
  <c r="EP140" i="5"/>
  <c r="EP146" i="5"/>
  <c r="L11" i="2"/>
  <c r="M11" i="2"/>
  <c r="L12" i="2"/>
  <c r="K13" i="2"/>
  <c r="EP9" i="5"/>
  <c r="EP15" i="5"/>
  <c r="EP21" i="5"/>
  <c r="EP27" i="5"/>
  <c r="EP33" i="5"/>
  <c r="EP39" i="5"/>
  <c r="EP45" i="5"/>
  <c r="EP51" i="5"/>
  <c r="EP57" i="5"/>
  <c r="EP63" i="5"/>
  <c r="EP69" i="5"/>
  <c r="EP75" i="5"/>
  <c r="EP81" i="5"/>
  <c r="EP87" i="5"/>
  <c r="EP93" i="5"/>
  <c r="EP99" i="5"/>
  <c r="EP105" i="5"/>
  <c r="EP111" i="5"/>
  <c r="EP117" i="5"/>
  <c r="EP123" i="5"/>
  <c r="EP129" i="5"/>
  <c r="EP135" i="5"/>
  <c r="EP141" i="5"/>
  <c r="EP147" i="5"/>
  <c r="EP19" i="5"/>
  <c r="EP28" i="5"/>
  <c r="EP34" i="5"/>
  <c r="EP40" i="5"/>
  <c r="EP46" i="5"/>
  <c r="EP52" i="5"/>
  <c r="EP58" i="5"/>
  <c r="EP64" i="5"/>
  <c r="EP70" i="5"/>
  <c r="EP76" i="5"/>
  <c r="EP82" i="5"/>
  <c r="EP88" i="5"/>
  <c r="EP94" i="5"/>
  <c r="EP100" i="5"/>
  <c r="EP106" i="5"/>
  <c r="EP112" i="5"/>
  <c r="EP118" i="5"/>
  <c r="EP124" i="5"/>
  <c r="EP130" i="5"/>
  <c r="EP136" i="5"/>
  <c r="EP142" i="5"/>
  <c r="EP148" i="5"/>
  <c r="EP25" i="5"/>
  <c r="EP13" i="5"/>
  <c r="EP16" i="5"/>
  <c r="K17" i="2"/>
  <c r="EP11" i="5"/>
  <c r="EP17" i="5"/>
  <c r="EP23" i="5"/>
  <c r="EP29" i="5"/>
  <c r="EP35" i="5"/>
  <c r="EP41" i="5"/>
  <c r="EP47" i="5"/>
  <c r="EP53" i="5"/>
  <c r="EP59" i="5"/>
  <c r="EP65" i="5"/>
  <c r="EP71" i="5"/>
  <c r="EP77" i="5"/>
  <c r="EP83" i="5"/>
  <c r="EP89" i="5"/>
  <c r="EP95" i="5"/>
  <c r="EP101" i="5"/>
  <c r="EP107" i="5"/>
  <c r="EP113" i="5"/>
  <c r="EP119" i="5"/>
  <c r="EP125" i="5"/>
  <c r="EP131" i="5"/>
  <c r="EP137" i="5"/>
  <c r="EP143" i="5"/>
  <c r="K16" i="2"/>
  <c r="L16" i="2"/>
  <c r="L17" i="2"/>
  <c r="K18" i="2"/>
  <c r="B29" i="2" l="1"/>
  <c r="C29" i="2" s="1"/>
  <c r="B2" i="5"/>
  <c r="B30" i="2" s="1"/>
  <c r="B31" i="2" s="1"/>
  <c r="B32" i="2" s="1"/>
</calcChain>
</file>

<file path=xl/sharedStrings.xml><?xml version="1.0" encoding="utf-8"?>
<sst xmlns="http://schemas.openxmlformats.org/spreadsheetml/2006/main" count="1246" uniqueCount="237">
  <si>
    <t>Reto Actinver 2026: las 145 acciones de la plataforma, con datos y calculadora de portafolio</t>
  </si>
  <si>
    <t>Precios de mercado y cierres al 2026-10-08. Datos descriptivos del pasado: NO son una recomendación de inversión y no predicen lo que va a pasar.</t>
  </si>
  <si>
    <t>Qué hay en cada hoja</t>
  </si>
  <si>
    <t>• Acciones: las 145 de tu monitor (Reto Actinver &gt; Monitores &gt; Acciones), con el precio de compra y de venta que vio la plataforma, la diferencia entre ambos, el volumen disponible y los datos históricos en pesos.</t>
  </si>
  <si>
    <t>• Mi portafolio: eliges emisoras y porcentajes (celdas amarillas). Revisa las reglas del reto, los costos reales (comisión + diferencia compra-venta) y cuánto se ha movido un portafolio así.</t>
  </si>
  <si>
    <t>• Correlaciones / Covarianza: qué tanto se mueven juntas (apoyo de la calculadora).</t>
  </si>
  <si>
    <t>Lo que más cambia el resultado: la diferencia entre precio de compra y de venta</t>
  </si>
  <si>
    <t>• Si compras al precio de venta y vendes al precio de compra, pierdes esa diferencia cada vez que haces el viaje completo. En las mexicanas es de centésimas de punto porcentual; en muchas del exterior (SIC) es de 2% a 5%.</t>
  </si>
  <si>
    <t>• 'Sin contraparte' = hoy no hay quien compre o quien venda (precio $0.00): esa orden no se asigna. Son datos de un instante; cambian durante el día.</t>
  </si>
  <si>
    <t>• Estos precios son una foto del monitor al momento de copiarlo. Vuelve a revisarlo en la plataforma antes de operar.</t>
  </si>
  <si>
    <t>Cómo leer las columnas históricas</t>
  </si>
  <si>
    <t>• Todo está en pesos. En las acciones del exterior se usó el precio en dólares por el tipo de cambio del día (aproximación del precio SIC en pesos).</t>
  </si>
  <si>
    <t>• Volatilidad anual: qué tanto se mueve el precio (desv. estándar de rendimientos diarios del último año, anualizada). Mov. típico ±1σ: lo que suele moverse en 25 sesiones; ~2 de cada 3 veces cae dentro de ese rango.</t>
  </si>
  <si>
    <t>• Peor caída: la mayor baja desde un máximo en el último año. Beta: sensibilidad al IPC. Mejor / peor ventana de 25 sesiones: el mejor y el peor tramo de ese largo en 3 años.</t>
  </si>
  <si>
    <t>• Perfil: tercios de volatilidad entre las 144 con historial. Solo describe el pasado.</t>
  </si>
  <si>
    <t>Reglas del reto usadas (de las bases publicadas; confírmalas)</t>
  </si>
  <si>
    <t>• $1,000,000 virtuales. Mínimo 5 emisoras distintas. Máximo 50% en una acción. Sin ventas en corto. Comisión 0.10% + 16% IVA (0.116%) por operación. Se gana por mayor ganancia absoluta en pesos al 13 de noviembre de 2026.</t>
  </si>
  <si>
    <t>Limitaciones</t>
  </si>
  <si>
    <t>• LASITE B-1 no tiene historial en la fuente (no entra a la calculadora). Las emisoras sin contraparte hoy siguen en la lista pero aparecen marcadas.</t>
  </si>
  <si>
    <t>• Yahoo Finance puede tener huecos o errores en emisoras mexicanas y en SIC. Compara con la plataforma.</t>
  </si>
  <si>
    <t>• No incluye fechas de reporte de resultados del 3T, que suelen mover mucho los precios: revísalas en tu calendario.</t>
  </si>
  <si>
    <t>• El rango ±1σ supone que el futuro se parece al último año; los eventos extremos pasan más seguido de lo que sugiere.</t>
  </si>
  <si>
    <t>Mi portafolio del Reto Actinver 2026</t>
  </si>
  <si>
    <t>Elige emisoras en las celdas amarillas (lista desplegable) y su porcentaje. Todo lo demás se calcula solo.</t>
  </si>
  <si>
    <t>Capital del reto ($)</t>
  </si>
  <si>
    <t>Sesiones que faltan (aprox.)</t>
  </si>
  <si>
    <t>Comisión por operación (0.10% + 16% IVA)</t>
  </si>
  <si>
    <t>Emisora</t>
  </si>
  <si>
    <t>Peso (%)</t>
  </si>
  <si>
    <t>Tipo</t>
  </si>
  <si>
    <t>Perfil por volatilidad</t>
  </si>
  <si>
    <t>Volatilidad anual</t>
  </si>
  <si>
    <t>Mov. típico ±1σ (25 ses.)</t>
  </si>
  <si>
    <t>Peor caída 1 año</t>
  </si>
  <si>
    <t>Diferencia compra-venta</t>
  </si>
  <si>
    <t>¿Operable hoy?</t>
  </si>
  <si>
    <t>Importe a comprar ($)</t>
  </si>
  <si>
    <t>Costo estimado ida y vuelta ($)</t>
  </si>
  <si>
    <t>Peor ventana 25 ses. (3a) en $</t>
  </si>
  <si>
    <t>Mejor ventana 25 ses. (3a) en $</t>
  </si>
  <si>
    <t>Beta</t>
  </si>
  <si>
    <t>Peso × beta</t>
  </si>
  <si>
    <t>Resumen y revisión de reglas</t>
  </si>
  <si>
    <t>Suma de pesos</t>
  </si>
  <si>
    <t>Emisoras distintas (mín. 5)</t>
  </si>
  <si>
    <t>Peso máximo en una emisora (máx. 50%)</t>
  </si>
  <si>
    <t>Emisoras repetidas en la lista</t>
  </si>
  <si>
    <t>Emisoras sin contraparte hoy</t>
  </si>
  <si>
    <t>Total a invertir ($)</t>
  </si>
  <si>
    <t>Comisión total de compra ($)</t>
  </si>
  <si>
    <t>Volatilidad anual del portafolio</t>
  </si>
  <si>
    <t>Usa la correlación entre emisoras (hoja Covarianza).</t>
  </si>
  <si>
    <t>Mov. típico del portafolio (±1σ) en el lapso</t>
  </si>
  <si>
    <t>~2 de cada 3 veces el resultado cae dentro de ± este porcentaje.</t>
  </si>
  <si>
    <t>Mov. típico en pesos (±1σ)</t>
  </si>
  <si>
    <t>Solo la parte invertida; descuenta costos.</t>
  </si>
  <si>
    <t>Beta del portafolio vs IPC (aprox.)</t>
  </si>
  <si>
    <t>1 = se mueve como el IPC; &gt;1 más; &lt;1 menos.</t>
  </si>
  <si>
    <t>Los rangos son históricos y orientativos; el precio real puede salirse de ellos. No es una recomendación de inversión.</t>
  </si>
  <si>
    <t>Las 145 acciones del Reto: mercado y datos históricos (2026-10-08)</t>
  </si>
  <si>
    <t>Ordenadas de menor a mayor volatilidad (las que no tienen historial, al final). Usa los filtros. No es una recomendación de inversión.</t>
  </si>
  <si>
    <t>Último precio ($)</t>
  </si>
  <si>
    <t>Var. del día</t>
  </si>
  <si>
    <t>Precio de compra ($)</t>
  </si>
  <si>
    <t>Precio de venta ($)</t>
  </si>
  <si>
    <t>Volumen compra</t>
  </si>
  <si>
    <t>Volumen venta</t>
  </si>
  <si>
    <t>Rend. 1 mes</t>
  </si>
  <si>
    <t>Rend. 3 meses</t>
  </si>
  <si>
    <t>Rend. 6 meses</t>
  </si>
  <si>
    <t>Rend. 12 meses</t>
  </si>
  <si>
    <t>Volatilidad anual (1 año)</t>
  </si>
  <si>
    <t>Mov. típico ±1σ en 25 sesiones</t>
  </si>
  <si>
    <t>Peor caída (1 año)</t>
  </si>
  <si>
    <t>Beta vs IPC</t>
  </si>
  <si>
    <t>Mejor ventana 25 ses. (3 años)</t>
  </si>
  <si>
    <t>Peor ventana 25 ses. (3 años)</t>
  </si>
  <si>
    <t>BRKB *</t>
  </si>
  <si>
    <t>Exterior (SIC)</t>
  </si>
  <si>
    <t>Sí</t>
  </si>
  <si>
    <t>Menor movimiento</t>
  </si>
  <si>
    <t>SIGMAF A</t>
  </si>
  <si>
    <t>Mexicana</t>
  </si>
  <si>
    <t>LIVEPOL C-1</t>
  </si>
  <si>
    <t>GRUMA B</t>
  </si>
  <si>
    <t>KO *</t>
  </si>
  <si>
    <t>FIBRAMQ 12</t>
  </si>
  <si>
    <t>VESTA *</t>
  </si>
  <si>
    <t>MCD *</t>
  </si>
  <si>
    <t>JNJ *</t>
  </si>
  <si>
    <t>PG *</t>
  </si>
  <si>
    <t>WALMEX *</t>
  </si>
  <si>
    <t>AGNC *</t>
  </si>
  <si>
    <t>PFE *</t>
  </si>
  <si>
    <t>AC *</t>
  </si>
  <si>
    <t>COST *</t>
  </si>
  <si>
    <t>ACTINVR B</t>
  </si>
  <si>
    <t>PEP *</t>
  </si>
  <si>
    <t>CHDRAUI B</t>
  </si>
  <si>
    <t>BAC *</t>
  </si>
  <si>
    <t>GFINBUR O</t>
  </si>
  <si>
    <t>FUNO 11</t>
  </si>
  <si>
    <t>FEMSA UBD</t>
  </si>
  <si>
    <t>JPM *</t>
  </si>
  <si>
    <t>V *</t>
  </si>
  <si>
    <t>KIMBER A</t>
  </si>
  <si>
    <t>KOF UBL</t>
  </si>
  <si>
    <t>MA *</t>
  </si>
  <si>
    <t>FIBRAPL 14</t>
  </si>
  <si>
    <t>AMX B</t>
  </si>
  <si>
    <t>ASUR B</t>
  </si>
  <si>
    <t>PINFRA *</t>
  </si>
  <si>
    <t>T *</t>
  </si>
  <si>
    <t>VZ *</t>
  </si>
  <si>
    <t>CVX *</t>
  </si>
  <si>
    <t>ALSEA *</t>
  </si>
  <si>
    <t>GFNORTE O</t>
  </si>
  <si>
    <t>AAPL *</t>
  </si>
  <si>
    <t>BOLSA A</t>
  </si>
  <si>
    <t>HD *</t>
  </si>
  <si>
    <t>ABBV *</t>
  </si>
  <si>
    <t>DIS *</t>
  </si>
  <si>
    <t>XOM *</t>
  </si>
  <si>
    <t>WFC *</t>
  </si>
  <si>
    <t>BBAJIO O</t>
  </si>
  <si>
    <t>AXP *</t>
  </si>
  <si>
    <t>WMT *</t>
  </si>
  <si>
    <t>BIMBO A</t>
  </si>
  <si>
    <t>GCC *</t>
  </si>
  <si>
    <t>BMY *</t>
  </si>
  <si>
    <t>Movimiento medio</t>
  </si>
  <si>
    <t>SBUX *</t>
  </si>
  <si>
    <t>OMA B</t>
  </si>
  <si>
    <t>FDX *</t>
  </si>
  <si>
    <t>C *</t>
  </si>
  <si>
    <t>Q *</t>
  </si>
  <si>
    <t>R A</t>
  </si>
  <si>
    <t>MRK *</t>
  </si>
  <si>
    <t>MEGA CPO</t>
  </si>
  <si>
    <t>TMO *</t>
  </si>
  <si>
    <t>LAB B</t>
  </si>
  <si>
    <t>CUERVO *</t>
  </si>
  <si>
    <t>SITES1 A-1</t>
  </si>
  <si>
    <t>GAP B</t>
  </si>
  <si>
    <t>TX *</t>
  </si>
  <si>
    <t>TGT *</t>
  </si>
  <si>
    <t>CVS *</t>
  </si>
  <si>
    <t>GOOGL *</t>
  </si>
  <si>
    <t>MSFT *</t>
  </si>
  <si>
    <t>CEMEX CPO</t>
  </si>
  <si>
    <t>WYNN *</t>
  </si>
  <si>
    <t>FANG *</t>
  </si>
  <si>
    <t>Sin contraparte</t>
  </si>
  <si>
    <t>GE *</t>
  </si>
  <si>
    <t>GENTERA *</t>
  </si>
  <si>
    <t>AMZN *</t>
  </si>
  <si>
    <t>LVS *</t>
  </si>
  <si>
    <t>LLY *</t>
  </si>
  <si>
    <t>GM *</t>
  </si>
  <si>
    <t>BA *</t>
  </si>
  <si>
    <t>GCARSO A1</t>
  </si>
  <si>
    <t>ALPEK A</t>
  </si>
  <si>
    <t>UNH *</t>
  </si>
  <si>
    <t>UBER *</t>
  </si>
  <si>
    <t>CSCO *</t>
  </si>
  <si>
    <t>DVN *</t>
  </si>
  <si>
    <t>ABNB *</t>
  </si>
  <si>
    <t>GMEXICO B</t>
  </si>
  <si>
    <t>OXY1 *</t>
  </si>
  <si>
    <t>NFLX *</t>
  </si>
  <si>
    <t>NKE *</t>
  </si>
  <si>
    <t>F *</t>
  </si>
  <si>
    <t>NVDA *</t>
  </si>
  <si>
    <t>ORBIA *</t>
  </si>
  <si>
    <t>TLEVISA CPO</t>
  </si>
  <si>
    <t>GME *</t>
  </si>
  <si>
    <t>DAL *</t>
  </si>
  <si>
    <t>TSM N</t>
  </si>
  <si>
    <t>CAT *</t>
  </si>
  <si>
    <t>ROKU *</t>
  </si>
  <si>
    <t>Mayor movimiento</t>
  </si>
  <si>
    <t>BABA N</t>
  </si>
  <si>
    <t>META *</t>
  </si>
  <si>
    <t>MELI N</t>
  </si>
  <si>
    <t>NU N</t>
  </si>
  <si>
    <t>LUV *</t>
  </si>
  <si>
    <t>ZM *</t>
  </si>
  <si>
    <t>PYPL *</t>
  </si>
  <si>
    <t>TSLA *</t>
  </si>
  <si>
    <t>VOLAR A</t>
  </si>
  <si>
    <t>XYZ *</t>
  </si>
  <si>
    <t>FCX *</t>
  </si>
  <si>
    <t>CRM *</t>
  </si>
  <si>
    <t>B N</t>
  </si>
  <si>
    <t>AVGO *</t>
  </si>
  <si>
    <t>AAL *</t>
  </si>
  <si>
    <t>RCL *</t>
  </si>
  <si>
    <t>UAL *</t>
  </si>
  <si>
    <t>PE&amp;OLES *</t>
  </si>
  <si>
    <t>CCL1 N</t>
  </si>
  <si>
    <t>ETSY *</t>
  </si>
  <si>
    <t>QCOM *</t>
  </si>
  <si>
    <t>NCLH N</t>
  </si>
  <si>
    <t>FSLR *</t>
  </si>
  <si>
    <t>AA1 *</t>
  </si>
  <si>
    <t>PINS *</t>
  </si>
  <si>
    <t>ORCL *</t>
  </si>
  <si>
    <t>SOFI *</t>
  </si>
  <si>
    <t>PLTR *</t>
  </si>
  <si>
    <t>SHOP N</t>
  </si>
  <si>
    <t>AMAT *</t>
  </si>
  <si>
    <t>AFRM *</t>
  </si>
  <si>
    <t>TWLO *</t>
  </si>
  <si>
    <t>NVAX *</t>
  </si>
  <si>
    <t>UPST *</t>
  </si>
  <si>
    <t>MFRISCO A-1</t>
  </si>
  <si>
    <t>RIVN *</t>
  </si>
  <si>
    <t>AMD *</t>
  </si>
  <si>
    <t>CLF *</t>
  </si>
  <si>
    <t>INTC *</t>
  </si>
  <si>
    <t>FUBO *</t>
  </si>
  <si>
    <t>MU *</t>
  </si>
  <si>
    <t>LCID *</t>
  </si>
  <si>
    <t>MARA *</t>
  </si>
  <si>
    <t>RIOT *</t>
  </si>
  <si>
    <t>SPCE *</t>
  </si>
  <si>
    <t>MRNA *</t>
  </si>
  <si>
    <t>BYND *</t>
  </si>
  <si>
    <t>LASITE B-1</t>
  </si>
  <si>
    <t>Sin historial</t>
  </si>
  <si>
    <t>Correlaciones de rendimientos diarios (último año, en pesos)</t>
  </si>
  <si>
    <t>Cerca de 1 = se mueven casi igual (no se diversifican entre sí). Cerca de 0 = independientes.</t>
  </si>
  <si>
    <t>Hoja de apoyo (no tocar): varianza del portafolio = w' · Σ · w</t>
  </si>
  <si>
    <t>Varianza anual del portafolio</t>
  </si>
  <si>
    <t>Σw</t>
  </si>
  <si>
    <t>w</t>
  </si>
  <si>
    <t>w (peso)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</si>
</sst>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00"/>
    <numFmt numFmtId="167" formatCode="0.0000"/>
  </numFmts>
  <fonts count="10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sz val="10"/>
      <name val="Calibri"/>
    </font>
    <font>
      <b/>
      <sz val="11"/>
      <color rgb="FF1F4E78"/>
      <name val="Calibri"/>
    </font>
    <font>
      <i/>
      <sz val="9"/>
      <name val="Calibri"/>
    </font>
    <font>
      <b/>
      <sz val="10"/>
      <color rgb="FFFFFFFF"/>
      <name val="Calibri"/>
    </font>
    <font>
      <b/>
      <sz val="8"/>
      <name val="Calibri"/>
    </font>
    <font>
      <sz val="7"/>
      <name val="Calibri"/>
    </font>
    <font>
      <b/>
      <sz val="10"/>
      <name val="Calibri"/>
    </font>
    <font>
      <b/>
      <sz val="12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  <xf numFmtId="0" fontId="8" fillId="0" borderId="0" xfId="0" applyFont="1"/>
    <xf numFmtId="3" fontId="0" fillId="4" borderId="0" xfId="0" applyNumberFormat="1" applyFill="1"/>
    <xf numFmtId="0" fontId="0" fillId="4" borderId="0" xfId="0" applyFill="1"/>
    <xf numFmtId="165" fontId="0" fillId="0" borderId="0" xfId="0" applyNumberFormat="1"/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164" fontId="0" fillId="4" borderId="1" xfId="0" applyNumberForma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9" fillId="0" borderId="0" xfId="0" applyFont="1"/>
    <xf numFmtId="164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6" fillId="3" borderId="0" xfId="0" applyFont="1" applyFill="1"/>
    <xf numFmtId="2" fontId="7" fillId="0" borderId="0" xfId="0" applyNumberFormat="1" applyFont="1"/>
    <xf numFmtId="167" fontId="0" fillId="0" borderId="0" xfId="0" applyNumberFormat="1"/>
    <xf numFmtId="0" fontId="6" fillId="0" borderId="0" xfId="0" applyFont="1"/>
  </cellXfs>
  <cellStyles count="1">
    <cellStyle name="Normal" xfId="0" builtinId="0"/>
  </cellStyles>
  <dxfs count="8">
    <dxf>
      <font>
        <b/>
        <color rgb="FFC00000"/>
      </font>
      <fill>
        <patternFill patternType="solid">
          <fgColor rgb="FFF8A5A5"/>
          <bgColor rgb="FFF8A5A5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A5A5"/>
          <bgColor rgb="FFF8A5A5"/>
        </patternFill>
      </fill>
    </dxf>
    <dxf>
      <font>
        <b/>
        <color rgb="FFC00000"/>
      </font>
      <fill>
        <patternFill patternType="solid">
          <fgColor rgb="FFF8A5A5"/>
          <bgColor rgb="FFF8A5A5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A5A5"/>
          <bgColor rgb="FFF8A5A5"/>
        </patternFill>
      </fill>
    </dxf>
    <dxf>
      <font>
        <b/>
        <color rgb="FFC00000"/>
      </font>
    </dxf>
    <dxf>
      <font>
        <b/>
        <color rgb="FF008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8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125" customWidth="1"/>
  </cols>
  <sheetData>
    <row r="2" spans="2:2" ht="18.75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/>
    </row>
    <row r="5" spans="2:2" x14ac:dyDescent="0.25">
      <c r="B5" s="3" t="s">
        <v>2</v>
      </c>
    </row>
    <row r="6" spans="2:2" ht="25.5" x14ac:dyDescent="0.25">
      <c r="B6" s="2" t="s">
        <v>3</v>
      </c>
    </row>
    <row r="7" spans="2:2" ht="25.5" x14ac:dyDescent="0.25">
      <c r="B7" s="2" t="s">
        <v>4</v>
      </c>
    </row>
    <row r="8" spans="2:2" x14ac:dyDescent="0.25">
      <c r="B8" s="2" t="s">
        <v>5</v>
      </c>
    </row>
    <row r="9" spans="2:2" x14ac:dyDescent="0.25">
      <c r="B9" s="2"/>
    </row>
    <row r="10" spans="2:2" x14ac:dyDescent="0.25">
      <c r="B10" s="3" t="s">
        <v>6</v>
      </c>
    </row>
    <row r="11" spans="2:2" ht="25.5" x14ac:dyDescent="0.25">
      <c r="B11" s="2" t="s">
        <v>7</v>
      </c>
    </row>
    <row r="12" spans="2:2" x14ac:dyDescent="0.25">
      <c r="B12" s="2" t="s">
        <v>8</v>
      </c>
    </row>
    <row r="13" spans="2:2" x14ac:dyDescent="0.25">
      <c r="B13" s="2" t="s">
        <v>9</v>
      </c>
    </row>
    <row r="14" spans="2:2" x14ac:dyDescent="0.25">
      <c r="B14" s="2"/>
    </row>
    <row r="15" spans="2:2" x14ac:dyDescent="0.25">
      <c r="B15" s="3" t="s">
        <v>10</v>
      </c>
    </row>
    <row r="16" spans="2:2" x14ac:dyDescent="0.25">
      <c r="B16" s="2" t="s">
        <v>11</v>
      </c>
    </row>
    <row r="17" spans="2:2" ht="25.5" x14ac:dyDescent="0.25">
      <c r="B17" s="2" t="s">
        <v>12</v>
      </c>
    </row>
    <row r="18" spans="2:2" ht="25.5" x14ac:dyDescent="0.25">
      <c r="B18" s="2" t="s">
        <v>13</v>
      </c>
    </row>
    <row r="19" spans="2:2" x14ac:dyDescent="0.25">
      <c r="B19" s="2" t="s">
        <v>14</v>
      </c>
    </row>
    <row r="20" spans="2:2" x14ac:dyDescent="0.25">
      <c r="B20" s="2"/>
    </row>
    <row r="21" spans="2:2" x14ac:dyDescent="0.25">
      <c r="B21" s="3" t="s">
        <v>15</v>
      </c>
    </row>
    <row r="22" spans="2:2" ht="25.5" x14ac:dyDescent="0.25">
      <c r="B22" s="2" t="s">
        <v>16</v>
      </c>
    </row>
    <row r="23" spans="2:2" x14ac:dyDescent="0.25">
      <c r="B23" s="2"/>
    </row>
    <row r="24" spans="2:2" x14ac:dyDescent="0.25">
      <c r="B24" s="3" t="s">
        <v>17</v>
      </c>
    </row>
    <row r="25" spans="2:2" x14ac:dyDescent="0.25">
      <c r="B25" s="2" t="s">
        <v>18</v>
      </c>
    </row>
    <row r="26" spans="2:2" x14ac:dyDescent="0.25">
      <c r="B26" s="2" t="s">
        <v>19</v>
      </c>
    </row>
    <row r="27" spans="2:2" x14ac:dyDescent="0.25">
      <c r="B27" s="2" t="s">
        <v>20</v>
      </c>
    </row>
    <row r="28" spans="2:2" x14ac:dyDescent="0.25">
      <c r="B28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showGridLines="0" tabSelected="1" workbookViewId="0">
      <selection activeCell="A8" sqref="A8"/>
    </sheetView>
  </sheetViews>
  <sheetFormatPr baseColWidth="10" defaultColWidth="9.140625" defaultRowHeight="15" x14ac:dyDescent="0.25"/>
  <cols>
    <col min="1" max="1" width="38" customWidth="1"/>
    <col min="2" max="2" width="9" customWidth="1"/>
    <col min="3" max="3" width="14" customWidth="1"/>
    <col min="4" max="4" width="17" customWidth="1"/>
    <col min="5" max="5" width="10" customWidth="1"/>
    <col min="6" max="6" width="11" customWidth="1"/>
    <col min="7" max="7" width="10" customWidth="1"/>
    <col min="8" max="8" width="11" customWidth="1"/>
    <col min="9" max="9" width="12" customWidth="1"/>
    <col min="10" max="10" width="14" customWidth="1"/>
    <col min="11" max="13" width="15" customWidth="1"/>
    <col min="14" max="14" width="7" customWidth="1"/>
    <col min="15" max="15" width="9" customWidth="1"/>
  </cols>
  <sheetData>
    <row r="1" spans="1:15" ht="18.75" x14ac:dyDescent="0.3">
      <c r="A1" s="4" t="s">
        <v>22</v>
      </c>
    </row>
    <row r="2" spans="1:15" x14ac:dyDescent="0.25">
      <c r="A2" s="5" t="s">
        <v>23</v>
      </c>
    </row>
    <row r="4" spans="1:15" x14ac:dyDescent="0.25">
      <c r="A4" s="6" t="s">
        <v>24</v>
      </c>
      <c r="C4" s="7">
        <v>1000000</v>
      </c>
      <c r="E4" s="6" t="s">
        <v>25</v>
      </c>
      <c r="H4" s="8">
        <v>25</v>
      </c>
    </row>
    <row r="5" spans="1:15" x14ac:dyDescent="0.25">
      <c r="A5" s="6" t="s">
        <v>26</v>
      </c>
      <c r="C5" s="9">
        <f>0.001*1.16</f>
        <v>1.16E-3</v>
      </c>
    </row>
    <row r="7" spans="1:15" ht="48" customHeight="1" x14ac:dyDescent="0.25">
      <c r="A7" s="10" t="s">
        <v>27</v>
      </c>
      <c r="B7" s="10" t="s">
        <v>28</v>
      </c>
      <c r="C7" s="10" t="s">
        <v>29</v>
      </c>
      <c r="D7" s="10" t="s">
        <v>30</v>
      </c>
      <c r="E7" s="10" t="s">
        <v>31</v>
      </c>
      <c r="F7" s="10" t="s">
        <v>32</v>
      </c>
      <c r="G7" s="10" t="s">
        <v>33</v>
      </c>
      <c r="H7" s="10" t="s">
        <v>34</v>
      </c>
      <c r="I7" s="10" t="s">
        <v>35</v>
      </c>
      <c r="J7" s="10" t="s">
        <v>36</v>
      </c>
      <c r="K7" s="10" t="s">
        <v>37</v>
      </c>
      <c r="L7" s="10" t="s">
        <v>38</v>
      </c>
      <c r="M7" s="10" t="s">
        <v>39</v>
      </c>
      <c r="N7" s="10" t="s">
        <v>40</v>
      </c>
      <c r="O7" s="10" t="s">
        <v>41</v>
      </c>
    </row>
    <row r="8" spans="1:15" x14ac:dyDescent="0.25">
      <c r="A8" s="11"/>
      <c r="B8" s="12"/>
      <c r="C8" s="13" t="str">
        <f>IF($A8="","",INDEX(Acciones!$B$5:$B$148,MATCH($A8,Acciones!$A$5:$A$148,0)))</f>
        <v/>
      </c>
      <c r="D8" s="13" t="str">
        <f>IF($A8="","",INDEX(Acciones!$U$5:$U$148,MATCH($A8,Acciones!$A$5:$A$148,0)))</f>
        <v/>
      </c>
      <c r="E8" s="14" t="str">
        <f>IF($A8="","",INDEX(Acciones!$O$5:$O$148,MATCH($A8,Acciones!$A$5:$A$148,0)))</f>
        <v/>
      </c>
      <c r="F8" s="14" t="str">
        <f t="shared" ref="F8:F19" si="0">IF($A8="","",E8*SQRT($H$4/252))</f>
        <v/>
      </c>
      <c r="G8" s="14" t="str">
        <f>IF($A8="","",INDEX(Acciones!$Q$5:$Q$148,MATCH($A8,Acciones!$A$5:$A$148,0)))</f>
        <v/>
      </c>
      <c r="H8" s="15" t="str">
        <f>IF($A8="","",IF(INDEX(Acciones!$G$5:$G$148,MATCH($A8,Acciones!$A$5:$A$148,0))="","n/d",INDEX(Acciones!$G$5:$G$148,MATCH($A8,Acciones!$A$5:$A$148,0))))</f>
        <v/>
      </c>
      <c r="I8" s="13" t="str">
        <f>IF($A8="","",INDEX(Acciones!$J$5:$J$148,MATCH($A8,Acciones!$A$5:$A$148,0)))</f>
        <v/>
      </c>
      <c r="J8" s="16" t="str">
        <f t="shared" ref="J8:J19" si="1">IF(OR($A8="",$B8=""),"",$B8*$C$4)</f>
        <v/>
      </c>
      <c r="K8" s="16" t="str">
        <f t="shared" ref="K8:K19" si="2">IF(J8="","",J8*(IF(ISNUMBER(H8),H8,0)+2*$C$5))</f>
        <v/>
      </c>
      <c r="L8" s="16" t="str">
        <f>IF(J8="","",J8*INDEX(Acciones!$T$5:$T$148,MATCH($A8,Acciones!$A$5:$A$148,0)))</f>
        <v/>
      </c>
      <c r="M8" s="16" t="str">
        <f>IF(J8="","",J8*INDEX(Acciones!$S$5:$S$148,MATCH($A8,Acciones!$A$5:$A$148,0)))</f>
        <v/>
      </c>
      <c r="N8" s="17" t="str">
        <f>IF($A8="","",INDEX(Acciones!$R$5:$R$148,MATCH($A8,Acciones!$A$5:$A$148,0)))</f>
        <v/>
      </c>
      <c r="O8" s="18">
        <f t="shared" ref="O8:O19" si="3">IF(OR($A8="",$B8=""),0,$B8*N8)</f>
        <v>0</v>
      </c>
    </row>
    <row r="9" spans="1:15" x14ac:dyDescent="0.25">
      <c r="A9" s="11"/>
      <c r="B9" s="12"/>
      <c r="C9" s="13" t="str">
        <f>IF($A9="","",INDEX(Acciones!$B$5:$B$148,MATCH($A9,Acciones!$A$5:$A$148,0)))</f>
        <v/>
      </c>
      <c r="D9" s="13" t="str">
        <f>IF($A9="","",INDEX(Acciones!$U$5:$U$148,MATCH($A9,Acciones!$A$5:$A$148,0)))</f>
        <v/>
      </c>
      <c r="E9" s="14" t="str">
        <f>IF($A9="","",INDEX(Acciones!$O$5:$O$148,MATCH($A9,Acciones!$A$5:$A$148,0)))</f>
        <v/>
      </c>
      <c r="F9" s="14" t="str">
        <f t="shared" si="0"/>
        <v/>
      </c>
      <c r="G9" s="14" t="str">
        <f>IF($A9="","",INDEX(Acciones!$Q$5:$Q$148,MATCH($A9,Acciones!$A$5:$A$148,0)))</f>
        <v/>
      </c>
      <c r="H9" s="15" t="str">
        <f>IF($A9="","",IF(INDEX(Acciones!$G$5:$G$148,MATCH($A9,Acciones!$A$5:$A$148,0))="","n/d",INDEX(Acciones!$G$5:$G$148,MATCH($A9,Acciones!$A$5:$A$148,0))))</f>
        <v/>
      </c>
      <c r="I9" s="13" t="str">
        <f>IF($A9="","",INDEX(Acciones!$J$5:$J$148,MATCH($A9,Acciones!$A$5:$A$148,0)))</f>
        <v/>
      </c>
      <c r="J9" s="16" t="str">
        <f t="shared" si="1"/>
        <v/>
      </c>
      <c r="K9" s="16" t="str">
        <f t="shared" si="2"/>
        <v/>
      </c>
      <c r="L9" s="16" t="str">
        <f>IF(J9="","",J9*INDEX(Acciones!$T$5:$T$148,MATCH($A9,Acciones!$A$5:$A$148,0)))</f>
        <v/>
      </c>
      <c r="M9" s="16" t="str">
        <f>IF(J9="","",J9*INDEX(Acciones!$S$5:$S$148,MATCH($A9,Acciones!$A$5:$A$148,0)))</f>
        <v/>
      </c>
      <c r="N9" s="17" t="str">
        <f>IF($A9="","",INDEX(Acciones!$R$5:$R$148,MATCH($A9,Acciones!$A$5:$A$148,0)))</f>
        <v/>
      </c>
      <c r="O9" s="18">
        <f t="shared" si="3"/>
        <v>0</v>
      </c>
    </row>
    <row r="10" spans="1:15" x14ac:dyDescent="0.25">
      <c r="A10" s="11"/>
      <c r="B10" s="12"/>
      <c r="C10" s="13" t="str">
        <f>IF($A10="","",INDEX(Acciones!$B$5:$B$148,MATCH($A10,Acciones!$A$5:$A$148,0)))</f>
        <v/>
      </c>
      <c r="D10" s="13" t="str">
        <f>IF($A10="","",INDEX(Acciones!$U$5:$U$148,MATCH($A10,Acciones!$A$5:$A$148,0)))</f>
        <v/>
      </c>
      <c r="E10" s="14" t="str">
        <f>IF($A10="","",INDEX(Acciones!$O$5:$O$148,MATCH($A10,Acciones!$A$5:$A$148,0)))</f>
        <v/>
      </c>
      <c r="F10" s="14" t="str">
        <f t="shared" si="0"/>
        <v/>
      </c>
      <c r="G10" s="14" t="str">
        <f>IF($A10="","",INDEX(Acciones!$Q$5:$Q$148,MATCH($A10,Acciones!$A$5:$A$148,0)))</f>
        <v/>
      </c>
      <c r="H10" s="15" t="str">
        <f>IF($A10="","",IF(INDEX(Acciones!$G$5:$G$148,MATCH($A10,Acciones!$A$5:$A$148,0))="","n/d",INDEX(Acciones!$G$5:$G$148,MATCH($A10,Acciones!$A$5:$A$148,0))))</f>
        <v/>
      </c>
      <c r="I10" s="13" t="str">
        <f>IF($A10="","",INDEX(Acciones!$J$5:$J$148,MATCH($A10,Acciones!$A$5:$A$148,0)))</f>
        <v/>
      </c>
      <c r="J10" s="16" t="str">
        <f t="shared" si="1"/>
        <v/>
      </c>
      <c r="K10" s="16" t="str">
        <f t="shared" si="2"/>
        <v/>
      </c>
      <c r="L10" s="16" t="str">
        <f>IF(J10="","",J10*INDEX(Acciones!$T$5:$T$148,MATCH($A10,Acciones!$A$5:$A$148,0)))</f>
        <v/>
      </c>
      <c r="M10" s="16" t="str">
        <f>IF(J10="","",J10*INDEX(Acciones!$S$5:$S$148,MATCH($A10,Acciones!$A$5:$A$148,0)))</f>
        <v/>
      </c>
      <c r="N10" s="17" t="str">
        <f>IF($A10="","",INDEX(Acciones!$R$5:$R$148,MATCH($A10,Acciones!$A$5:$A$148,0)))</f>
        <v/>
      </c>
      <c r="O10" s="18">
        <f t="shared" si="3"/>
        <v>0</v>
      </c>
    </row>
    <row r="11" spans="1:15" x14ac:dyDescent="0.25">
      <c r="A11" s="11"/>
      <c r="B11" s="12"/>
      <c r="C11" s="13" t="str">
        <f>IF($A11="","",INDEX(Acciones!$B$5:$B$148,MATCH($A11,Acciones!$A$5:$A$148,0)))</f>
        <v/>
      </c>
      <c r="D11" s="13" t="str">
        <f>IF($A11="","",INDEX(Acciones!$U$5:$U$148,MATCH($A11,Acciones!$A$5:$A$148,0)))</f>
        <v/>
      </c>
      <c r="E11" s="14" t="str">
        <f>IF($A11="","",INDEX(Acciones!$O$5:$O$148,MATCH($A11,Acciones!$A$5:$A$148,0)))</f>
        <v/>
      </c>
      <c r="F11" s="14" t="str">
        <f t="shared" si="0"/>
        <v/>
      </c>
      <c r="G11" s="14" t="str">
        <f>IF($A11="","",INDEX(Acciones!$Q$5:$Q$148,MATCH($A11,Acciones!$A$5:$A$148,0)))</f>
        <v/>
      </c>
      <c r="H11" s="15" t="str">
        <f>IF($A11="","",IF(INDEX(Acciones!$G$5:$G$148,MATCH($A11,Acciones!$A$5:$A$148,0))="","n/d",INDEX(Acciones!$G$5:$G$148,MATCH($A11,Acciones!$A$5:$A$148,0))))</f>
        <v/>
      </c>
      <c r="I11" s="13" t="str">
        <f>IF($A11="","",INDEX(Acciones!$J$5:$J$148,MATCH($A11,Acciones!$A$5:$A$148,0)))</f>
        <v/>
      </c>
      <c r="J11" s="16" t="str">
        <f t="shared" si="1"/>
        <v/>
      </c>
      <c r="K11" s="16" t="str">
        <f t="shared" si="2"/>
        <v/>
      </c>
      <c r="L11" s="16" t="str">
        <f>IF(J11="","",J11*INDEX(Acciones!$T$5:$T$148,MATCH($A11,Acciones!$A$5:$A$148,0)))</f>
        <v/>
      </c>
      <c r="M11" s="16" t="str">
        <f>IF(J11="","",J11*INDEX(Acciones!$S$5:$S$148,MATCH($A11,Acciones!$A$5:$A$148,0)))</f>
        <v/>
      </c>
      <c r="N11" s="17" t="str">
        <f>IF($A11="","",INDEX(Acciones!$R$5:$R$148,MATCH($A11,Acciones!$A$5:$A$148,0)))</f>
        <v/>
      </c>
      <c r="O11" s="18">
        <f t="shared" si="3"/>
        <v>0</v>
      </c>
    </row>
    <row r="12" spans="1:15" x14ac:dyDescent="0.25">
      <c r="A12" s="11"/>
      <c r="B12" s="12"/>
      <c r="C12" s="13" t="str">
        <f>IF($A12="","",INDEX(Acciones!$B$5:$B$148,MATCH($A12,Acciones!$A$5:$A$148,0)))</f>
        <v/>
      </c>
      <c r="D12" s="13" t="str">
        <f>IF($A12="","",INDEX(Acciones!$U$5:$U$148,MATCH($A12,Acciones!$A$5:$A$148,0)))</f>
        <v/>
      </c>
      <c r="E12" s="14" t="str">
        <f>IF($A12="","",INDEX(Acciones!$O$5:$O$148,MATCH($A12,Acciones!$A$5:$A$148,0)))</f>
        <v/>
      </c>
      <c r="F12" s="14" t="str">
        <f t="shared" si="0"/>
        <v/>
      </c>
      <c r="G12" s="14" t="str">
        <f>IF($A12="","",INDEX(Acciones!$Q$5:$Q$148,MATCH($A12,Acciones!$A$5:$A$148,0)))</f>
        <v/>
      </c>
      <c r="H12" s="15" t="str">
        <f>IF($A12="","",IF(INDEX(Acciones!$G$5:$G$148,MATCH($A12,Acciones!$A$5:$A$148,0))="","n/d",INDEX(Acciones!$G$5:$G$148,MATCH($A12,Acciones!$A$5:$A$148,0))))</f>
        <v/>
      </c>
      <c r="I12" s="13" t="str">
        <f>IF($A12="","",INDEX(Acciones!$J$5:$J$148,MATCH($A12,Acciones!$A$5:$A$148,0)))</f>
        <v/>
      </c>
      <c r="J12" s="16" t="str">
        <f t="shared" si="1"/>
        <v/>
      </c>
      <c r="K12" s="16" t="str">
        <f t="shared" si="2"/>
        <v/>
      </c>
      <c r="L12" s="16" t="str">
        <f>IF(J12="","",J12*INDEX(Acciones!$T$5:$T$148,MATCH($A12,Acciones!$A$5:$A$148,0)))</f>
        <v/>
      </c>
      <c r="M12" s="16" t="str">
        <f>IF(J12="","",J12*INDEX(Acciones!$S$5:$S$148,MATCH($A12,Acciones!$A$5:$A$148,0)))</f>
        <v/>
      </c>
      <c r="N12" s="17" t="str">
        <f>IF($A12="","",INDEX(Acciones!$R$5:$R$148,MATCH($A12,Acciones!$A$5:$A$148,0)))</f>
        <v/>
      </c>
      <c r="O12" s="18">
        <f t="shared" si="3"/>
        <v>0</v>
      </c>
    </row>
    <row r="13" spans="1:15" x14ac:dyDescent="0.25">
      <c r="A13" s="11"/>
      <c r="B13" s="12"/>
      <c r="C13" s="13" t="str">
        <f>IF($A13="","",INDEX(Acciones!$B$5:$B$148,MATCH($A13,Acciones!$A$5:$A$148,0)))</f>
        <v/>
      </c>
      <c r="D13" s="13" t="str">
        <f>IF($A13="","",INDEX(Acciones!$U$5:$U$148,MATCH($A13,Acciones!$A$5:$A$148,0)))</f>
        <v/>
      </c>
      <c r="E13" s="14" t="str">
        <f>IF($A13="","",INDEX(Acciones!$O$5:$O$148,MATCH($A13,Acciones!$A$5:$A$148,0)))</f>
        <v/>
      </c>
      <c r="F13" s="14" t="str">
        <f t="shared" si="0"/>
        <v/>
      </c>
      <c r="G13" s="14" t="str">
        <f>IF($A13="","",INDEX(Acciones!$Q$5:$Q$148,MATCH($A13,Acciones!$A$5:$A$148,0)))</f>
        <v/>
      </c>
      <c r="H13" s="15" t="str">
        <f>IF($A13="","",IF(INDEX(Acciones!$G$5:$G$148,MATCH($A13,Acciones!$A$5:$A$148,0))="","n/d",INDEX(Acciones!$G$5:$G$148,MATCH($A13,Acciones!$A$5:$A$148,0))))</f>
        <v/>
      </c>
      <c r="I13" s="13" t="str">
        <f>IF($A13="","",INDEX(Acciones!$J$5:$J$148,MATCH($A13,Acciones!$A$5:$A$148,0)))</f>
        <v/>
      </c>
      <c r="J13" s="16" t="str">
        <f t="shared" si="1"/>
        <v/>
      </c>
      <c r="K13" s="16" t="str">
        <f t="shared" si="2"/>
        <v/>
      </c>
      <c r="L13" s="16" t="str">
        <f>IF(J13="","",J13*INDEX(Acciones!$T$5:$T$148,MATCH($A13,Acciones!$A$5:$A$148,0)))</f>
        <v/>
      </c>
      <c r="M13" s="16" t="str">
        <f>IF(J13="","",J13*INDEX(Acciones!$S$5:$S$148,MATCH($A13,Acciones!$A$5:$A$148,0)))</f>
        <v/>
      </c>
      <c r="N13" s="17" t="str">
        <f>IF($A13="","",INDEX(Acciones!$R$5:$R$148,MATCH($A13,Acciones!$A$5:$A$148,0)))</f>
        <v/>
      </c>
      <c r="O13" s="18">
        <f t="shared" si="3"/>
        <v>0</v>
      </c>
    </row>
    <row r="14" spans="1:15" x14ac:dyDescent="0.25">
      <c r="A14" s="11"/>
      <c r="B14" s="12"/>
      <c r="C14" s="13" t="str">
        <f>IF($A14="","",INDEX(Acciones!$B$5:$B$148,MATCH($A14,Acciones!$A$5:$A$148,0)))</f>
        <v/>
      </c>
      <c r="D14" s="13" t="str">
        <f>IF($A14="","",INDEX(Acciones!$U$5:$U$148,MATCH($A14,Acciones!$A$5:$A$148,0)))</f>
        <v/>
      </c>
      <c r="E14" s="14" t="str">
        <f>IF($A14="","",INDEX(Acciones!$O$5:$O$148,MATCH($A14,Acciones!$A$5:$A$148,0)))</f>
        <v/>
      </c>
      <c r="F14" s="14" t="str">
        <f t="shared" si="0"/>
        <v/>
      </c>
      <c r="G14" s="14" t="str">
        <f>IF($A14="","",INDEX(Acciones!$Q$5:$Q$148,MATCH($A14,Acciones!$A$5:$A$148,0)))</f>
        <v/>
      </c>
      <c r="H14" s="15" t="str">
        <f>IF($A14="","",IF(INDEX(Acciones!$G$5:$G$148,MATCH($A14,Acciones!$A$5:$A$148,0))="","n/d",INDEX(Acciones!$G$5:$G$148,MATCH($A14,Acciones!$A$5:$A$148,0))))</f>
        <v/>
      </c>
      <c r="I14" s="13" t="str">
        <f>IF($A14="","",INDEX(Acciones!$J$5:$J$148,MATCH($A14,Acciones!$A$5:$A$148,0)))</f>
        <v/>
      </c>
      <c r="J14" s="16" t="str">
        <f t="shared" si="1"/>
        <v/>
      </c>
      <c r="K14" s="16" t="str">
        <f t="shared" si="2"/>
        <v/>
      </c>
      <c r="L14" s="16" t="str">
        <f>IF(J14="","",J14*INDEX(Acciones!$T$5:$T$148,MATCH($A14,Acciones!$A$5:$A$148,0)))</f>
        <v/>
      </c>
      <c r="M14" s="16" t="str">
        <f>IF(J14="","",J14*INDEX(Acciones!$S$5:$S$148,MATCH($A14,Acciones!$A$5:$A$148,0)))</f>
        <v/>
      </c>
      <c r="N14" s="17" t="str">
        <f>IF($A14="","",INDEX(Acciones!$R$5:$R$148,MATCH($A14,Acciones!$A$5:$A$148,0)))</f>
        <v/>
      </c>
      <c r="O14" s="18">
        <f t="shared" si="3"/>
        <v>0</v>
      </c>
    </row>
    <row r="15" spans="1:15" x14ac:dyDescent="0.25">
      <c r="A15" s="11"/>
      <c r="B15" s="12"/>
      <c r="C15" s="13" t="str">
        <f>IF($A15="","",INDEX(Acciones!$B$5:$B$148,MATCH($A15,Acciones!$A$5:$A$148,0)))</f>
        <v/>
      </c>
      <c r="D15" s="13" t="str">
        <f>IF($A15="","",INDEX(Acciones!$U$5:$U$148,MATCH($A15,Acciones!$A$5:$A$148,0)))</f>
        <v/>
      </c>
      <c r="E15" s="14" t="str">
        <f>IF($A15="","",INDEX(Acciones!$O$5:$O$148,MATCH($A15,Acciones!$A$5:$A$148,0)))</f>
        <v/>
      </c>
      <c r="F15" s="14" t="str">
        <f t="shared" si="0"/>
        <v/>
      </c>
      <c r="G15" s="14" t="str">
        <f>IF($A15="","",INDEX(Acciones!$Q$5:$Q$148,MATCH($A15,Acciones!$A$5:$A$148,0)))</f>
        <v/>
      </c>
      <c r="H15" s="15" t="str">
        <f>IF($A15="","",IF(INDEX(Acciones!$G$5:$G$148,MATCH($A15,Acciones!$A$5:$A$148,0))="","n/d",INDEX(Acciones!$G$5:$G$148,MATCH($A15,Acciones!$A$5:$A$148,0))))</f>
        <v/>
      </c>
      <c r="I15" s="13" t="str">
        <f>IF($A15="","",INDEX(Acciones!$J$5:$J$148,MATCH($A15,Acciones!$A$5:$A$148,0)))</f>
        <v/>
      </c>
      <c r="J15" s="16" t="str">
        <f t="shared" si="1"/>
        <v/>
      </c>
      <c r="K15" s="16" t="str">
        <f t="shared" si="2"/>
        <v/>
      </c>
      <c r="L15" s="16" t="str">
        <f>IF(J15="","",J15*INDEX(Acciones!$T$5:$T$148,MATCH($A15,Acciones!$A$5:$A$148,0)))</f>
        <v/>
      </c>
      <c r="M15" s="16" t="str">
        <f>IF(J15="","",J15*INDEX(Acciones!$S$5:$S$148,MATCH($A15,Acciones!$A$5:$A$148,0)))</f>
        <v/>
      </c>
      <c r="N15" s="17" t="str">
        <f>IF($A15="","",INDEX(Acciones!$R$5:$R$148,MATCH($A15,Acciones!$A$5:$A$148,0)))</f>
        <v/>
      </c>
      <c r="O15" s="18">
        <f t="shared" si="3"/>
        <v>0</v>
      </c>
    </row>
    <row r="16" spans="1:15" x14ac:dyDescent="0.25">
      <c r="A16" s="11"/>
      <c r="B16" s="12"/>
      <c r="C16" s="13" t="str">
        <f>IF($A16="","",INDEX(Acciones!$B$5:$B$148,MATCH($A16,Acciones!$A$5:$A$148,0)))</f>
        <v/>
      </c>
      <c r="D16" s="13" t="str">
        <f>IF($A16="","",INDEX(Acciones!$U$5:$U$148,MATCH($A16,Acciones!$A$5:$A$148,0)))</f>
        <v/>
      </c>
      <c r="E16" s="14" t="str">
        <f>IF($A16="","",INDEX(Acciones!$O$5:$O$148,MATCH($A16,Acciones!$A$5:$A$148,0)))</f>
        <v/>
      </c>
      <c r="F16" s="14" t="str">
        <f t="shared" si="0"/>
        <v/>
      </c>
      <c r="G16" s="14" t="str">
        <f>IF($A16="","",INDEX(Acciones!$Q$5:$Q$148,MATCH($A16,Acciones!$A$5:$A$148,0)))</f>
        <v/>
      </c>
      <c r="H16" s="15" t="str">
        <f>IF($A16="","",IF(INDEX(Acciones!$G$5:$G$148,MATCH($A16,Acciones!$A$5:$A$148,0))="","n/d",INDEX(Acciones!$G$5:$G$148,MATCH($A16,Acciones!$A$5:$A$148,0))))</f>
        <v/>
      </c>
      <c r="I16" s="13" t="str">
        <f>IF($A16="","",INDEX(Acciones!$J$5:$J$148,MATCH($A16,Acciones!$A$5:$A$148,0)))</f>
        <v/>
      </c>
      <c r="J16" s="16" t="str">
        <f t="shared" si="1"/>
        <v/>
      </c>
      <c r="K16" s="16" t="str">
        <f t="shared" si="2"/>
        <v/>
      </c>
      <c r="L16" s="16" t="str">
        <f>IF(J16="","",J16*INDEX(Acciones!$T$5:$T$148,MATCH($A16,Acciones!$A$5:$A$148,0)))</f>
        <v/>
      </c>
      <c r="M16" s="16" t="str">
        <f>IF(J16="","",J16*INDEX(Acciones!$S$5:$S$148,MATCH($A16,Acciones!$A$5:$A$148,0)))</f>
        <v/>
      </c>
      <c r="N16" s="17" t="str">
        <f>IF($A16="","",INDEX(Acciones!$R$5:$R$148,MATCH($A16,Acciones!$A$5:$A$148,0)))</f>
        <v/>
      </c>
      <c r="O16" s="18">
        <f t="shared" si="3"/>
        <v>0</v>
      </c>
    </row>
    <row r="17" spans="1:15" x14ac:dyDescent="0.25">
      <c r="A17" s="11"/>
      <c r="B17" s="12"/>
      <c r="C17" s="13" t="str">
        <f>IF($A17="","",INDEX(Acciones!$B$5:$B$148,MATCH($A17,Acciones!$A$5:$A$148,0)))</f>
        <v/>
      </c>
      <c r="D17" s="13" t="str">
        <f>IF($A17="","",INDEX(Acciones!$U$5:$U$148,MATCH($A17,Acciones!$A$5:$A$148,0)))</f>
        <v/>
      </c>
      <c r="E17" s="14" t="str">
        <f>IF($A17="","",INDEX(Acciones!$O$5:$O$148,MATCH($A17,Acciones!$A$5:$A$148,0)))</f>
        <v/>
      </c>
      <c r="F17" s="14" t="str">
        <f t="shared" si="0"/>
        <v/>
      </c>
      <c r="G17" s="14" t="str">
        <f>IF($A17="","",INDEX(Acciones!$Q$5:$Q$148,MATCH($A17,Acciones!$A$5:$A$148,0)))</f>
        <v/>
      </c>
      <c r="H17" s="15" t="str">
        <f>IF($A17="","",IF(INDEX(Acciones!$G$5:$G$148,MATCH($A17,Acciones!$A$5:$A$148,0))="","n/d",INDEX(Acciones!$G$5:$G$148,MATCH($A17,Acciones!$A$5:$A$148,0))))</f>
        <v/>
      </c>
      <c r="I17" s="13" t="str">
        <f>IF($A17="","",INDEX(Acciones!$J$5:$J$148,MATCH($A17,Acciones!$A$5:$A$148,0)))</f>
        <v/>
      </c>
      <c r="J17" s="16" t="str">
        <f t="shared" si="1"/>
        <v/>
      </c>
      <c r="K17" s="16" t="str">
        <f t="shared" si="2"/>
        <v/>
      </c>
      <c r="L17" s="16" t="str">
        <f>IF(J17="","",J17*INDEX(Acciones!$T$5:$T$148,MATCH($A17,Acciones!$A$5:$A$148,0)))</f>
        <v/>
      </c>
      <c r="M17" s="16" t="str">
        <f>IF(J17="","",J17*INDEX(Acciones!$S$5:$S$148,MATCH($A17,Acciones!$A$5:$A$148,0)))</f>
        <v/>
      </c>
      <c r="N17" s="17" t="str">
        <f>IF($A17="","",INDEX(Acciones!$R$5:$R$148,MATCH($A17,Acciones!$A$5:$A$148,0)))</f>
        <v/>
      </c>
      <c r="O17" s="18">
        <f t="shared" si="3"/>
        <v>0</v>
      </c>
    </row>
    <row r="18" spans="1:15" x14ac:dyDescent="0.25">
      <c r="A18" s="11"/>
      <c r="B18" s="12"/>
      <c r="C18" s="13" t="str">
        <f>IF($A18="","",INDEX(Acciones!$B$5:$B$148,MATCH($A18,Acciones!$A$5:$A$148,0)))</f>
        <v/>
      </c>
      <c r="D18" s="13" t="str">
        <f>IF($A18="","",INDEX(Acciones!$U$5:$U$148,MATCH($A18,Acciones!$A$5:$A$148,0)))</f>
        <v/>
      </c>
      <c r="E18" s="14" t="str">
        <f>IF($A18="","",INDEX(Acciones!$O$5:$O$148,MATCH($A18,Acciones!$A$5:$A$148,0)))</f>
        <v/>
      </c>
      <c r="F18" s="14" t="str">
        <f t="shared" si="0"/>
        <v/>
      </c>
      <c r="G18" s="14" t="str">
        <f>IF($A18="","",INDEX(Acciones!$Q$5:$Q$148,MATCH($A18,Acciones!$A$5:$A$148,0)))</f>
        <v/>
      </c>
      <c r="H18" s="15" t="str">
        <f>IF($A18="","",IF(INDEX(Acciones!$G$5:$G$148,MATCH($A18,Acciones!$A$5:$A$148,0))="","n/d",INDEX(Acciones!$G$5:$G$148,MATCH($A18,Acciones!$A$5:$A$148,0))))</f>
        <v/>
      </c>
      <c r="I18" s="13" t="str">
        <f>IF($A18="","",INDEX(Acciones!$J$5:$J$148,MATCH($A18,Acciones!$A$5:$A$148,0)))</f>
        <v/>
      </c>
      <c r="J18" s="16" t="str">
        <f t="shared" si="1"/>
        <v/>
      </c>
      <c r="K18" s="16" t="str">
        <f t="shared" si="2"/>
        <v/>
      </c>
      <c r="L18" s="16" t="str">
        <f>IF(J18="","",J18*INDEX(Acciones!$T$5:$T$148,MATCH($A18,Acciones!$A$5:$A$148,0)))</f>
        <v/>
      </c>
      <c r="M18" s="16" t="str">
        <f>IF(J18="","",J18*INDEX(Acciones!$S$5:$S$148,MATCH($A18,Acciones!$A$5:$A$148,0)))</f>
        <v/>
      </c>
      <c r="N18" s="17" t="str">
        <f>IF($A18="","",INDEX(Acciones!$R$5:$R$148,MATCH($A18,Acciones!$A$5:$A$148,0)))</f>
        <v/>
      </c>
      <c r="O18" s="18">
        <f t="shared" si="3"/>
        <v>0</v>
      </c>
    </row>
    <row r="19" spans="1:15" x14ac:dyDescent="0.25">
      <c r="A19" s="11"/>
      <c r="B19" s="12"/>
      <c r="C19" s="13" t="str">
        <f>IF($A19="","",INDEX(Acciones!$B$5:$B$148,MATCH($A19,Acciones!$A$5:$A$148,0)))</f>
        <v/>
      </c>
      <c r="D19" s="13" t="str">
        <f>IF($A19="","",INDEX(Acciones!$U$5:$U$148,MATCH($A19,Acciones!$A$5:$A$148,0)))</f>
        <v/>
      </c>
      <c r="E19" s="14" t="str">
        <f>IF($A19="","",INDEX(Acciones!$O$5:$O$148,MATCH($A19,Acciones!$A$5:$A$148,0)))</f>
        <v/>
      </c>
      <c r="F19" s="14" t="str">
        <f t="shared" si="0"/>
        <v/>
      </c>
      <c r="G19" s="14" t="str">
        <f>IF($A19="","",INDEX(Acciones!$Q$5:$Q$148,MATCH($A19,Acciones!$A$5:$A$148,0)))</f>
        <v/>
      </c>
      <c r="H19" s="15" t="str">
        <f>IF($A19="","",IF(INDEX(Acciones!$G$5:$G$148,MATCH($A19,Acciones!$A$5:$A$148,0))="","n/d",INDEX(Acciones!$G$5:$G$148,MATCH($A19,Acciones!$A$5:$A$148,0))))</f>
        <v/>
      </c>
      <c r="I19" s="13" t="str">
        <f>IF($A19="","",INDEX(Acciones!$J$5:$J$148,MATCH($A19,Acciones!$A$5:$A$148,0)))</f>
        <v/>
      </c>
      <c r="J19" s="16" t="str">
        <f t="shared" si="1"/>
        <v/>
      </c>
      <c r="K19" s="16" t="str">
        <f t="shared" si="2"/>
        <v/>
      </c>
      <c r="L19" s="16" t="str">
        <f>IF(J19="","",J19*INDEX(Acciones!$T$5:$T$148,MATCH($A19,Acciones!$A$5:$A$148,0)))</f>
        <v/>
      </c>
      <c r="M19" s="16" t="str">
        <f>IF(J19="","",J19*INDEX(Acciones!$S$5:$S$148,MATCH($A19,Acciones!$A$5:$A$148,0)))</f>
        <v/>
      </c>
      <c r="N19" s="17" t="str">
        <f>IF($A19="","",INDEX(Acciones!$R$5:$R$148,MATCH($A19,Acciones!$A$5:$A$148,0)))</f>
        <v/>
      </c>
      <c r="O19" s="18">
        <f t="shared" si="3"/>
        <v>0</v>
      </c>
    </row>
    <row r="21" spans="1:15" ht="15.75" x14ac:dyDescent="0.25">
      <c r="A21" s="19" t="s">
        <v>42</v>
      </c>
    </row>
    <row r="22" spans="1:15" x14ac:dyDescent="0.25">
      <c r="A22" s="6" t="s">
        <v>43</v>
      </c>
      <c r="B22" s="20">
        <f>SUM($B$8:$B$19)</f>
        <v>0</v>
      </c>
      <c r="C22" s="5" t="str">
        <f>IF(ABS(B22-1)&lt;0.0005,"OK: 100%",IF(B22&lt;1,"Te falta "&amp;TEXT(1-B22,"0.0%")&amp;" por asignar (queda en efectivo, que no rinde)","Pasas de 100% por "&amp;TEXT(B22-1,"0.0%")))</f>
        <v>Te falta 100.0% por asignar (queda en efectivo, que no rinde)</v>
      </c>
    </row>
    <row r="23" spans="1:15" x14ac:dyDescent="0.25">
      <c r="A23" s="6" t="s">
        <v>44</v>
      </c>
      <c r="B23" s="21">
        <f>SUMPRODUCT(($A$8:$A$19&lt;&gt;"")*($B$8:$B$19&gt;0)/COUNTIF($A$8:$A$19,$A$8:$A$19&amp;""))</f>
        <v>0</v>
      </c>
      <c r="C23" s="5" t="str">
        <f>IF(B23&gt;=5,"OK","REVISAR: necesitas al menos 5")</f>
        <v>REVISAR: necesitas al menos 5</v>
      </c>
    </row>
    <row r="24" spans="1:15" x14ac:dyDescent="0.25">
      <c r="A24" s="6" t="s">
        <v>45</v>
      </c>
      <c r="B24" s="20">
        <f>MAX($B$8:$B$19)</f>
        <v>0</v>
      </c>
      <c r="C24" s="5" t="str">
        <f>IF(B24&lt;=0.5,"OK","REVISAR: ninguna puede pasar de 50%")</f>
        <v>OK</v>
      </c>
    </row>
    <row r="25" spans="1:15" x14ac:dyDescent="0.25">
      <c r="A25" s="6" t="s">
        <v>46</v>
      </c>
      <c r="B25" s="21">
        <f>SUMPRODUCT(($A$8:$A$19&lt;&gt;"")*(COUNTIF($A$8:$A$19,$A$8:$A$19)&gt;1))</f>
        <v>0</v>
      </c>
      <c r="C25" s="5" t="str">
        <f>IF(B25=0,"OK","REVISAR: repetiste una emisora")</f>
        <v>OK</v>
      </c>
    </row>
    <row r="26" spans="1:15" x14ac:dyDescent="0.25">
      <c r="A26" s="6" t="s">
        <v>47</v>
      </c>
      <c r="B26" s="21">
        <f>SUMPRODUCT(($A$8:$A$19&lt;&gt;"")*($I$8:$I$19&lt;&gt;"Sí"))</f>
        <v>0</v>
      </c>
      <c r="C26" s="5" t="str">
        <f>IF(B26=0,"OK","REVISAR: hoy no hay quien compre o venda alguna de tus emisoras")</f>
        <v>OK</v>
      </c>
    </row>
    <row r="27" spans="1:15" x14ac:dyDescent="0.25">
      <c r="A27" s="6" t="s">
        <v>48</v>
      </c>
      <c r="B27" s="22">
        <f>SUM($J$8:$J$19)</f>
        <v>0</v>
      </c>
    </row>
    <row r="28" spans="1:15" x14ac:dyDescent="0.25">
      <c r="A28" s="6" t="s">
        <v>49</v>
      </c>
      <c r="B28" s="22">
        <f>B27*$C$5</f>
        <v>0</v>
      </c>
    </row>
    <row r="29" spans="1:15" x14ac:dyDescent="0.25">
      <c r="A29" s="6" t="s">
        <v>37</v>
      </c>
      <c r="B29" s="22">
        <f>SUM($K$8:$K$19)</f>
        <v>0</v>
      </c>
      <c r="C29" s="5" t="str">
        <f>"Comisiones + diferencia compra-venta: "&amp;TEXT(B29/$C$4,"0.00%")&amp;" del capital"</f>
        <v>Comisiones + diferencia compra-venta: 0.00% del capital</v>
      </c>
    </row>
    <row r="30" spans="1:15" x14ac:dyDescent="0.25">
      <c r="A30" s="6" t="s">
        <v>50</v>
      </c>
      <c r="B30" s="20">
        <f>SQRT(Covarianza!$B$2)</f>
        <v>0</v>
      </c>
      <c r="C30" s="5" t="s">
        <v>51</v>
      </c>
    </row>
    <row r="31" spans="1:15" x14ac:dyDescent="0.25">
      <c r="A31" s="6" t="s">
        <v>52</v>
      </c>
      <c r="B31" s="20">
        <f>B30*SQRT($H$4/252)</f>
        <v>0</v>
      </c>
      <c r="C31" s="5" t="s">
        <v>53</v>
      </c>
    </row>
    <row r="32" spans="1:15" x14ac:dyDescent="0.25">
      <c r="A32" s="6" t="s">
        <v>54</v>
      </c>
      <c r="B32" s="22">
        <f>B31*SUM($J$8:$J$19)</f>
        <v>0</v>
      </c>
      <c r="C32" s="5" t="s">
        <v>55</v>
      </c>
    </row>
    <row r="33" spans="1:3" x14ac:dyDescent="0.25">
      <c r="A33" s="6" t="s">
        <v>56</v>
      </c>
      <c r="B33" s="23">
        <f>SUM($O$8:$O$19)</f>
        <v>0</v>
      </c>
      <c r="C33" s="5" t="s">
        <v>57</v>
      </c>
    </row>
    <row r="35" spans="1:3" x14ac:dyDescent="0.25">
      <c r="A35" s="5" t="s">
        <v>58</v>
      </c>
    </row>
  </sheetData>
  <conditionalFormatting sqref="C22:C26">
    <cfRule type="expression" dxfId="7" priority="4">
      <formula>LEFT(C22,2)="OK"</formula>
    </cfRule>
    <cfRule type="expression" dxfId="6" priority="5">
      <formula>OR(LEFT(C22,7)="REVISAR",LEFT(C22,2)="Te",LEFT(C22,2)="Pa")</formula>
    </cfRule>
  </conditionalFormatting>
  <conditionalFormatting sqref="H8:H19">
    <cfRule type="cellIs" dxfId="5" priority="2" operator="greaterThan">
      <formula>0.03</formula>
    </cfRule>
    <cfRule type="cellIs" dxfId="4" priority="3" operator="between">
      <formula>0.01</formula>
      <formula>0.03</formula>
    </cfRule>
  </conditionalFormatting>
  <conditionalFormatting sqref="I8:I19">
    <cfRule type="expression" dxfId="3" priority="1">
      <formula>AND(I8&lt;&gt;"",I8&lt;&gt;"Sí")</formula>
    </cfRule>
  </conditionalFormatting>
  <dataValidations count="1">
    <dataValidation type="decimal" allowBlank="1" showErrorMessage="1" errorTitle="Peso" error="Escribe un porcentaje entre 0% y 100%." sqref="B8 B9 B10 B11 B12 B13 B14 B15 B16 B17 B18 B19" xr:uid="{00000000-0002-0000-0100-000001000000}">
      <formula1>0</formula1>
      <formula2>1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misora" error="Elige una emisora de la lista (hoja Acciones)." xr:uid="{00000000-0002-0000-0100-000000000000}">
          <x14:formula1>
            <xm:f>Acciones!$A$5:$A$148</xm:f>
          </x14:formula1>
          <xm:sqref>A8 A9 A10 A11 A12 A13 A14 A15 A16 A17 A18 A19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13" customWidth="1"/>
    <col min="3" max="3" width="11" customWidth="1"/>
    <col min="4" max="4" width="8" customWidth="1"/>
    <col min="5" max="7" width="11" customWidth="1"/>
    <col min="8" max="9" width="10" customWidth="1"/>
    <col min="10" max="10" width="12" customWidth="1"/>
    <col min="11" max="14" width="8" customWidth="1"/>
    <col min="15" max="15" width="10" customWidth="1"/>
    <col min="16" max="16" width="11" customWidth="1"/>
    <col min="17" max="17" width="9" customWidth="1"/>
    <col min="18" max="18" width="7" customWidth="1"/>
    <col min="19" max="20" width="10" customWidth="1"/>
    <col min="21" max="21" width="17" customWidth="1"/>
  </cols>
  <sheetData>
    <row r="1" spans="1:21" ht="18.75" x14ac:dyDescent="0.3">
      <c r="A1" s="4" t="s">
        <v>59</v>
      </c>
    </row>
    <row r="2" spans="1:21" x14ac:dyDescent="0.25">
      <c r="A2" s="5" t="s">
        <v>60</v>
      </c>
    </row>
    <row r="4" spans="1:21" ht="50.1" customHeight="1" x14ac:dyDescent="0.25">
      <c r="A4" s="10" t="s">
        <v>27</v>
      </c>
      <c r="B4" s="10" t="s">
        <v>29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34</v>
      </c>
      <c r="H4" s="10" t="s">
        <v>65</v>
      </c>
      <c r="I4" s="10" t="s">
        <v>66</v>
      </c>
      <c r="J4" s="10" t="s">
        <v>35</v>
      </c>
      <c r="K4" s="10" t="s">
        <v>67</v>
      </c>
      <c r="L4" s="10" t="s">
        <v>68</v>
      </c>
      <c r="M4" s="10" t="s">
        <v>69</v>
      </c>
      <c r="N4" s="10" t="s">
        <v>70</v>
      </c>
      <c r="O4" s="10" t="s">
        <v>71</v>
      </c>
      <c r="P4" s="10" t="s">
        <v>72</v>
      </c>
      <c r="Q4" s="10" t="s">
        <v>73</v>
      </c>
      <c r="R4" s="10" t="s">
        <v>74</v>
      </c>
      <c r="S4" s="10" t="s">
        <v>75</v>
      </c>
      <c r="T4" s="10" t="s">
        <v>76</v>
      </c>
      <c r="U4" s="10" t="s">
        <v>30</v>
      </c>
    </row>
    <row r="5" spans="1:21" x14ac:dyDescent="0.25">
      <c r="A5" s="24" t="s">
        <v>77</v>
      </c>
      <c r="B5" s="24" t="s">
        <v>78</v>
      </c>
      <c r="C5" s="25">
        <v>9246</v>
      </c>
      <c r="D5" s="26">
        <v>1.6E-2</v>
      </c>
      <c r="E5" s="25">
        <v>9095.02</v>
      </c>
      <c r="F5" s="25">
        <v>9383.91</v>
      </c>
      <c r="G5" s="27">
        <v>3.1266961900000001E-2</v>
      </c>
      <c r="H5" s="28">
        <v>4540</v>
      </c>
      <c r="I5" s="28">
        <v>4437</v>
      </c>
      <c r="J5" s="29" t="s">
        <v>79</v>
      </c>
      <c r="K5" s="26">
        <v>6.3394030000000004E-2</v>
      </c>
      <c r="L5" s="26">
        <v>5.2310202299999997E-2</v>
      </c>
      <c r="M5" s="26">
        <v>7.6401028699999998E-2</v>
      </c>
      <c r="N5" s="26">
        <v>-1.0774469199999999E-2</v>
      </c>
      <c r="O5" s="26">
        <v>0.1652258613</v>
      </c>
      <c r="P5" s="26">
        <f t="shared" ref="P5:P36" si="0">IF(O5="","",O5*SQRT(25/252))</f>
        <v>5.2041254661458473E-2</v>
      </c>
      <c r="Q5" s="26">
        <v>-0.1440936693</v>
      </c>
      <c r="R5" s="30">
        <v>-3.0319349799999999E-2</v>
      </c>
      <c r="S5" s="26">
        <v>0.171071266</v>
      </c>
      <c r="T5" s="26">
        <v>-0.1095524673</v>
      </c>
      <c r="U5" s="24" t="s">
        <v>80</v>
      </c>
    </row>
    <row r="6" spans="1:21" x14ac:dyDescent="0.25">
      <c r="A6" s="24" t="s">
        <v>81</v>
      </c>
      <c r="B6" s="24" t="s">
        <v>82</v>
      </c>
      <c r="C6" s="25">
        <v>18.239999999999998</v>
      </c>
      <c r="D6" s="26">
        <v>-1.0800000000000001E-2</v>
      </c>
      <c r="E6" s="25">
        <v>18.239999999999998</v>
      </c>
      <c r="F6" s="25">
        <v>18.25</v>
      </c>
      <c r="G6" s="27">
        <v>5.4809539999999999E-4</v>
      </c>
      <c r="H6" s="28">
        <v>915</v>
      </c>
      <c r="I6" s="28">
        <v>558</v>
      </c>
      <c r="J6" s="29" t="s">
        <v>79</v>
      </c>
      <c r="K6" s="26">
        <v>2.9476092E-3</v>
      </c>
      <c r="L6" s="26">
        <v>0.13149876120000001</v>
      </c>
      <c r="M6" s="26">
        <v>0.16839548169999999</v>
      </c>
      <c r="N6" s="26">
        <v>0.22391747340000001</v>
      </c>
      <c r="O6" s="26">
        <v>0.178186504</v>
      </c>
      <c r="P6" s="26">
        <f t="shared" si="0"/>
        <v>5.6123473401430465E-2</v>
      </c>
      <c r="Q6" s="26">
        <v>-7.6276234600000006E-2</v>
      </c>
      <c r="R6" s="30">
        <v>0.28592376130000002</v>
      </c>
      <c r="S6" s="26">
        <v>0.34418484669999999</v>
      </c>
      <c r="T6" s="26">
        <v>-0.28528060550000001</v>
      </c>
      <c r="U6" s="24" t="s">
        <v>80</v>
      </c>
    </row>
    <row r="7" spans="1:21" x14ac:dyDescent="0.25">
      <c r="A7" s="24" t="s">
        <v>83</v>
      </c>
      <c r="B7" s="24" t="s">
        <v>82</v>
      </c>
      <c r="C7" s="25">
        <v>102.53</v>
      </c>
      <c r="D7" s="26">
        <v>-1.4999999999999999E-2</v>
      </c>
      <c r="E7" s="25">
        <v>102.32</v>
      </c>
      <c r="F7" s="25">
        <v>102.53</v>
      </c>
      <c r="G7" s="27">
        <v>2.0502807E-3</v>
      </c>
      <c r="H7" s="28">
        <v>90</v>
      </c>
      <c r="I7" s="28">
        <v>322</v>
      </c>
      <c r="J7" s="29" t="s">
        <v>79</v>
      </c>
      <c r="K7" s="26">
        <v>3.9438644500000002E-2</v>
      </c>
      <c r="L7" s="26">
        <v>3.1070299400000001E-2</v>
      </c>
      <c r="M7" s="26">
        <v>-2.17140961E-2</v>
      </c>
      <c r="N7" s="26">
        <v>0.19351379530000001</v>
      </c>
      <c r="O7" s="26">
        <v>0.1953086221</v>
      </c>
      <c r="P7" s="26">
        <f t="shared" si="0"/>
        <v>6.1516433688487339E-2</v>
      </c>
      <c r="Q7" s="26">
        <v>-9.3163267199999997E-2</v>
      </c>
      <c r="R7" s="30">
        <v>0.17673996750000001</v>
      </c>
      <c r="S7" s="26">
        <v>0.24484943270000001</v>
      </c>
      <c r="T7" s="26">
        <v>-0.17019387</v>
      </c>
      <c r="U7" s="24" t="s">
        <v>80</v>
      </c>
    </row>
    <row r="8" spans="1:21" x14ac:dyDescent="0.25">
      <c r="A8" s="24" t="s">
        <v>84</v>
      </c>
      <c r="B8" s="24" t="s">
        <v>82</v>
      </c>
      <c r="C8" s="25">
        <v>236.65</v>
      </c>
      <c r="D8" s="26">
        <v>-3.5000000000000001E-3</v>
      </c>
      <c r="E8" s="25">
        <v>236.41</v>
      </c>
      <c r="F8" s="25">
        <v>236.52</v>
      </c>
      <c r="G8" s="27">
        <v>4.6518509999999999E-4</v>
      </c>
      <c r="H8" s="28">
        <v>28</v>
      </c>
      <c r="I8" s="28">
        <v>126</v>
      </c>
      <c r="J8" s="29" t="s">
        <v>79</v>
      </c>
      <c r="K8" s="26">
        <v>1.0893879999999999E-4</v>
      </c>
      <c r="L8" s="26">
        <v>-0.1573342579</v>
      </c>
      <c r="M8" s="26">
        <v>-0.2227506903</v>
      </c>
      <c r="N8" s="26">
        <v>-0.26914345010000001</v>
      </c>
      <c r="O8" s="26">
        <v>0.2000121799</v>
      </c>
      <c r="P8" s="26">
        <f t="shared" si="0"/>
        <v>6.299791514277521E-2</v>
      </c>
      <c r="Q8" s="26">
        <v>-0.34068714430000002</v>
      </c>
      <c r="R8" s="30">
        <v>0.43938566629999998</v>
      </c>
      <c r="S8" s="26">
        <v>0.18266487470000001</v>
      </c>
      <c r="T8" s="26">
        <v>-0.12940001170000001</v>
      </c>
      <c r="U8" s="24" t="s">
        <v>80</v>
      </c>
    </row>
    <row r="9" spans="1:21" x14ac:dyDescent="0.25">
      <c r="A9" s="24" t="s">
        <v>85</v>
      </c>
      <c r="B9" s="24" t="s">
        <v>78</v>
      </c>
      <c r="C9" s="25">
        <v>1576</v>
      </c>
      <c r="D9" s="26">
        <v>1.9400000000000001E-2</v>
      </c>
      <c r="E9" s="25">
        <v>1557.06</v>
      </c>
      <c r="F9" s="25">
        <v>1593.98</v>
      </c>
      <c r="G9" s="27">
        <v>2.3433533100000001E-2</v>
      </c>
      <c r="H9" s="28">
        <v>10809</v>
      </c>
      <c r="I9" s="28">
        <v>7200</v>
      </c>
      <c r="J9" s="29" t="s">
        <v>79</v>
      </c>
      <c r="K9" s="26">
        <v>6.1359236900000003E-2</v>
      </c>
      <c r="L9" s="26">
        <v>7.3093430299999998E-2</v>
      </c>
      <c r="M9" s="26">
        <v>0.15944587739999999</v>
      </c>
      <c r="N9" s="26">
        <v>0.30922410389999999</v>
      </c>
      <c r="O9" s="26">
        <v>0.2018149132</v>
      </c>
      <c r="P9" s="26">
        <f t="shared" si="0"/>
        <v>6.3565722760867444E-2</v>
      </c>
      <c r="Q9" s="26">
        <v>-8.91335033E-2</v>
      </c>
      <c r="R9" s="30">
        <v>7.8457869999999999E-4</v>
      </c>
      <c r="S9" s="26">
        <v>0.1893118235</v>
      </c>
      <c r="T9" s="26">
        <v>-8.8620188099999997E-2</v>
      </c>
      <c r="U9" s="24" t="s">
        <v>80</v>
      </c>
    </row>
    <row r="10" spans="1:21" x14ac:dyDescent="0.25">
      <c r="A10" s="24" t="s">
        <v>86</v>
      </c>
      <c r="B10" s="24" t="s">
        <v>82</v>
      </c>
      <c r="C10" s="25">
        <v>44.5</v>
      </c>
      <c r="D10" s="26">
        <v>-6.8999999999999999E-3</v>
      </c>
      <c r="E10" s="25">
        <v>44.5</v>
      </c>
      <c r="F10" s="25">
        <v>44.64</v>
      </c>
      <c r="G10" s="27">
        <v>3.1411262999999998E-3</v>
      </c>
      <c r="H10" s="28">
        <v>800</v>
      </c>
      <c r="I10" s="28">
        <v>704</v>
      </c>
      <c r="J10" s="29" t="s">
        <v>79</v>
      </c>
      <c r="K10" s="26">
        <v>4.8192228400000002E-2</v>
      </c>
      <c r="L10" s="26">
        <v>4.1764688999999999E-3</v>
      </c>
      <c r="M10" s="26">
        <v>0.1030516334</v>
      </c>
      <c r="N10" s="26">
        <v>0.51956361549999996</v>
      </c>
      <c r="O10" s="26">
        <v>0.20551878200000001</v>
      </c>
      <c r="P10" s="26">
        <f t="shared" si="0"/>
        <v>6.4732331776773552E-2</v>
      </c>
      <c r="Q10" s="26">
        <v>-9.7821090599999994E-2</v>
      </c>
      <c r="R10" s="30">
        <v>0.25525108940000002</v>
      </c>
      <c r="S10" s="26">
        <v>0.23851975910000001</v>
      </c>
      <c r="T10" s="26">
        <v>-0.1247443501</v>
      </c>
      <c r="U10" s="24" t="s">
        <v>80</v>
      </c>
    </row>
    <row r="11" spans="1:21" x14ac:dyDescent="0.25">
      <c r="A11" s="24" t="s">
        <v>87</v>
      </c>
      <c r="B11" s="24" t="s">
        <v>82</v>
      </c>
      <c r="C11" s="25">
        <v>61.43</v>
      </c>
      <c r="D11" s="26">
        <v>1.1900000000000001E-2</v>
      </c>
      <c r="E11" s="25">
        <v>61.42</v>
      </c>
      <c r="F11" s="25">
        <v>61.43</v>
      </c>
      <c r="G11" s="27">
        <v>1.6280019999999999E-4</v>
      </c>
      <c r="H11" s="28">
        <v>2852</v>
      </c>
      <c r="I11" s="28">
        <v>259</v>
      </c>
      <c r="J11" s="29" t="s">
        <v>79</v>
      </c>
      <c r="K11" s="26">
        <v>6.2889764000000001E-2</v>
      </c>
      <c r="L11" s="26">
        <v>2.28422304E-2</v>
      </c>
      <c r="M11" s="26">
        <v>-1.1032094999999999E-3</v>
      </c>
      <c r="N11" s="26">
        <v>0.25337045470000003</v>
      </c>
      <c r="O11" s="26">
        <v>0.20612127590000001</v>
      </c>
      <c r="P11" s="26">
        <f t="shared" si="0"/>
        <v>6.4922099517944198E-2</v>
      </c>
      <c r="Q11" s="26">
        <v>-0.1097307072</v>
      </c>
      <c r="R11" s="30">
        <v>0.50303339810000003</v>
      </c>
      <c r="S11" s="26">
        <v>0.23707152240000001</v>
      </c>
      <c r="T11" s="26">
        <v>-0.1553719546</v>
      </c>
      <c r="U11" s="24" t="s">
        <v>80</v>
      </c>
    </row>
    <row r="12" spans="1:21" x14ac:dyDescent="0.25">
      <c r="A12" s="24" t="s">
        <v>88</v>
      </c>
      <c r="B12" s="24" t="s">
        <v>78</v>
      </c>
      <c r="C12" s="25">
        <v>4226.01</v>
      </c>
      <c r="D12" s="26">
        <v>1.83E-2</v>
      </c>
      <c r="E12" s="25">
        <v>4247.1499999999996</v>
      </c>
      <c r="F12" s="25">
        <v>4349.1899999999996</v>
      </c>
      <c r="G12" s="27">
        <v>2.3740336000000001E-2</v>
      </c>
      <c r="H12" s="28">
        <v>4000</v>
      </c>
      <c r="I12" s="28">
        <v>4100</v>
      </c>
      <c r="J12" s="29" t="s">
        <v>79</v>
      </c>
      <c r="K12" s="26">
        <v>-1.7128832199999999E-2</v>
      </c>
      <c r="L12" s="26">
        <v>-0.1190136656</v>
      </c>
      <c r="M12" s="26">
        <v>-0.20904158240000001</v>
      </c>
      <c r="N12" s="26">
        <v>-0.20474819599999999</v>
      </c>
      <c r="O12" s="26">
        <v>0.20805270219999999</v>
      </c>
      <c r="P12" s="26">
        <f t="shared" si="0"/>
        <v>6.5530441620973906E-2</v>
      </c>
      <c r="Q12" s="26">
        <v>-0.29821461259999998</v>
      </c>
      <c r="R12" s="30">
        <v>0.1034177803</v>
      </c>
      <c r="S12" s="26">
        <v>0.2332054331</v>
      </c>
      <c r="T12" s="26">
        <v>-0.14651693700000001</v>
      </c>
      <c r="U12" s="24" t="s">
        <v>80</v>
      </c>
    </row>
    <row r="13" spans="1:21" x14ac:dyDescent="0.25">
      <c r="A13" s="24" t="s">
        <v>89</v>
      </c>
      <c r="B13" s="24" t="s">
        <v>78</v>
      </c>
      <c r="C13" s="25">
        <v>4542</v>
      </c>
      <c r="D13" s="26">
        <v>-2.5899999999999999E-2</v>
      </c>
      <c r="E13" s="25">
        <v>4501.21</v>
      </c>
      <c r="F13" s="25">
        <v>4649.99</v>
      </c>
      <c r="G13" s="27">
        <v>3.2515954200000002E-2</v>
      </c>
      <c r="H13" s="28">
        <v>400</v>
      </c>
      <c r="I13" s="28">
        <v>400</v>
      </c>
      <c r="J13" s="29" t="s">
        <v>79</v>
      </c>
      <c r="K13" s="26">
        <v>5.3354318000000001E-3</v>
      </c>
      <c r="L13" s="26">
        <v>1.23788527E-2</v>
      </c>
      <c r="M13" s="26">
        <v>9.0025844199999996E-2</v>
      </c>
      <c r="N13" s="26">
        <v>0.34034950190000002</v>
      </c>
      <c r="O13" s="26">
        <v>0.20827219499999999</v>
      </c>
      <c r="P13" s="26">
        <f t="shared" si="0"/>
        <v>6.5599575354708339E-2</v>
      </c>
      <c r="Q13" s="26">
        <v>-0.14032685950000001</v>
      </c>
      <c r="R13" s="30">
        <v>7.3692344300000004E-2</v>
      </c>
      <c r="S13" s="26">
        <v>0.1909958829</v>
      </c>
      <c r="T13" s="26">
        <v>-0.1217060356</v>
      </c>
      <c r="U13" s="24" t="s">
        <v>80</v>
      </c>
    </row>
    <row r="14" spans="1:21" x14ac:dyDescent="0.25">
      <c r="A14" s="24" t="s">
        <v>90</v>
      </c>
      <c r="B14" s="24" t="s">
        <v>78</v>
      </c>
      <c r="C14" s="25">
        <v>2710</v>
      </c>
      <c r="D14" s="26">
        <v>1.7500000000000002E-2</v>
      </c>
      <c r="E14" s="25">
        <v>2696.01</v>
      </c>
      <c r="F14" s="25">
        <v>2749.99</v>
      </c>
      <c r="G14" s="27">
        <v>1.9823723800000002E-2</v>
      </c>
      <c r="H14" s="28">
        <v>1805</v>
      </c>
      <c r="I14" s="28">
        <v>1500</v>
      </c>
      <c r="J14" s="29" t="s">
        <v>79</v>
      </c>
      <c r="K14" s="26">
        <v>0.10846619</v>
      </c>
      <c r="L14" s="26">
        <v>4.4507863600000003E-2</v>
      </c>
      <c r="M14" s="26">
        <v>6.06514607E-2</v>
      </c>
      <c r="N14" s="26">
        <v>-1.60722043E-2</v>
      </c>
      <c r="O14" s="26">
        <v>0.20833179269999999</v>
      </c>
      <c r="P14" s="26">
        <f t="shared" si="0"/>
        <v>6.5618346865769228E-2</v>
      </c>
      <c r="Q14" s="26">
        <v>-0.15054702819999999</v>
      </c>
      <c r="R14" s="30">
        <v>0.12862297419999999</v>
      </c>
      <c r="S14" s="26">
        <v>0.16111310619999999</v>
      </c>
      <c r="T14" s="26">
        <v>-0.1134013428</v>
      </c>
      <c r="U14" s="24" t="s">
        <v>80</v>
      </c>
    </row>
    <row r="15" spans="1:21" x14ac:dyDescent="0.25">
      <c r="A15" s="24" t="s">
        <v>91</v>
      </c>
      <c r="B15" s="24" t="s">
        <v>82</v>
      </c>
      <c r="C15" s="25">
        <v>46.73</v>
      </c>
      <c r="D15" s="26">
        <v>8.9999999999999998E-4</v>
      </c>
      <c r="E15" s="25">
        <v>46.72</v>
      </c>
      <c r="F15" s="25">
        <v>46.74</v>
      </c>
      <c r="G15" s="27">
        <v>4.2799059999999999E-4</v>
      </c>
      <c r="H15" s="28">
        <v>2268</v>
      </c>
      <c r="I15" s="28">
        <v>901</v>
      </c>
      <c r="J15" s="29" t="s">
        <v>79</v>
      </c>
      <c r="K15" s="26">
        <v>9.2732438000000007E-3</v>
      </c>
      <c r="L15" s="26">
        <v>-5.0902495800000003E-2</v>
      </c>
      <c r="M15" s="26">
        <v>-0.19017133589999999</v>
      </c>
      <c r="N15" s="26">
        <v>-0.1188245985</v>
      </c>
      <c r="O15" s="26">
        <v>0.21334458610000001</v>
      </c>
      <c r="P15" s="26">
        <f t="shared" si="0"/>
        <v>6.719722837888184E-2</v>
      </c>
      <c r="Q15" s="26">
        <v>-0.27139285099999999</v>
      </c>
      <c r="R15" s="30">
        <v>0.54970317319999995</v>
      </c>
      <c r="S15" s="26">
        <v>0.19822374249999999</v>
      </c>
      <c r="T15" s="26">
        <v>-0.17227919589999999</v>
      </c>
      <c r="U15" s="24" t="s">
        <v>80</v>
      </c>
    </row>
    <row r="16" spans="1:21" x14ac:dyDescent="0.25">
      <c r="A16" s="24" t="s">
        <v>92</v>
      </c>
      <c r="B16" s="24" t="s">
        <v>78</v>
      </c>
      <c r="C16" s="25">
        <v>152.72999999999999</v>
      </c>
      <c r="D16" s="26">
        <v>-1.8E-3</v>
      </c>
      <c r="E16" s="25">
        <v>153.49</v>
      </c>
      <c r="F16" s="25">
        <v>154.49</v>
      </c>
      <c r="G16" s="27">
        <v>6.4939281999999996E-3</v>
      </c>
      <c r="H16" s="28">
        <v>3</v>
      </c>
      <c r="I16" s="28">
        <v>94400</v>
      </c>
      <c r="J16" s="29" t="s">
        <v>79</v>
      </c>
      <c r="K16" s="26">
        <v>-0.13259702600000001</v>
      </c>
      <c r="L16" s="26">
        <v>-0.19260039000000001</v>
      </c>
      <c r="M16" s="26">
        <v>-0.10872750170000001</v>
      </c>
      <c r="N16" s="26">
        <v>-4.82114607E-2</v>
      </c>
      <c r="O16" s="26">
        <v>0.21835081670000001</v>
      </c>
      <c r="P16" s="26">
        <f t="shared" si="0"/>
        <v>6.8774042804291557E-2</v>
      </c>
      <c r="Q16" s="26">
        <v>-0.20711619479999999</v>
      </c>
      <c r="R16" s="30">
        <v>0.47788416769999997</v>
      </c>
      <c r="S16" s="26">
        <v>0.26803546620000002</v>
      </c>
      <c r="T16" s="26">
        <v>-0.1996851596</v>
      </c>
      <c r="U16" s="24" t="s">
        <v>80</v>
      </c>
    </row>
    <row r="17" spans="1:21" x14ac:dyDescent="0.25">
      <c r="A17" s="24" t="s">
        <v>93</v>
      </c>
      <c r="B17" s="24" t="s">
        <v>78</v>
      </c>
      <c r="C17" s="25">
        <v>501.99</v>
      </c>
      <c r="D17" s="26">
        <v>-4.0000000000000001E-3</v>
      </c>
      <c r="E17" s="25">
        <v>494.96</v>
      </c>
      <c r="F17" s="25">
        <v>500.99</v>
      </c>
      <c r="G17" s="27">
        <v>1.21090416E-2</v>
      </c>
      <c r="H17" s="28">
        <v>21300</v>
      </c>
      <c r="I17" s="28">
        <v>7100</v>
      </c>
      <c r="J17" s="29" t="s">
        <v>79</v>
      </c>
      <c r="K17" s="26">
        <v>5.3277680500000001E-2</v>
      </c>
      <c r="L17" s="26">
        <v>0.1876370262</v>
      </c>
      <c r="M17" s="26">
        <v>7.7610319799999994E-2</v>
      </c>
      <c r="N17" s="26">
        <v>9.9129133999999994E-2</v>
      </c>
      <c r="O17" s="26">
        <v>0.2211669168</v>
      </c>
      <c r="P17" s="26">
        <f t="shared" si="0"/>
        <v>6.9661030962823001E-2</v>
      </c>
      <c r="Q17" s="26">
        <v>-0.1747243547</v>
      </c>
      <c r="R17" s="30">
        <v>0.15661973639999999</v>
      </c>
      <c r="S17" s="26">
        <v>0.22587253339999999</v>
      </c>
      <c r="T17" s="26">
        <v>-0.1800022939</v>
      </c>
      <c r="U17" s="24" t="s">
        <v>80</v>
      </c>
    </row>
    <row r="18" spans="1:21" x14ac:dyDescent="0.25">
      <c r="A18" s="24" t="s">
        <v>94</v>
      </c>
      <c r="B18" s="24" t="s">
        <v>82</v>
      </c>
      <c r="C18" s="25">
        <v>194.9</v>
      </c>
      <c r="D18" s="26">
        <v>4.1000000000000003E-3</v>
      </c>
      <c r="E18" s="25">
        <v>194.9</v>
      </c>
      <c r="F18" s="25">
        <v>194.96</v>
      </c>
      <c r="G18" s="27">
        <v>3.0780279999999998E-4</v>
      </c>
      <c r="H18" s="28">
        <v>693</v>
      </c>
      <c r="I18" s="28">
        <v>1700</v>
      </c>
      <c r="J18" s="29" t="s">
        <v>79</v>
      </c>
      <c r="K18" s="26">
        <v>1.7604192099999999E-2</v>
      </c>
      <c r="L18" s="26">
        <v>7.8650899999999996E-5</v>
      </c>
      <c r="M18" s="26">
        <v>-7.3905988199999995E-2</v>
      </c>
      <c r="N18" s="26">
        <v>7.4689811499999995E-2</v>
      </c>
      <c r="O18" s="26">
        <v>0.2223955067</v>
      </c>
      <c r="P18" s="26">
        <f t="shared" si="0"/>
        <v>7.004800040790464E-2</v>
      </c>
      <c r="Q18" s="26">
        <v>-0.16788610970000001</v>
      </c>
      <c r="R18" s="30">
        <v>0.75014439619999995</v>
      </c>
      <c r="S18" s="26">
        <v>0.2021920311</v>
      </c>
      <c r="T18" s="26">
        <v>-9.9083892600000001E-2</v>
      </c>
      <c r="U18" s="24" t="s">
        <v>80</v>
      </c>
    </row>
    <row r="19" spans="1:21" x14ac:dyDescent="0.25">
      <c r="A19" s="24" t="s">
        <v>95</v>
      </c>
      <c r="B19" s="24" t="s">
        <v>78</v>
      </c>
      <c r="C19" s="25">
        <v>17215</v>
      </c>
      <c r="D19" s="26">
        <v>1.6799999999999999E-2</v>
      </c>
      <c r="E19" s="25">
        <v>17050.009999999998</v>
      </c>
      <c r="F19" s="25">
        <v>17256.990000000002</v>
      </c>
      <c r="G19" s="27">
        <v>1.20663421E-2</v>
      </c>
      <c r="H19" s="28">
        <v>4820</v>
      </c>
      <c r="I19" s="28">
        <v>4520</v>
      </c>
      <c r="J19" s="29" t="s">
        <v>79</v>
      </c>
      <c r="K19" s="26">
        <v>0.1139689675</v>
      </c>
      <c r="L19" s="26">
        <v>5.9736292099999998E-2</v>
      </c>
      <c r="M19" s="26">
        <v>-5.2829005300000002E-2</v>
      </c>
      <c r="N19" s="26">
        <v>1.9447852200000001E-2</v>
      </c>
      <c r="O19" s="26">
        <v>0.223219479</v>
      </c>
      <c r="P19" s="26">
        <f t="shared" si="0"/>
        <v>7.0307527288024391E-2</v>
      </c>
      <c r="Q19" s="26">
        <v>-0.19236377360000001</v>
      </c>
      <c r="R19" s="30">
        <v>9.5942846600000006E-2</v>
      </c>
      <c r="S19" s="26">
        <v>0.24082135090000001</v>
      </c>
      <c r="T19" s="26">
        <v>-0.1808031353</v>
      </c>
      <c r="U19" s="24" t="s">
        <v>80</v>
      </c>
    </row>
    <row r="20" spans="1:21" x14ac:dyDescent="0.25">
      <c r="A20" s="24" t="s">
        <v>96</v>
      </c>
      <c r="B20" s="24" t="s">
        <v>82</v>
      </c>
      <c r="C20" s="25">
        <v>21.55</v>
      </c>
      <c r="D20" s="26">
        <v>1.9E-3</v>
      </c>
      <c r="E20" s="25">
        <v>21.51</v>
      </c>
      <c r="F20" s="25">
        <v>21.55</v>
      </c>
      <c r="G20" s="27">
        <v>1.8578727E-3</v>
      </c>
      <c r="H20" s="28">
        <v>247</v>
      </c>
      <c r="I20" s="28">
        <v>5153</v>
      </c>
      <c r="J20" s="29" t="s">
        <v>79</v>
      </c>
      <c r="K20" s="26">
        <v>-8.3660882999999995E-3</v>
      </c>
      <c r="L20" s="26">
        <v>-6.5382536999999998E-3</v>
      </c>
      <c r="M20" s="26">
        <v>1.8277084200000002E-2</v>
      </c>
      <c r="N20" s="26">
        <v>0.13440335519999999</v>
      </c>
      <c r="O20" s="26">
        <v>0.22576806990000001</v>
      </c>
      <c r="P20" s="26">
        <f t="shared" si="0"/>
        <v>7.1110257968386562E-2</v>
      </c>
      <c r="Q20" s="26">
        <v>-7.3215979200000003E-2</v>
      </c>
      <c r="R20" s="30">
        <v>0.1214182877</v>
      </c>
      <c r="S20" s="26">
        <v>0.14102556229999999</v>
      </c>
      <c r="T20" s="26">
        <v>-5.6122381899999997E-2</v>
      </c>
      <c r="U20" s="24" t="s">
        <v>80</v>
      </c>
    </row>
    <row r="21" spans="1:21" x14ac:dyDescent="0.25">
      <c r="A21" s="24" t="s">
        <v>97</v>
      </c>
      <c r="B21" s="24" t="s">
        <v>78</v>
      </c>
      <c r="C21" s="25">
        <v>2274</v>
      </c>
      <c r="D21" s="26">
        <v>2.2499999999999999E-2</v>
      </c>
      <c r="E21" s="25">
        <v>2270.0100000000002</v>
      </c>
      <c r="F21" s="25">
        <v>2275.34</v>
      </c>
      <c r="G21" s="27">
        <v>2.3452539000000001E-3</v>
      </c>
      <c r="H21" s="28">
        <v>2906</v>
      </c>
      <c r="I21" s="28">
        <v>2</v>
      </c>
      <c r="J21" s="29" t="s">
        <v>79</v>
      </c>
      <c r="K21" s="26">
        <v>-2.7647344099999999E-2</v>
      </c>
      <c r="L21" s="26">
        <v>-5.72308256E-2</v>
      </c>
      <c r="M21" s="26">
        <v>-0.16458840990000001</v>
      </c>
      <c r="N21" s="26">
        <v>-9.4193954499999996E-2</v>
      </c>
      <c r="O21" s="26">
        <v>0.22576849190000001</v>
      </c>
      <c r="P21" s="26">
        <f t="shared" si="0"/>
        <v>7.111039088589291E-2</v>
      </c>
      <c r="Q21" s="26">
        <v>-0.23228447159999999</v>
      </c>
      <c r="R21" s="30">
        <v>8.1226918800000006E-2</v>
      </c>
      <c r="S21" s="26">
        <v>0.167535552</v>
      </c>
      <c r="T21" s="26">
        <v>-0.16973074799999999</v>
      </c>
      <c r="U21" s="24" t="s">
        <v>80</v>
      </c>
    </row>
    <row r="22" spans="1:21" x14ac:dyDescent="0.25">
      <c r="A22" s="24" t="s">
        <v>98</v>
      </c>
      <c r="B22" s="24" t="s">
        <v>82</v>
      </c>
      <c r="C22" s="25">
        <v>86.6</v>
      </c>
      <c r="D22" s="26">
        <v>1.2699999999999999E-2</v>
      </c>
      <c r="E22" s="25">
        <v>86.61</v>
      </c>
      <c r="F22" s="25">
        <v>86.62</v>
      </c>
      <c r="G22" s="27">
        <v>1.1545339999999999E-4</v>
      </c>
      <c r="H22" s="28">
        <v>112</v>
      </c>
      <c r="I22" s="28">
        <v>97</v>
      </c>
      <c r="J22" s="29" t="s">
        <v>79</v>
      </c>
      <c r="K22" s="26">
        <v>-2.2004113299999999E-2</v>
      </c>
      <c r="L22" s="26">
        <v>-4.1473126300000003E-2</v>
      </c>
      <c r="M22" s="26">
        <v>-0.1654564204</v>
      </c>
      <c r="N22" s="26">
        <v>-0.36896293590000001</v>
      </c>
      <c r="O22" s="26">
        <v>0.22600524920000001</v>
      </c>
      <c r="P22" s="26">
        <f t="shared" si="0"/>
        <v>7.1184962425997561E-2</v>
      </c>
      <c r="Q22" s="26">
        <v>-0.38546051370000001</v>
      </c>
      <c r="R22" s="30">
        <v>0.51822194789999998</v>
      </c>
      <c r="S22" s="26">
        <v>0.31065153449999999</v>
      </c>
      <c r="T22" s="26">
        <v>-0.1967095952</v>
      </c>
      <c r="U22" s="24" t="s">
        <v>80</v>
      </c>
    </row>
    <row r="23" spans="1:21" x14ac:dyDescent="0.25">
      <c r="A23" s="24" t="s">
        <v>99</v>
      </c>
      <c r="B23" s="24" t="s">
        <v>78</v>
      </c>
      <c r="C23" s="25">
        <v>954</v>
      </c>
      <c r="D23" s="26">
        <v>-7.1000000000000004E-3</v>
      </c>
      <c r="E23" s="25">
        <v>950.01</v>
      </c>
      <c r="F23" s="25">
        <v>960.99</v>
      </c>
      <c r="G23" s="27">
        <v>1.14913658E-2</v>
      </c>
      <c r="H23" s="28">
        <v>20000</v>
      </c>
      <c r="I23" s="28">
        <v>16300</v>
      </c>
      <c r="J23" s="29" t="s">
        <v>79</v>
      </c>
      <c r="K23" s="26">
        <v>-0.1097109236</v>
      </c>
      <c r="L23" s="26">
        <v>-9.3853748400000006E-2</v>
      </c>
      <c r="M23" s="26">
        <v>3.6552203599999999E-2</v>
      </c>
      <c r="N23" s="26">
        <v>4.4877525100000003E-2</v>
      </c>
      <c r="O23" s="26">
        <v>0.23065868440000001</v>
      </c>
      <c r="P23" s="26">
        <f t="shared" si="0"/>
        <v>7.2650656745206391E-2</v>
      </c>
      <c r="Q23" s="26">
        <v>-0.18944751879999999</v>
      </c>
      <c r="R23" s="30">
        <v>0.25844536969999998</v>
      </c>
      <c r="S23" s="26">
        <v>0.22980028860000001</v>
      </c>
      <c r="T23" s="26">
        <v>-0.2685845637</v>
      </c>
      <c r="U23" s="24" t="s">
        <v>80</v>
      </c>
    </row>
    <row r="24" spans="1:21" x14ac:dyDescent="0.25">
      <c r="A24" s="24" t="s">
        <v>100</v>
      </c>
      <c r="B24" s="24" t="s">
        <v>82</v>
      </c>
      <c r="C24" s="25">
        <v>41.59</v>
      </c>
      <c r="D24" s="26">
        <v>3.8999999999999998E-3</v>
      </c>
      <c r="E24" s="25">
        <v>41.58</v>
      </c>
      <c r="F24" s="25">
        <v>41.59</v>
      </c>
      <c r="G24" s="27">
        <v>2.4047129999999999E-4</v>
      </c>
      <c r="H24" s="28">
        <v>716</v>
      </c>
      <c r="I24" s="28">
        <v>410</v>
      </c>
      <c r="J24" s="29" t="s">
        <v>79</v>
      </c>
      <c r="K24" s="26">
        <v>-3.61278685E-2</v>
      </c>
      <c r="L24" s="26">
        <v>5.0712166999999997E-3</v>
      </c>
      <c r="M24" s="26">
        <v>-5.3940178399999997E-2</v>
      </c>
      <c r="N24" s="26">
        <v>-0.1304187071</v>
      </c>
      <c r="O24" s="26">
        <v>0.23207608369999999</v>
      </c>
      <c r="P24" s="26">
        <f t="shared" si="0"/>
        <v>7.3097095561429834E-2</v>
      </c>
      <c r="Q24" s="26">
        <v>-0.16016734490000001</v>
      </c>
      <c r="R24" s="30">
        <v>0.82052701400000005</v>
      </c>
      <c r="S24" s="26">
        <v>0.24374301800000001</v>
      </c>
      <c r="T24" s="26">
        <v>-0.17531056289999999</v>
      </c>
      <c r="U24" s="24" t="s">
        <v>80</v>
      </c>
    </row>
    <row r="25" spans="1:21" x14ac:dyDescent="0.25">
      <c r="A25" s="24" t="s">
        <v>101</v>
      </c>
      <c r="B25" s="24" t="s">
        <v>82</v>
      </c>
      <c r="C25" s="25">
        <v>30.38</v>
      </c>
      <c r="D25" s="26">
        <v>9.5999999999999992E-3</v>
      </c>
      <c r="E25" s="25">
        <v>30.37</v>
      </c>
      <c r="F25" s="25">
        <v>30.38</v>
      </c>
      <c r="G25" s="27">
        <v>3.2921810000000003E-4</v>
      </c>
      <c r="H25" s="28">
        <v>6802</v>
      </c>
      <c r="I25" s="28">
        <v>5146</v>
      </c>
      <c r="J25" s="29" t="s">
        <v>79</v>
      </c>
      <c r="K25" s="26">
        <v>2.2934243300000001E-2</v>
      </c>
      <c r="L25" s="26">
        <v>3.15864187E-2</v>
      </c>
      <c r="M25" s="26">
        <v>3.2830591999999999E-2</v>
      </c>
      <c r="N25" s="26">
        <v>0.1954554117</v>
      </c>
      <c r="O25" s="26">
        <v>0.2330489161</v>
      </c>
      <c r="P25" s="26">
        <f t="shared" si="0"/>
        <v>7.3403508965923431E-2</v>
      </c>
      <c r="Q25" s="26">
        <v>-0.1201859782</v>
      </c>
      <c r="R25" s="30">
        <v>0.69349082149999997</v>
      </c>
      <c r="S25" s="26">
        <v>0.17509436610000001</v>
      </c>
      <c r="T25" s="26">
        <v>-0.1547742201</v>
      </c>
      <c r="U25" s="24" t="s">
        <v>80</v>
      </c>
    </row>
    <row r="26" spans="1:21" x14ac:dyDescent="0.25">
      <c r="A26" s="24" t="s">
        <v>102</v>
      </c>
      <c r="B26" s="24" t="s">
        <v>82</v>
      </c>
      <c r="C26" s="25">
        <v>215.82</v>
      </c>
      <c r="D26" s="26">
        <v>2.3199999999999998E-2</v>
      </c>
      <c r="E26" s="25">
        <v>215.82</v>
      </c>
      <c r="F26" s="25">
        <v>216.09</v>
      </c>
      <c r="G26" s="27">
        <v>1.2502605E-3</v>
      </c>
      <c r="H26" s="28">
        <v>291</v>
      </c>
      <c r="I26" s="28">
        <v>229</v>
      </c>
      <c r="J26" s="29" t="s">
        <v>79</v>
      </c>
      <c r="K26" s="26">
        <v>7.0580694400000005E-2</v>
      </c>
      <c r="L26" s="26">
        <v>-1.6697118300000001E-2</v>
      </c>
      <c r="M26" s="26">
        <v>0.1053196706</v>
      </c>
      <c r="N26" s="26">
        <v>0.33023314040000001</v>
      </c>
      <c r="O26" s="26">
        <v>0.23361422100000001</v>
      </c>
      <c r="P26" s="26">
        <f t="shared" si="0"/>
        <v>7.3581563273105124E-2</v>
      </c>
      <c r="Q26" s="26">
        <v>-0.13933176489999999</v>
      </c>
      <c r="R26" s="30">
        <v>0.65961044560000004</v>
      </c>
      <c r="S26" s="26">
        <v>0.2113171566</v>
      </c>
      <c r="T26" s="26">
        <v>-0.16590353229999999</v>
      </c>
      <c r="U26" s="24" t="s">
        <v>80</v>
      </c>
    </row>
    <row r="27" spans="1:21" x14ac:dyDescent="0.25">
      <c r="A27" s="24" t="s">
        <v>103</v>
      </c>
      <c r="B27" s="24" t="s">
        <v>78</v>
      </c>
      <c r="C27" s="25">
        <v>5910</v>
      </c>
      <c r="D27" s="26">
        <v>-3.0000000000000001E-3</v>
      </c>
      <c r="E27" s="25">
        <v>5868.03</v>
      </c>
      <c r="F27" s="25">
        <v>5994.99</v>
      </c>
      <c r="G27" s="27">
        <v>2.1404330400000001E-2</v>
      </c>
      <c r="H27" s="28">
        <v>6702</v>
      </c>
      <c r="I27" s="28">
        <v>6502</v>
      </c>
      <c r="J27" s="29" t="s">
        <v>79</v>
      </c>
      <c r="K27" s="26">
        <v>-1.3670990799999999E-2</v>
      </c>
      <c r="L27" s="26">
        <v>2.5413899000000001E-3</v>
      </c>
      <c r="M27" s="26">
        <v>9.7630670500000002E-2</v>
      </c>
      <c r="N27" s="26">
        <v>6.3412375800000004E-2</v>
      </c>
      <c r="O27" s="26">
        <v>0.23683847990000001</v>
      </c>
      <c r="P27" s="26">
        <f t="shared" si="0"/>
        <v>7.4597109369758302E-2</v>
      </c>
      <c r="Q27" s="26">
        <v>-0.16264204460000001</v>
      </c>
      <c r="R27" s="30">
        <v>0.34143745790000002</v>
      </c>
      <c r="S27" s="26">
        <v>0.23002544599999999</v>
      </c>
      <c r="T27" s="26">
        <v>-0.2210783583</v>
      </c>
      <c r="U27" s="24" t="s">
        <v>80</v>
      </c>
    </row>
    <row r="28" spans="1:21" x14ac:dyDescent="0.25">
      <c r="A28" s="24" t="s">
        <v>104</v>
      </c>
      <c r="B28" s="24" t="s">
        <v>78</v>
      </c>
      <c r="C28" s="25">
        <v>6840</v>
      </c>
      <c r="D28" s="26">
        <v>1.9800000000000002E-2</v>
      </c>
      <c r="E28" s="25">
        <v>6803.63</v>
      </c>
      <c r="F28" s="25">
        <v>6848.94</v>
      </c>
      <c r="G28" s="27">
        <v>6.6375781000000003E-3</v>
      </c>
      <c r="H28" s="28">
        <v>6600</v>
      </c>
      <c r="I28" s="28">
        <v>4200</v>
      </c>
      <c r="J28" s="29" t="s">
        <v>79</v>
      </c>
      <c r="K28" s="26">
        <v>8.84066082E-2</v>
      </c>
      <c r="L28" s="26">
        <v>0.1068529201</v>
      </c>
      <c r="M28" s="26">
        <v>0.262109816</v>
      </c>
      <c r="N28" s="26">
        <v>5.4662879800000001E-2</v>
      </c>
      <c r="O28" s="26">
        <v>0.2384424164</v>
      </c>
      <c r="P28" s="26">
        <f t="shared" si="0"/>
        <v>7.5102301881393926E-2</v>
      </c>
      <c r="Q28" s="26">
        <v>-0.18554720399999999</v>
      </c>
      <c r="R28" s="30">
        <v>6.08653948E-2</v>
      </c>
      <c r="S28" s="26">
        <v>0.19127556949999999</v>
      </c>
      <c r="T28" s="26">
        <v>-0.15886447840000001</v>
      </c>
      <c r="U28" s="24" t="s">
        <v>80</v>
      </c>
    </row>
    <row r="29" spans="1:21" x14ac:dyDescent="0.25">
      <c r="A29" s="24" t="s">
        <v>105</v>
      </c>
      <c r="B29" s="24" t="s">
        <v>82</v>
      </c>
      <c r="C29" s="25">
        <v>37.71</v>
      </c>
      <c r="D29" s="26">
        <v>9.1000000000000004E-3</v>
      </c>
      <c r="E29" s="25">
        <v>37.71</v>
      </c>
      <c r="F29" s="25">
        <v>37.729999999999997</v>
      </c>
      <c r="G29" s="27">
        <v>5.3022270000000003E-4</v>
      </c>
      <c r="H29" s="28">
        <v>2983</v>
      </c>
      <c r="I29" s="28">
        <v>1629</v>
      </c>
      <c r="J29" s="29" t="s">
        <v>79</v>
      </c>
      <c r="K29" s="26">
        <v>-1.6580349300000002E-2</v>
      </c>
      <c r="L29" s="26">
        <v>4.8262870000000003E-3</v>
      </c>
      <c r="M29" s="26">
        <v>-5.6383734900000003E-2</v>
      </c>
      <c r="N29" s="26">
        <v>4.5666257199999997E-2</v>
      </c>
      <c r="O29" s="26">
        <v>0.23932357239999999</v>
      </c>
      <c r="P29" s="26">
        <f t="shared" si="0"/>
        <v>7.5379839934043028E-2</v>
      </c>
      <c r="Q29" s="26">
        <v>-0.17579968260000001</v>
      </c>
      <c r="R29" s="30">
        <v>0.72831157619999998</v>
      </c>
      <c r="S29" s="26">
        <v>0.1523685924</v>
      </c>
      <c r="T29" s="26">
        <v>-0.16163016820000001</v>
      </c>
      <c r="U29" s="24" t="s">
        <v>80</v>
      </c>
    </row>
    <row r="30" spans="1:21" x14ac:dyDescent="0.25">
      <c r="A30" s="24" t="s">
        <v>106</v>
      </c>
      <c r="B30" s="24" t="s">
        <v>82</v>
      </c>
      <c r="C30" s="25">
        <v>198.69</v>
      </c>
      <c r="D30" s="26">
        <v>2.9499999999999998E-2</v>
      </c>
      <c r="E30" s="25">
        <v>198.69</v>
      </c>
      <c r="F30" s="25">
        <v>199.08</v>
      </c>
      <c r="G30" s="27">
        <v>1.9609321999999999E-3</v>
      </c>
      <c r="H30" s="28">
        <v>587</v>
      </c>
      <c r="I30" s="28">
        <v>59</v>
      </c>
      <c r="J30" s="29" t="s">
        <v>79</v>
      </c>
      <c r="K30" s="26">
        <v>7.6815135699999995E-2</v>
      </c>
      <c r="L30" s="26">
        <v>0.1081073046</v>
      </c>
      <c r="M30" s="26">
        <v>0.1246524656</v>
      </c>
      <c r="N30" s="26">
        <v>0.37053594579999999</v>
      </c>
      <c r="O30" s="26">
        <v>0.24009589009999999</v>
      </c>
      <c r="P30" s="26">
        <f t="shared" si="0"/>
        <v>7.5623097144439863E-2</v>
      </c>
      <c r="Q30" s="26">
        <v>-0.1587043306</v>
      </c>
      <c r="R30" s="30">
        <v>0.60930142409999999</v>
      </c>
      <c r="S30" s="26">
        <v>0.19049152750000001</v>
      </c>
      <c r="T30" s="26">
        <v>-0.14608877000000001</v>
      </c>
      <c r="U30" s="24" t="s">
        <v>80</v>
      </c>
    </row>
    <row r="31" spans="1:21" x14ac:dyDescent="0.25">
      <c r="A31" s="24" t="s">
        <v>107</v>
      </c>
      <c r="B31" s="24" t="s">
        <v>78</v>
      </c>
      <c r="C31" s="25">
        <v>10409.969999999999</v>
      </c>
      <c r="D31" s="26">
        <v>1.3599999999999999E-2</v>
      </c>
      <c r="E31" s="25">
        <v>10250.01</v>
      </c>
      <c r="F31" s="25">
        <v>10499.99</v>
      </c>
      <c r="G31" s="27">
        <v>2.40944578E-2</v>
      </c>
      <c r="H31" s="28">
        <v>2215</v>
      </c>
      <c r="I31" s="28">
        <v>2000</v>
      </c>
      <c r="J31" s="29" t="s">
        <v>79</v>
      </c>
      <c r="K31" s="26">
        <v>7.8711015100000004E-2</v>
      </c>
      <c r="L31" s="26">
        <v>0.1205419512</v>
      </c>
      <c r="M31" s="26">
        <v>0.1802423192</v>
      </c>
      <c r="N31" s="26">
        <v>-2.03815631E-2</v>
      </c>
      <c r="O31" s="26">
        <v>0.24214652410000001</v>
      </c>
      <c r="P31" s="26">
        <f t="shared" si="0"/>
        <v>7.6268986143727208E-2</v>
      </c>
      <c r="Q31" s="26">
        <v>-0.22696474780000001</v>
      </c>
      <c r="R31" s="30">
        <v>-1.89554787E-2</v>
      </c>
      <c r="S31" s="26">
        <v>0.1986729156</v>
      </c>
      <c r="T31" s="26">
        <v>-0.17198772130000001</v>
      </c>
      <c r="U31" s="24" t="s">
        <v>80</v>
      </c>
    </row>
    <row r="32" spans="1:21" x14ac:dyDescent="0.25">
      <c r="A32" s="24" t="s">
        <v>108</v>
      </c>
      <c r="B32" s="24" t="s">
        <v>82</v>
      </c>
      <c r="C32" s="25">
        <v>75.900000000000006</v>
      </c>
      <c r="D32" s="26">
        <v>1.1599999999999999E-2</v>
      </c>
      <c r="E32" s="25">
        <v>75.84</v>
      </c>
      <c r="F32" s="25">
        <v>75.900000000000006</v>
      </c>
      <c r="G32" s="27">
        <v>7.9082640000000004E-4</v>
      </c>
      <c r="H32" s="28">
        <v>863</v>
      </c>
      <c r="I32" s="28">
        <v>595</v>
      </c>
      <c r="J32" s="29" t="s">
        <v>79</v>
      </c>
      <c r="K32" s="26">
        <v>2.15256079E-2</v>
      </c>
      <c r="L32" s="26">
        <v>-9.0081773999999993E-3</v>
      </c>
      <c r="M32" s="26">
        <v>-6.8385764399999993E-2</v>
      </c>
      <c r="N32" s="26">
        <v>4.3315047199999998E-2</v>
      </c>
      <c r="O32" s="26">
        <v>0.24531134030000001</v>
      </c>
      <c r="P32" s="26">
        <f t="shared" si="0"/>
        <v>7.7265809549730585E-2</v>
      </c>
      <c r="Q32" s="26">
        <v>-0.1511579478</v>
      </c>
      <c r="R32" s="30">
        <v>0.4417093305</v>
      </c>
      <c r="S32" s="26">
        <v>0.32538460740000003</v>
      </c>
      <c r="T32" s="26">
        <v>-0.12805260769999999</v>
      </c>
      <c r="U32" s="24" t="s">
        <v>80</v>
      </c>
    </row>
    <row r="33" spans="1:21" x14ac:dyDescent="0.25">
      <c r="A33" s="24" t="s">
        <v>109</v>
      </c>
      <c r="B33" s="24" t="s">
        <v>82</v>
      </c>
      <c r="C33" s="25">
        <v>19.98</v>
      </c>
      <c r="D33" s="26">
        <v>-6.4999999999999997E-3</v>
      </c>
      <c r="E33" s="25">
        <v>19.98</v>
      </c>
      <c r="F33" s="25">
        <v>19.989999999999998</v>
      </c>
      <c r="G33" s="27">
        <v>5.0037530000000005E-4</v>
      </c>
      <c r="H33" s="28">
        <v>72506</v>
      </c>
      <c r="I33" s="28">
        <v>32</v>
      </c>
      <c r="J33" s="29" t="s">
        <v>79</v>
      </c>
      <c r="K33" s="26">
        <v>2.87622698E-2</v>
      </c>
      <c r="L33" s="26">
        <v>-0.1070747828</v>
      </c>
      <c r="M33" s="26">
        <v>-0.1403985284</v>
      </c>
      <c r="N33" s="26">
        <v>7.33857698E-2</v>
      </c>
      <c r="O33" s="26">
        <v>0.24666290430000001</v>
      </c>
      <c r="P33" s="26">
        <f t="shared" si="0"/>
        <v>7.7691512195562459E-2</v>
      </c>
      <c r="Q33" s="26">
        <v>-0.19703793650000001</v>
      </c>
      <c r="R33" s="30">
        <v>0.74998653280000005</v>
      </c>
      <c r="S33" s="26">
        <v>0.24348310889999999</v>
      </c>
      <c r="T33" s="26">
        <v>-0.13836771789999999</v>
      </c>
      <c r="U33" s="24" t="s">
        <v>80</v>
      </c>
    </row>
    <row r="34" spans="1:21" x14ac:dyDescent="0.25">
      <c r="A34" s="24" t="s">
        <v>110</v>
      </c>
      <c r="B34" s="24" t="s">
        <v>82</v>
      </c>
      <c r="C34" s="25">
        <v>413.21</v>
      </c>
      <c r="D34" s="26">
        <v>-8.6E-3</v>
      </c>
      <c r="E34" s="25">
        <v>412.81</v>
      </c>
      <c r="F34" s="25">
        <v>413.21</v>
      </c>
      <c r="G34" s="27">
        <v>9.6849960000000004E-4</v>
      </c>
      <c r="H34" s="28">
        <v>56</v>
      </c>
      <c r="I34" s="28">
        <v>17</v>
      </c>
      <c r="J34" s="29" t="s">
        <v>79</v>
      </c>
      <c r="K34" s="26">
        <v>-4.2268159899999998E-2</v>
      </c>
      <c r="L34" s="26">
        <v>-0.16825057099999999</v>
      </c>
      <c r="M34" s="26">
        <v>-0.29982464860000002</v>
      </c>
      <c r="N34" s="26">
        <v>-0.25542863199999999</v>
      </c>
      <c r="O34" s="26">
        <v>0.24684034539999999</v>
      </c>
      <c r="P34" s="26">
        <f t="shared" si="0"/>
        <v>7.7747400888772189E-2</v>
      </c>
      <c r="Q34" s="26">
        <v>-0.35169110320000002</v>
      </c>
      <c r="R34" s="30">
        <v>0.85939147849999997</v>
      </c>
      <c r="S34" s="26">
        <v>0.3641145925</v>
      </c>
      <c r="T34" s="26">
        <v>-0.17549437509999999</v>
      </c>
      <c r="U34" s="24" t="s">
        <v>80</v>
      </c>
    </row>
    <row r="35" spans="1:21" x14ac:dyDescent="0.25">
      <c r="A35" s="24" t="s">
        <v>111</v>
      </c>
      <c r="B35" s="24" t="s">
        <v>82</v>
      </c>
      <c r="C35" s="25">
        <v>274.06</v>
      </c>
      <c r="D35" s="26">
        <v>1.47E-2</v>
      </c>
      <c r="E35" s="25">
        <v>274.06</v>
      </c>
      <c r="F35" s="25">
        <v>274.13</v>
      </c>
      <c r="G35" s="27">
        <v>2.5538589999999999E-4</v>
      </c>
      <c r="H35" s="28">
        <v>70</v>
      </c>
      <c r="I35" s="28">
        <v>80</v>
      </c>
      <c r="J35" s="29" t="s">
        <v>79</v>
      </c>
      <c r="K35" s="26">
        <v>1.4183559599999999E-2</v>
      </c>
      <c r="L35" s="26">
        <v>-2.56520503E-2</v>
      </c>
      <c r="M35" s="26">
        <v>-6.2086088900000003E-2</v>
      </c>
      <c r="N35" s="26">
        <v>0.1398294964</v>
      </c>
      <c r="O35" s="26">
        <v>0.25663812460000002</v>
      </c>
      <c r="P35" s="26">
        <f t="shared" si="0"/>
        <v>8.0833411265429506E-2</v>
      </c>
      <c r="Q35" s="26">
        <v>-0.1614553843</v>
      </c>
      <c r="R35" s="30">
        <v>1.0366440789</v>
      </c>
      <c r="S35" s="26">
        <v>0.19385109919999999</v>
      </c>
      <c r="T35" s="26">
        <v>-0.13404059560000001</v>
      </c>
      <c r="U35" s="24" t="s">
        <v>80</v>
      </c>
    </row>
    <row r="36" spans="1:21" x14ac:dyDescent="0.25">
      <c r="A36" s="24" t="s">
        <v>112</v>
      </c>
      <c r="B36" s="24" t="s">
        <v>78</v>
      </c>
      <c r="C36" s="25">
        <v>446.5</v>
      </c>
      <c r="D36" s="26">
        <v>8.9999999999999993E-3</v>
      </c>
      <c r="E36" s="25">
        <v>434.61</v>
      </c>
      <c r="F36" s="25">
        <v>453.98</v>
      </c>
      <c r="G36" s="27">
        <v>4.3597159500000003E-2</v>
      </c>
      <c r="H36" s="28">
        <v>34400</v>
      </c>
      <c r="I36" s="28">
        <v>34400</v>
      </c>
      <c r="J36" s="29" t="s">
        <v>79</v>
      </c>
      <c r="K36" s="26">
        <v>3.8138913099999998E-2</v>
      </c>
      <c r="L36" s="26">
        <v>0.19137204590000001</v>
      </c>
      <c r="M36" s="26">
        <v>-3.4523148199999999E-2</v>
      </c>
      <c r="N36" s="26">
        <v>-3.6253323900000002E-2</v>
      </c>
      <c r="O36" s="26">
        <v>0.2570932661</v>
      </c>
      <c r="P36" s="26">
        <f t="shared" si="0"/>
        <v>8.0976767363089605E-2</v>
      </c>
      <c r="Q36" s="26">
        <v>-0.3116052231</v>
      </c>
      <c r="R36" s="30">
        <v>-7.44535157E-2</v>
      </c>
      <c r="S36" s="26">
        <v>0.28290309200000002</v>
      </c>
      <c r="T36" s="26">
        <v>-0.17226518430000001</v>
      </c>
      <c r="U36" s="24" t="s">
        <v>80</v>
      </c>
    </row>
    <row r="37" spans="1:21" x14ac:dyDescent="0.25">
      <c r="A37" s="24" t="s">
        <v>113</v>
      </c>
      <c r="B37" s="24" t="s">
        <v>78</v>
      </c>
      <c r="C37" s="25">
        <v>822.85</v>
      </c>
      <c r="D37" s="26">
        <v>0</v>
      </c>
      <c r="E37" s="25">
        <v>822.01</v>
      </c>
      <c r="F37" s="25">
        <v>851.39</v>
      </c>
      <c r="G37" s="27">
        <v>3.5114138900000001E-2</v>
      </c>
      <c r="H37" s="28">
        <v>8600</v>
      </c>
      <c r="I37" s="28">
        <v>12900</v>
      </c>
      <c r="J37" s="29" t="s">
        <v>79</v>
      </c>
      <c r="K37" s="26">
        <v>-2.06704253E-2</v>
      </c>
      <c r="L37" s="26">
        <v>0.1150638759</v>
      </c>
      <c r="M37" s="26">
        <v>2.0106995700000001E-2</v>
      </c>
      <c r="N37" s="26">
        <v>0.1591173676</v>
      </c>
      <c r="O37" s="26">
        <v>0.25883872689999998</v>
      </c>
      <c r="P37" s="26">
        <f t="shared" ref="P37:P68" si="1">IF(O37="","",O37*SQRT(25/252))</f>
        <v>8.1526535839281489E-2</v>
      </c>
      <c r="Q37" s="26">
        <v>-0.18634356999999999</v>
      </c>
      <c r="R37" s="30">
        <v>-0.11118142759999999</v>
      </c>
      <c r="S37" s="26">
        <v>0.33123483580000002</v>
      </c>
      <c r="T37" s="26">
        <v>-0.12719396990000001</v>
      </c>
      <c r="U37" s="24" t="s">
        <v>80</v>
      </c>
    </row>
    <row r="38" spans="1:21" x14ac:dyDescent="0.25">
      <c r="A38" s="24" t="s">
        <v>114</v>
      </c>
      <c r="B38" s="24" t="s">
        <v>78</v>
      </c>
      <c r="C38" s="25">
        <v>3827.18</v>
      </c>
      <c r="D38" s="26">
        <v>3.61E-2</v>
      </c>
      <c r="E38" s="25">
        <v>3746.52</v>
      </c>
      <c r="F38" s="25">
        <v>3849.99</v>
      </c>
      <c r="G38" s="27">
        <v>2.7241456899999999E-2</v>
      </c>
      <c r="H38" s="28">
        <v>5145</v>
      </c>
      <c r="I38" s="28">
        <v>5145</v>
      </c>
      <c r="J38" s="29" t="s">
        <v>79</v>
      </c>
      <c r="K38" s="26">
        <v>4.6645917000000002E-2</v>
      </c>
      <c r="L38" s="26">
        <v>0.23383298690000001</v>
      </c>
      <c r="M38" s="26">
        <v>0.15989360690000001</v>
      </c>
      <c r="N38" s="26">
        <v>0.38461565289999999</v>
      </c>
      <c r="O38" s="26">
        <v>0.2593638499</v>
      </c>
      <c r="P38" s="26">
        <f t="shared" si="1"/>
        <v>8.1691934037581501E-2</v>
      </c>
      <c r="Q38" s="26">
        <v>-0.23549123180000001</v>
      </c>
      <c r="R38" s="30">
        <v>-0.33875647800000003</v>
      </c>
      <c r="S38" s="26">
        <v>0.2091682779</v>
      </c>
      <c r="T38" s="26">
        <v>-0.22681679599999999</v>
      </c>
      <c r="U38" s="24" t="s">
        <v>80</v>
      </c>
    </row>
    <row r="39" spans="1:21" x14ac:dyDescent="0.25">
      <c r="A39" s="24" t="s">
        <v>115</v>
      </c>
      <c r="B39" s="24" t="s">
        <v>82</v>
      </c>
      <c r="C39" s="25">
        <v>47.41</v>
      </c>
      <c r="D39" s="26">
        <v>1.09E-2</v>
      </c>
      <c r="E39" s="25">
        <v>47.4</v>
      </c>
      <c r="F39" s="25">
        <v>47.41</v>
      </c>
      <c r="G39" s="27">
        <v>2.1094819999999999E-4</v>
      </c>
      <c r="H39" s="28">
        <v>576</v>
      </c>
      <c r="I39" s="28">
        <v>133</v>
      </c>
      <c r="J39" s="29" t="s">
        <v>79</v>
      </c>
      <c r="K39" s="26">
        <v>8.6498826400000006E-2</v>
      </c>
      <c r="L39" s="26">
        <v>6.6966281799999999E-2</v>
      </c>
      <c r="M39" s="26">
        <v>-0.12734023520000001</v>
      </c>
      <c r="N39" s="26">
        <v>-0.1534383067</v>
      </c>
      <c r="O39" s="26">
        <v>0.26045037399999998</v>
      </c>
      <c r="P39" s="26">
        <f t="shared" si="1"/>
        <v>8.2034156961638446E-2</v>
      </c>
      <c r="Q39" s="26">
        <v>-0.33741698370000001</v>
      </c>
      <c r="R39" s="30">
        <v>0.54581297139999996</v>
      </c>
      <c r="S39" s="26">
        <v>0.26294813919999999</v>
      </c>
      <c r="T39" s="26">
        <v>-0.17367784489999999</v>
      </c>
      <c r="U39" s="24" t="s">
        <v>80</v>
      </c>
    </row>
    <row r="40" spans="1:21" x14ac:dyDescent="0.25">
      <c r="A40" s="24" t="s">
        <v>116</v>
      </c>
      <c r="B40" s="24" t="s">
        <v>82</v>
      </c>
      <c r="C40" s="25">
        <v>189.49</v>
      </c>
      <c r="D40" s="26">
        <v>-1.6000000000000001E-3</v>
      </c>
      <c r="E40" s="25">
        <v>189.49</v>
      </c>
      <c r="F40" s="25">
        <v>189.55</v>
      </c>
      <c r="G40" s="27">
        <v>3.1658929999999998E-4</v>
      </c>
      <c r="H40" s="28">
        <v>1286</v>
      </c>
      <c r="I40" s="28">
        <v>3312</v>
      </c>
      <c r="J40" s="29" t="s">
        <v>79</v>
      </c>
      <c r="K40" s="26">
        <v>-4.9937506499999999E-2</v>
      </c>
      <c r="L40" s="26">
        <v>1.8015123599999999E-2</v>
      </c>
      <c r="M40" s="26">
        <v>8.0464226000000003E-3</v>
      </c>
      <c r="N40" s="26">
        <v>0.18713794919999999</v>
      </c>
      <c r="O40" s="26">
        <v>0.26156950159999998</v>
      </c>
      <c r="P40" s="26">
        <f t="shared" si="1"/>
        <v>8.2386649022941835E-2</v>
      </c>
      <c r="Q40" s="26">
        <v>-0.11808635250000001</v>
      </c>
      <c r="R40" s="30">
        <v>1.1077273057999999</v>
      </c>
      <c r="S40" s="26">
        <v>0.35815530270000001</v>
      </c>
      <c r="T40" s="26">
        <v>-0.24506299919999999</v>
      </c>
      <c r="U40" s="24" t="s">
        <v>80</v>
      </c>
    </row>
    <row r="41" spans="1:21" x14ac:dyDescent="0.25">
      <c r="A41" s="24" t="s">
        <v>117</v>
      </c>
      <c r="B41" s="24" t="s">
        <v>78</v>
      </c>
      <c r="C41" s="25">
        <v>6123.24</v>
      </c>
      <c r="D41" s="26">
        <v>1.0800000000000001E-2</v>
      </c>
      <c r="E41" s="25">
        <v>6117.78</v>
      </c>
      <c r="F41" s="25">
        <v>6174.98</v>
      </c>
      <c r="G41" s="27">
        <v>9.3062908999999999E-3</v>
      </c>
      <c r="H41" s="28">
        <v>1600</v>
      </c>
      <c r="I41" s="28">
        <v>1600</v>
      </c>
      <c r="J41" s="29" t="s">
        <v>79</v>
      </c>
      <c r="K41" s="26">
        <v>0.1409648896</v>
      </c>
      <c r="L41" s="26">
        <v>0.1011021677</v>
      </c>
      <c r="M41" s="26">
        <v>0.34111881379999998</v>
      </c>
      <c r="N41" s="26">
        <v>0.29836064629999998</v>
      </c>
      <c r="O41" s="26">
        <v>0.2616398949</v>
      </c>
      <c r="P41" s="26">
        <f t="shared" si="1"/>
        <v>8.2408820828390086E-2</v>
      </c>
      <c r="Q41" s="26">
        <v>-0.1729689029</v>
      </c>
      <c r="R41" s="30">
        <v>0.1779612652</v>
      </c>
      <c r="S41" s="26">
        <v>0.30245214059999997</v>
      </c>
      <c r="T41" s="26">
        <v>-0.27021781859999999</v>
      </c>
      <c r="U41" s="24" t="s">
        <v>80</v>
      </c>
    </row>
    <row r="42" spans="1:21" x14ac:dyDescent="0.25">
      <c r="A42" s="24" t="s">
        <v>118</v>
      </c>
      <c r="B42" s="24" t="s">
        <v>82</v>
      </c>
      <c r="C42" s="25">
        <v>35.24</v>
      </c>
      <c r="D42" s="26">
        <v>-3.1899999999999998E-2</v>
      </c>
      <c r="E42" s="25">
        <v>35.22</v>
      </c>
      <c r="F42" s="25">
        <v>35.25</v>
      </c>
      <c r="G42" s="27">
        <v>8.514261E-4</v>
      </c>
      <c r="H42" s="28">
        <v>164</v>
      </c>
      <c r="I42" s="28">
        <v>1900</v>
      </c>
      <c r="J42" s="29" t="s">
        <v>79</v>
      </c>
      <c r="K42" s="26">
        <v>-0.1068528613</v>
      </c>
      <c r="L42" s="26">
        <v>-2.5477761500000001E-2</v>
      </c>
      <c r="M42" s="26">
        <v>4.2002069999999997E-4</v>
      </c>
      <c r="N42" s="26">
        <v>4.2084925999999996E-3</v>
      </c>
      <c r="O42" s="26">
        <v>0.26768026830000002</v>
      </c>
      <c r="P42" s="26">
        <f t="shared" si="1"/>
        <v>8.4311359619148388E-2</v>
      </c>
      <c r="Q42" s="26">
        <v>-0.1178247364</v>
      </c>
      <c r="R42" s="30">
        <v>0.55849082159999996</v>
      </c>
      <c r="S42" s="26">
        <v>0.251780226</v>
      </c>
      <c r="T42" s="26">
        <v>-0.1345376509</v>
      </c>
      <c r="U42" s="24" t="s">
        <v>80</v>
      </c>
    </row>
    <row r="43" spans="1:21" x14ac:dyDescent="0.25">
      <c r="A43" s="24" t="s">
        <v>119</v>
      </c>
      <c r="B43" s="24" t="s">
        <v>78</v>
      </c>
      <c r="C43" s="25">
        <v>5284</v>
      </c>
      <c r="D43" s="26">
        <v>3.04E-2</v>
      </c>
      <c r="E43" s="25">
        <v>5178.6099999999997</v>
      </c>
      <c r="F43" s="25">
        <v>5384.08</v>
      </c>
      <c r="G43" s="27">
        <v>3.8904862300000002E-2</v>
      </c>
      <c r="H43" s="28">
        <v>600</v>
      </c>
      <c r="I43" s="28">
        <v>500</v>
      </c>
      <c r="J43" s="29" t="s">
        <v>79</v>
      </c>
      <c r="K43" s="26">
        <v>-6.8527807E-3</v>
      </c>
      <c r="L43" s="26">
        <v>-0.12768439570000001</v>
      </c>
      <c r="M43" s="26">
        <v>-0.10683874610000001</v>
      </c>
      <c r="N43" s="26">
        <v>-0.24415706500000001</v>
      </c>
      <c r="O43" s="26">
        <v>0.26794075249999999</v>
      </c>
      <c r="P43" s="26">
        <f t="shared" si="1"/>
        <v>8.4393404430298566E-2</v>
      </c>
      <c r="Q43" s="26">
        <v>-0.28090912800000001</v>
      </c>
      <c r="R43" s="30">
        <v>0.39163082799999999</v>
      </c>
      <c r="S43" s="26">
        <v>0.21432723049999999</v>
      </c>
      <c r="T43" s="26">
        <v>-0.17686466840000001</v>
      </c>
      <c r="U43" s="24" t="s">
        <v>80</v>
      </c>
    </row>
    <row r="44" spans="1:21" x14ac:dyDescent="0.25">
      <c r="A44" s="24" t="s">
        <v>120</v>
      </c>
      <c r="B44" s="24" t="s">
        <v>78</v>
      </c>
      <c r="C44" s="25">
        <v>4828</v>
      </c>
      <c r="D44" s="26">
        <v>-1.11E-2</v>
      </c>
      <c r="E44" s="25">
        <v>4719.01</v>
      </c>
      <c r="F44" s="25">
        <v>4879.99</v>
      </c>
      <c r="G44" s="27">
        <v>3.3540993900000003E-2</v>
      </c>
      <c r="H44" s="28">
        <v>400</v>
      </c>
      <c r="I44" s="28">
        <v>500</v>
      </c>
      <c r="J44" s="29" t="s">
        <v>79</v>
      </c>
      <c r="K44" s="26">
        <v>0.1271936639</v>
      </c>
      <c r="L44" s="26">
        <v>0.1070277377</v>
      </c>
      <c r="M44" s="26">
        <v>0.31057850329999998</v>
      </c>
      <c r="N44" s="26">
        <v>0.15489393609999999</v>
      </c>
      <c r="O44" s="26">
        <v>0.26868592949999998</v>
      </c>
      <c r="P44" s="26">
        <f t="shared" si="1"/>
        <v>8.4628113123718221E-2</v>
      </c>
      <c r="Q44" s="26">
        <v>-0.19538397160000001</v>
      </c>
      <c r="R44" s="30">
        <v>-3.3169822000000002E-2</v>
      </c>
      <c r="S44" s="26">
        <v>0.25007193319999999</v>
      </c>
      <c r="T44" s="26">
        <v>-0.19582672600000001</v>
      </c>
      <c r="U44" s="24" t="s">
        <v>80</v>
      </c>
    </row>
    <row r="45" spans="1:21" x14ac:dyDescent="0.25">
      <c r="A45" s="24" t="s">
        <v>121</v>
      </c>
      <c r="B45" s="24" t="s">
        <v>78</v>
      </c>
      <c r="C45" s="25">
        <v>1921</v>
      </c>
      <c r="D45" s="26">
        <v>2.46E-2</v>
      </c>
      <c r="E45" s="25">
        <v>1887.51</v>
      </c>
      <c r="F45" s="25">
        <v>1923.99</v>
      </c>
      <c r="G45" s="27">
        <v>1.9142070099999998E-2</v>
      </c>
      <c r="H45" s="28">
        <v>4000</v>
      </c>
      <c r="I45" s="28">
        <v>5</v>
      </c>
      <c r="J45" s="29" t="s">
        <v>79</v>
      </c>
      <c r="K45" s="26">
        <v>7.9785752799999998E-2</v>
      </c>
      <c r="L45" s="26">
        <v>0.13429659360000001</v>
      </c>
      <c r="M45" s="26">
        <v>0.1009881126</v>
      </c>
      <c r="N45" s="26">
        <v>-6.4823883499999999E-2</v>
      </c>
      <c r="O45" s="26">
        <v>0.27380194549999998</v>
      </c>
      <c r="P45" s="26">
        <f t="shared" si="1"/>
        <v>8.623950669984054E-2</v>
      </c>
      <c r="Q45" s="26">
        <v>-0.23303976360000001</v>
      </c>
      <c r="R45" s="30">
        <v>0.28765508629999997</v>
      </c>
      <c r="S45" s="26">
        <v>0.2949967939</v>
      </c>
      <c r="T45" s="26">
        <v>-0.2848436466</v>
      </c>
      <c r="U45" s="24" t="s">
        <v>80</v>
      </c>
    </row>
    <row r="46" spans="1:21" x14ac:dyDescent="0.25">
      <c r="A46" s="24" t="s">
        <v>122</v>
      </c>
      <c r="B46" s="24" t="s">
        <v>78</v>
      </c>
      <c r="C46" s="25">
        <v>3000</v>
      </c>
      <c r="D46" s="26">
        <v>2.0400000000000001E-2</v>
      </c>
      <c r="E46" s="25">
        <v>2973.61</v>
      </c>
      <c r="F46" s="25">
        <v>3099.99</v>
      </c>
      <c r="G46" s="27">
        <v>4.1616174899999997E-2</v>
      </c>
      <c r="H46" s="28">
        <v>1000</v>
      </c>
      <c r="I46" s="28">
        <v>800</v>
      </c>
      <c r="J46" s="29" t="s">
        <v>79</v>
      </c>
      <c r="K46" s="26">
        <v>8.6008026099999996E-2</v>
      </c>
      <c r="L46" s="26">
        <v>0.24624166450000001</v>
      </c>
      <c r="M46" s="26">
        <v>0.12983570119999999</v>
      </c>
      <c r="N46" s="26">
        <v>0.48113824090000001</v>
      </c>
      <c r="O46" s="26">
        <v>0.27452341079999998</v>
      </c>
      <c r="P46" s="26">
        <f t="shared" si="1"/>
        <v>8.6466746909764663E-2</v>
      </c>
      <c r="Q46" s="26">
        <v>-0.22922901700000001</v>
      </c>
      <c r="R46" s="30">
        <v>-0.2575139924</v>
      </c>
      <c r="S46" s="26">
        <v>0.23259689659999999</v>
      </c>
      <c r="T46" s="26">
        <v>-0.1623432363</v>
      </c>
      <c r="U46" s="24" t="s">
        <v>80</v>
      </c>
    </row>
    <row r="47" spans="1:21" x14ac:dyDescent="0.25">
      <c r="A47" s="24" t="s">
        <v>123</v>
      </c>
      <c r="B47" s="24" t="s">
        <v>78</v>
      </c>
      <c r="C47" s="25">
        <v>1452.98</v>
      </c>
      <c r="D47" s="26">
        <v>9.7000000000000003E-3</v>
      </c>
      <c r="E47" s="25">
        <v>1426.01</v>
      </c>
      <c r="F47" s="25">
        <v>1479.99</v>
      </c>
      <c r="G47" s="27">
        <v>3.7150722599999998E-2</v>
      </c>
      <c r="H47" s="28">
        <v>6900</v>
      </c>
      <c r="I47" s="28">
        <v>7700</v>
      </c>
      <c r="J47" s="29" t="s">
        <v>79</v>
      </c>
      <c r="K47" s="26">
        <v>-4.8331964999999998E-2</v>
      </c>
      <c r="L47" s="26">
        <v>-5.0587246699999998E-2</v>
      </c>
      <c r="M47" s="26">
        <v>-2.74141114E-2</v>
      </c>
      <c r="N47" s="26">
        <v>-9.0252800999999997E-3</v>
      </c>
      <c r="O47" s="26">
        <v>0.27750167689999999</v>
      </c>
      <c r="P47" s="26">
        <f t="shared" si="1"/>
        <v>8.7404812557237782E-2</v>
      </c>
      <c r="Q47" s="26">
        <v>-0.259628266</v>
      </c>
      <c r="R47" s="30">
        <v>0.2299937212</v>
      </c>
      <c r="S47" s="26">
        <v>0.35332583969999998</v>
      </c>
      <c r="T47" s="26">
        <v>-0.24139534870000001</v>
      </c>
      <c r="U47" s="24" t="s">
        <v>80</v>
      </c>
    </row>
    <row r="48" spans="1:21" x14ac:dyDescent="0.25">
      <c r="A48" s="24" t="s">
        <v>124</v>
      </c>
      <c r="B48" s="24" t="s">
        <v>82</v>
      </c>
      <c r="C48" s="25">
        <v>57.81</v>
      </c>
      <c r="D48" s="26">
        <v>-3.0999999999999999E-3</v>
      </c>
      <c r="E48" s="25">
        <v>57.8</v>
      </c>
      <c r="F48" s="25">
        <v>57.81</v>
      </c>
      <c r="G48" s="27">
        <v>1.7299540000000001E-4</v>
      </c>
      <c r="H48" s="28">
        <v>939</v>
      </c>
      <c r="I48" s="28">
        <v>26</v>
      </c>
      <c r="J48" s="29" t="s">
        <v>79</v>
      </c>
      <c r="K48" s="26">
        <v>6.9253659999999999E-4</v>
      </c>
      <c r="L48" s="26">
        <v>6.3518307999999996E-2</v>
      </c>
      <c r="M48" s="26">
        <v>6.1001228400000003E-2</v>
      </c>
      <c r="N48" s="26">
        <v>0.39464439839999998</v>
      </c>
      <c r="O48" s="26">
        <v>0.27936186460000001</v>
      </c>
      <c r="P48" s="26">
        <f t="shared" si="1"/>
        <v>8.7990716610345077E-2</v>
      </c>
      <c r="Q48" s="26">
        <v>-0.15201113290000001</v>
      </c>
      <c r="R48" s="30">
        <v>0.87678995969999995</v>
      </c>
      <c r="S48" s="26">
        <v>0.2271726738</v>
      </c>
      <c r="T48" s="26">
        <v>-0.18089173929999999</v>
      </c>
      <c r="U48" s="24" t="s">
        <v>80</v>
      </c>
    </row>
    <row r="49" spans="1:21" x14ac:dyDescent="0.25">
      <c r="A49" s="24" t="s">
        <v>125</v>
      </c>
      <c r="B49" s="24" t="s">
        <v>78</v>
      </c>
      <c r="C49" s="25">
        <v>5435</v>
      </c>
      <c r="D49" s="26">
        <v>-5.8999999999999999E-3</v>
      </c>
      <c r="E49" s="25">
        <v>5435.01</v>
      </c>
      <c r="F49" s="25">
        <v>5534.98</v>
      </c>
      <c r="G49" s="27">
        <v>1.8226087700000001E-2</v>
      </c>
      <c r="H49" s="28">
        <v>3300</v>
      </c>
      <c r="I49" s="28">
        <v>3300</v>
      </c>
      <c r="J49" s="29" t="s">
        <v>79</v>
      </c>
      <c r="K49" s="26">
        <v>-2.1891952999999998E-3</v>
      </c>
      <c r="L49" s="26">
        <v>-0.1169190056</v>
      </c>
      <c r="M49" s="26">
        <v>-1.79327967E-2</v>
      </c>
      <c r="N49" s="26">
        <v>-8.7533158200000002E-2</v>
      </c>
      <c r="O49" s="26">
        <v>0.28149629970000001</v>
      </c>
      <c r="P49" s="26">
        <f t="shared" si="1"/>
        <v>8.8663000475131662E-2</v>
      </c>
      <c r="Q49" s="26">
        <v>-0.25472846040000002</v>
      </c>
      <c r="R49" s="30">
        <v>0.21459056109999999</v>
      </c>
      <c r="S49" s="26">
        <v>0.2477020747</v>
      </c>
      <c r="T49" s="26">
        <v>-0.24098041910000001</v>
      </c>
      <c r="U49" s="24" t="s">
        <v>80</v>
      </c>
    </row>
    <row r="50" spans="1:21" x14ac:dyDescent="0.25">
      <c r="A50" s="24" t="s">
        <v>126</v>
      </c>
      <c r="B50" s="24" t="s">
        <v>78</v>
      </c>
      <c r="C50" s="25">
        <v>2004</v>
      </c>
      <c r="D50" s="26">
        <v>3.0599999999999999E-2</v>
      </c>
      <c r="E50" s="25">
        <v>1985.01</v>
      </c>
      <c r="F50" s="25">
        <v>2004</v>
      </c>
      <c r="G50" s="27">
        <v>9.5211593999999997E-3</v>
      </c>
      <c r="H50" s="28">
        <v>19000</v>
      </c>
      <c r="I50" s="28">
        <v>2</v>
      </c>
      <c r="J50" s="29" t="s">
        <v>79</v>
      </c>
      <c r="K50" s="26">
        <v>0.1074328241</v>
      </c>
      <c r="L50" s="26">
        <v>-5.5238800000000001E-3</v>
      </c>
      <c r="M50" s="26">
        <v>-0.1165170108</v>
      </c>
      <c r="N50" s="26">
        <v>5.56396241E-2</v>
      </c>
      <c r="O50" s="26">
        <v>0.28157363839999999</v>
      </c>
      <c r="P50" s="26">
        <f t="shared" si="1"/>
        <v>8.8687359875955579E-2</v>
      </c>
      <c r="Q50" s="26">
        <v>-0.24804535759999999</v>
      </c>
      <c r="R50" s="30">
        <v>9.3038115300000002E-2</v>
      </c>
      <c r="S50" s="26">
        <v>0.2474593132</v>
      </c>
      <c r="T50" s="26">
        <v>-0.19590377589999999</v>
      </c>
      <c r="U50" s="24" t="s">
        <v>80</v>
      </c>
    </row>
    <row r="51" spans="1:21" x14ac:dyDescent="0.25">
      <c r="A51" s="24" t="s">
        <v>127</v>
      </c>
      <c r="B51" s="24" t="s">
        <v>82</v>
      </c>
      <c r="C51" s="25">
        <v>55.95</v>
      </c>
      <c r="D51" s="26">
        <v>7.4000000000000003E-3</v>
      </c>
      <c r="E51" s="25">
        <v>55.92</v>
      </c>
      <c r="F51" s="25">
        <v>55.95</v>
      </c>
      <c r="G51" s="27">
        <v>5.3633680000000005E-4</v>
      </c>
      <c r="H51" s="28">
        <v>200</v>
      </c>
      <c r="I51" s="28">
        <v>1322</v>
      </c>
      <c r="J51" s="29" t="s">
        <v>79</v>
      </c>
      <c r="K51" s="26">
        <v>3.5714669999999999E-4</v>
      </c>
      <c r="L51" s="26">
        <v>-8.9195590000000003E-4</v>
      </c>
      <c r="M51" s="26">
        <v>-1.6480978800000001E-2</v>
      </c>
      <c r="N51" s="26">
        <v>-0.12549283289999999</v>
      </c>
      <c r="O51" s="26">
        <v>0.28160604299999997</v>
      </c>
      <c r="P51" s="26">
        <f t="shared" si="1"/>
        <v>8.8697566365590647E-2</v>
      </c>
      <c r="Q51" s="26">
        <v>-0.21843101579999999</v>
      </c>
      <c r="R51" s="30">
        <v>0.77118945139999995</v>
      </c>
      <c r="S51" s="26">
        <v>0.27124696110000002</v>
      </c>
      <c r="T51" s="26">
        <v>-0.20222818670000001</v>
      </c>
      <c r="U51" s="24" t="s">
        <v>80</v>
      </c>
    </row>
    <row r="52" spans="1:21" x14ac:dyDescent="0.25">
      <c r="A52" s="24" t="s">
        <v>128</v>
      </c>
      <c r="B52" s="24" t="s">
        <v>82</v>
      </c>
      <c r="C52" s="25">
        <v>175.26</v>
      </c>
      <c r="D52" s="26">
        <v>-7.9000000000000008E-3</v>
      </c>
      <c r="E52" s="25">
        <v>175.02</v>
      </c>
      <c r="F52" s="25">
        <v>175.26</v>
      </c>
      <c r="G52" s="27">
        <v>1.3703323E-3</v>
      </c>
      <c r="H52" s="28">
        <v>397</v>
      </c>
      <c r="I52" s="28">
        <v>597</v>
      </c>
      <c r="J52" s="29" t="s">
        <v>79</v>
      </c>
      <c r="K52" s="26">
        <v>-7.2509774400000004E-2</v>
      </c>
      <c r="L52" s="26">
        <v>-0.1371738049</v>
      </c>
      <c r="M52" s="26">
        <v>-9.9667839499999994E-2</v>
      </c>
      <c r="N52" s="26">
        <v>5.7580798699999998E-2</v>
      </c>
      <c r="O52" s="26">
        <v>0.28328576480000001</v>
      </c>
      <c r="P52" s="26">
        <f t="shared" si="1"/>
        <v>8.9226629003039917E-2</v>
      </c>
      <c r="Q52" s="26">
        <v>-0.19523524070000001</v>
      </c>
      <c r="R52" s="30">
        <v>0.91739197029999997</v>
      </c>
      <c r="S52" s="26">
        <v>0.24505058239999999</v>
      </c>
      <c r="T52" s="26">
        <v>-0.1713463617</v>
      </c>
      <c r="U52" s="24" t="s">
        <v>80</v>
      </c>
    </row>
    <row r="53" spans="1:21" x14ac:dyDescent="0.25">
      <c r="A53" s="24" t="s">
        <v>129</v>
      </c>
      <c r="B53" s="24" t="s">
        <v>78</v>
      </c>
      <c r="C53" s="25">
        <v>1070</v>
      </c>
      <c r="D53" s="26">
        <v>0</v>
      </c>
      <c r="E53" s="25">
        <v>1044.9100000000001</v>
      </c>
      <c r="F53" s="25">
        <v>1096.49</v>
      </c>
      <c r="G53" s="27">
        <v>4.8174091699999998E-2</v>
      </c>
      <c r="H53" s="28">
        <v>2200</v>
      </c>
      <c r="I53" s="28">
        <v>2200</v>
      </c>
      <c r="J53" s="29" t="s">
        <v>79</v>
      </c>
      <c r="K53" s="26">
        <v>-1.7524795400000001E-2</v>
      </c>
      <c r="L53" s="26">
        <v>5.9635948299999998E-2</v>
      </c>
      <c r="M53" s="26">
        <v>4.3000652799999997E-2</v>
      </c>
      <c r="N53" s="26">
        <v>0.3507802881</v>
      </c>
      <c r="O53" s="26">
        <v>0.28750686019999999</v>
      </c>
      <c r="P53" s="26">
        <f t="shared" si="1"/>
        <v>9.0556149085025461E-2</v>
      </c>
      <c r="Q53" s="26">
        <v>-0.14520459469999999</v>
      </c>
      <c r="R53" s="30">
        <v>0.18039296590000001</v>
      </c>
      <c r="S53" s="26">
        <v>0.2922170898</v>
      </c>
      <c r="T53" s="26">
        <v>-0.23892849999999999</v>
      </c>
      <c r="U53" s="24" t="s">
        <v>130</v>
      </c>
    </row>
    <row r="54" spans="1:21" x14ac:dyDescent="0.25">
      <c r="A54" s="24" t="s">
        <v>131</v>
      </c>
      <c r="B54" s="24" t="s">
        <v>78</v>
      </c>
      <c r="C54" s="25">
        <v>1620</v>
      </c>
      <c r="D54" s="26">
        <v>-5.1799999999999999E-2</v>
      </c>
      <c r="E54" s="25">
        <v>1602.21</v>
      </c>
      <c r="F54" s="25">
        <v>1660.49</v>
      </c>
      <c r="G54" s="27">
        <v>3.5725013E-2</v>
      </c>
      <c r="H54" s="28">
        <v>1600</v>
      </c>
      <c r="I54" s="28">
        <v>2400</v>
      </c>
      <c r="J54" s="29" t="s">
        <v>79</v>
      </c>
      <c r="K54" s="26">
        <v>-5.5044977100000003E-2</v>
      </c>
      <c r="L54" s="26">
        <v>-0.13527291620000001</v>
      </c>
      <c r="M54" s="26">
        <v>-4.36215649E-2</v>
      </c>
      <c r="N54" s="26">
        <v>9.9734045600000001E-2</v>
      </c>
      <c r="O54" s="26">
        <v>0.28798604729999999</v>
      </c>
      <c r="P54" s="26">
        <f t="shared" si="1"/>
        <v>9.0707078834795729E-2</v>
      </c>
      <c r="Q54" s="26">
        <v>-0.14591318910000001</v>
      </c>
      <c r="R54" s="30">
        <v>0.29999468969999998</v>
      </c>
      <c r="S54" s="26">
        <v>0.40550613870000002</v>
      </c>
      <c r="T54" s="26">
        <v>-0.30928655290000001</v>
      </c>
      <c r="U54" s="24" t="s">
        <v>130</v>
      </c>
    </row>
    <row r="55" spans="1:21" x14ac:dyDescent="0.25">
      <c r="A55" s="24" t="s">
        <v>132</v>
      </c>
      <c r="B55" s="24" t="s">
        <v>82</v>
      </c>
      <c r="C55" s="25">
        <v>202.15</v>
      </c>
      <c r="D55" s="26">
        <v>-1.6E-2</v>
      </c>
      <c r="E55" s="25">
        <v>202.09</v>
      </c>
      <c r="F55" s="25">
        <v>202.15</v>
      </c>
      <c r="G55" s="27">
        <v>2.968534E-4</v>
      </c>
      <c r="H55" s="28">
        <v>542</v>
      </c>
      <c r="I55" s="28">
        <v>205</v>
      </c>
      <c r="J55" s="29" t="s">
        <v>79</v>
      </c>
      <c r="K55" s="26">
        <v>-3.7289275099999998E-2</v>
      </c>
      <c r="L55" s="26">
        <v>-0.14245111969999999</v>
      </c>
      <c r="M55" s="26">
        <v>-0.17317288719999999</v>
      </c>
      <c r="N55" s="26">
        <v>-8.7542551600000004E-2</v>
      </c>
      <c r="O55" s="26">
        <v>0.2945609911</v>
      </c>
      <c r="P55" s="26">
        <f t="shared" si="1"/>
        <v>9.2777991475155974E-2</v>
      </c>
      <c r="Q55" s="26">
        <v>-0.275445673</v>
      </c>
      <c r="R55" s="30">
        <v>0.94489954369999996</v>
      </c>
      <c r="S55" s="26">
        <v>0.39775788340000001</v>
      </c>
      <c r="T55" s="26">
        <v>-0.17636921689999999</v>
      </c>
      <c r="U55" s="24" t="s">
        <v>130</v>
      </c>
    </row>
    <row r="56" spans="1:21" x14ac:dyDescent="0.25">
      <c r="A56" s="24" t="s">
        <v>133</v>
      </c>
      <c r="B56" s="24" t="s">
        <v>78</v>
      </c>
      <c r="C56" s="25">
        <v>5196.3599999999997</v>
      </c>
      <c r="D56" s="26">
        <v>0</v>
      </c>
      <c r="E56" s="25">
        <v>5116.8100000000004</v>
      </c>
      <c r="F56" s="25">
        <v>5366.39</v>
      </c>
      <c r="G56" s="27">
        <v>4.7615232E-2</v>
      </c>
      <c r="H56" s="28">
        <v>600</v>
      </c>
      <c r="I56" s="28">
        <v>400</v>
      </c>
      <c r="J56" s="29" t="s">
        <v>79</v>
      </c>
      <c r="K56" s="26">
        <v>-7.9656268999999998E-3</v>
      </c>
      <c r="L56" s="26">
        <v>-6.0227655300000002E-2</v>
      </c>
      <c r="M56" s="26">
        <v>-1.77035979E-2</v>
      </c>
      <c r="N56" s="26">
        <v>0.46729642919999997</v>
      </c>
      <c r="O56" s="26">
        <v>0.29544358609999999</v>
      </c>
      <c r="P56" s="26">
        <f t="shared" si="1"/>
        <v>9.3055982770202286E-2</v>
      </c>
      <c r="Q56" s="26">
        <v>-0.16084464530000001</v>
      </c>
      <c r="R56" s="30">
        <v>0.54944820230000002</v>
      </c>
      <c r="S56" s="26">
        <v>0.32950924609999999</v>
      </c>
      <c r="T56" s="26">
        <v>-0.2170314005</v>
      </c>
      <c r="U56" s="24" t="s">
        <v>130</v>
      </c>
    </row>
    <row r="57" spans="1:21" x14ac:dyDescent="0.25">
      <c r="A57" s="24" t="s">
        <v>134</v>
      </c>
      <c r="B57" s="24" t="s">
        <v>78</v>
      </c>
      <c r="C57" s="25">
        <v>2266</v>
      </c>
      <c r="D57" s="26">
        <v>6.9999999999999999E-4</v>
      </c>
      <c r="E57" s="25">
        <v>2250.0100000000002</v>
      </c>
      <c r="F57" s="25">
        <v>2342.39</v>
      </c>
      <c r="G57" s="27">
        <v>4.0231687100000003E-2</v>
      </c>
      <c r="H57" s="28">
        <v>3800</v>
      </c>
      <c r="I57" s="28">
        <v>2600</v>
      </c>
      <c r="J57" s="29" t="s">
        <v>79</v>
      </c>
      <c r="K57" s="26">
        <v>-2.7575461999999999E-2</v>
      </c>
      <c r="L57" s="26">
        <v>-7.76638251E-2</v>
      </c>
      <c r="M57" s="26">
        <v>4.9923857299999999E-2</v>
      </c>
      <c r="N57" s="26">
        <v>0.29019117239999997</v>
      </c>
      <c r="O57" s="26">
        <v>0.3006408974</v>
      </c>
      <c r="P57" s="26">
        <f t="shared" si="1"/>
        <v>9.4692981959010117E-2</v>
      </c>
      <c r="Q57" s="26">
        <v>-0.14790164650000001</v>
      </c>
      <c r="R57" s="30">
        <v>0.46076493660000001</v>
      </c>
      <c r="S57" s="26">
        <v>0.26699811490000003</v>
      </c>
      <c r="T57" s="26">
        <v>-0.29159324790000002</v>
      </c>
      <c r="U57" s="24" t="s">
        <v>130</v>
      </c>
    </row>
    <row r="58" spans="1:21" x14ac:dyDescent="0.25">
      <c r="A58" s="24" t="s">
        <v>135</v>
      </c>
      <c r="B58" s="24" t="s">
        <v>82</v>
      </c>
      <c r="C58" s="25">
        <v>153.36000000000001</v>
      </c>
      <c r="D58" s="26">
        <v>-5.4000000000000003E-3</v>
      </c>
      <c r="E58" s="25">
        <v>153.36000000000001</v>
      </c>
      <c r="F58" s="25">
        <v>153.4</v>
      </c>
      <c r="G58" s="27">
        <v>2.6079020000000002E-4</v>
      </c>
      <c r="H58" s="28">
        <v>9</v>
      </c>
      <c r="I58" s="28">
        <v>52</v>
      </c>
      <c r="J58" s="29" t="s">
        <v>79</v>
      </c>
      <c r="K58" s="26">
        <v>-1.40510871E-2</v>
      </c>
      <c r="L58" s="26">
        <v>-0.1128622729</v>
      </c>
      <c r="M58" s="26">
        <v>-5.57761409E-2</v>
      </c>
      <c r="N58" s="26">
        <v>-3.73028849E-2</v>
      </c>
      <c r="O58" s="26">
        <v>0.30103062629999999</v>
      </c>
      <c r="P58" s="26">
        <f t="shared" si="1"/>
        <v>9.4815735024264255E-2</v>
      </c>
      <c r="Q58" s="26">
        <v>-0.2045795</v>
      </c>
      <c r="R58" s="30">
        <v>0.56106716109999999</v>
      </c>
      <c r="S58" s="26">
        <v>0.32906425280000001</v>
      </c>
      <c r="T58" s="26">
        <v>-0.1725684223</v>
      </c>
      <c r="U58" s="24" t="s">
        <v>130</v>
      </c>
    </row>
    <row r="59" spans="1:21" x14ac:dyDescent="0.25">
      <c r="A59" s="24" t="s">
        <v>136</v>
      </c>
      <c r="B59" s="24" t="s">
        <v>82</v>
      </c>
      <c r="C59" s="25">
        <v>139.06</v>
      </c>
      <c r="D59" s="26">
        <v>-4.1999999999999997E-3</v>
      </c>
      <c r="E59" s="25">
        <v>139.06</v>
      </c>
      <c r="F59" s="25">
        <v>139.21</v>
      </c>
      <c r="G59" s="27">
        <v>1.0780895999999999E-3</v>
      </c>
      <c r="H59" s="28">
        <v>52</v>
      </c>
      <c r="I59" s="28">
        <v>262</v>
      </c>
      <c r="J59" s="29" t="s">
        <v>79</v>
      </c>
      <c r="K59" s="26">
        <v>-5.2793429999999997E-3</v>
      </c>
      <c r="L59" s="26">
        <v>5.5488162299999998E-2</v>
      </c>
      <c r="M59" s="26">
        <v>-8.0822793599999998E-2</v>
      </c>
      <c r="N59" s="26">
        <v>-9.3270720700000004E-2</v>
      </c>
      <c r="O59" s="26">
        <v>0.3015357246</v>
      </c>
      <c r="P59" s="26">
        <f t="shared" si="1"/>
        <v>9.4974826034912058E-2</v>
      </c>
      <c r="Q59" s="26">
        <v>-0.19858925150000001</v>
      </c>
      <c r="R59" s="30">
        <v>0.97796974839999995</v>
      </c>
      <c r="S59" s="26">
        <v>0.25634979000000002</v>
      </c>
      <c r="T59" s="26">
        <v>-0.19112851019999999</v>
      </c>
      <c r="U59" s="24" t="s">
        <v>130</v>
      </c>
    </row>
    <row r="60" spans="1:21" x14ac:dyDescent="0.25">
      <c r="A60" s="24" t="s">
        <v>137</v>
      </c>
      <c r="B60" s="24" t="s">
        <v>78</v>
      </c>
      <c r="C60" s="25">
        <v>2531</v>
      </c>
      <c r="D60" s="26">
        <v>-1.17E-2</v>
      </c>
      <c r="E60" s="25">
        <v>2480.5100000000002</v>
      </c>
      <c r="F60" s="25">
        <v>2603.4899999999998</v>
      </c>
      <c r="G60" s="27">
        <v>4.8379229000000003E-2</v>
      </c>
      <c r="H60" s="28">
        <v>800</v>
      </c>
      <c r="I60" s="28">
        <v>1000</v>
      </c>
      <c r="J60" s="29" t="s">
        <v>79</v>
      </c>
      <c r="K60" s="26">
        <v>1.1914094E-2</v>
      </c>
      <c r="L60" s="26">
        <v>0.16511780009999999</v>
      </c>
      <c r="M60" s="26">
        <v>0.18794080290000001</v>
      </c>
      <c r="N60" s="26">
        <v>0.60797572040000003</v>
      </c>
      <c r="O60" s="26">
        <v>0.3020689721</v>
      </c>
      <c r="P60" s="26">
        <f t="shared" si="1"/>
        <v>9.5142783210179549E-2</v>
      </c>
      <c r="Q60" s="26">
        <v>-0.123748684</v>
      </c>
      <c r="R60" s="30">
        <v>0.28267578230000001</v>
      </c>
      <c r="S60" s="26">
        <v>0.21206496559999999</v>
      </c>
      <c r="T60" s="26">
        <v>-0.1828665766</v>
      </c>
      <c r="U60" s="24" t="s">
        <v>130</v>
      </c>
    </row>
    <row r="61" spans="1:21" x14ac:dyDescent="0.25">
      <c r="A61" s="24" t="s">
        <v>138</v>
      </c>
      <c r="B61" s="24" t="s">
        <v>82</v>
      </c>
      <c r="C61" s="25">
        <v>52.47</v>
      </c>
      <c r="D61" s="26">
        <v>1.6999999999999999E-3</v>
      </c>
      <c r="E61" s="25">
        <v>52.43</v>
      </c>
      <c r="F61" s="25">
        <v>52.47</v>
      </c>
      <c r="G61" s="27">
        <v>7.6263109999999998E-4</v>
      </c>
      <c r="H61" s="28">
        <v>364</v>
      </c>
      <c r="I61" s="28">
        <v>59</v>
      </c>
      <c r="J61" s="29" t="s">
        <v>79</v>
      </c>
      <c r="K61" s="26">
        <v>4.9910161600000003E-2</v>
      </c>
      <c r="L61" s="26">
        <v>-0.13786884999999999</v>
      </c>
      <c r="M61" s="26">
        <v>-6.1470290599999998E-2</v>
      </c>
      <c r="N61" s="26">
        <v>4.4461788799999999E-2</v>
      </c>
      <c r="O61" s="26">
        <v>0.30512799709999999</v>
      </c>
      <c r="P61" s="26">
        <f t="shared" si="1"/>
        <v>9.6106285520218757E-2</v>
      </c>
      <c r="Q61" s="26">
        <v>-0.2254289749</v>
      </c>
      <c r="R61" s="30">
        <v>0.77050968310000001</v>
      </c>
      <c r="S61" s="26">
        <v>0.29700739999999998</v>
      </c>
      <c r="T61" s="26">
        <v>-0.17648936479999999</v>
      </c>
      <c r="U61" s="24" t="s">
        <v>130</v>
      </c>
    </row>
    <row r="62" spans="1:21" x14ac:dyDescent="0.25">
      <c r="A62" s="24" t="s">
        <v>139</v>
      </c>
      <c r="B62" s="24" t="s">
        <v>78</v>
      </c>
      <c r="C62" s="25">
        <v>11859.9</v>
      </c>
      <c r="D62" s="26">
        <v>0</v>
      </c>
      <c r="E62" s="25">
        <v>11328.81</v>
      </c>
      <c r="F62" s="25">
        <v>11899.99</v>
      </c>
      <c r="G62" s="27">
        <v>4.9178605899999998E-2</v>
      </c>
      <c r="H62" s="28">
        <v>3626</v>
      </c>
      <c r="I62" s="28">
        <v>3726</v>
      </c>
      <c r="J62" s="29" t="s">
        <v>79</v>
      </c>
      <c r="K62" s="26">
        <v>0.12135241720000001</v>
      </c>
      <c r="L62" s="26">
        <v>0.24249356320000001</v>
      </c>
      <c r="M62" s="26">
        <v>0.31671237990000001</v>
      </c>
      <c r="N62" s="26">
        <v>0.16480639180000001</v>
      </c>
      <c r="O62" s="26">
        <v>0.30664987659999998</v>
      </c>
      <c r="P62" s="26">
        <f t="shared" si="1"/>
        <v>9.6585632506219626E-2</v>
      </c>
      <c r="Q62" s="26">
        <v>-0.32460277259999998</v>
      </c>
      <c r="R62" s="30">
        <v>0.15560727620000001</v>
      </c>
      <c r="S62" s="26">
        <v>0.25276556839999997</v>
      </c>
      <c r="T62" s="26">
        <v>-0.22541793360000001</v>
      </c>
      <c r="U62" s="24" t="s">
        <v>130</v>
      </c>
    </row>
    <row r="63" spans="1:21" x14ac:dyDescent="0.25">
      <c r="A63" s="24" t="s">
        <v>140</v>
      </c>
      <c r="B63" s="24" t="s">
        <v>82</v>
      </c>
      <c r="C63" s="25">
        <v>12.74</v>
      </c>
      <c r="D63" s="26">
        <v>-7.0000000000000001E-3</v>
      </c>
      <c r="E63" s="25">
        <v>12.74</v>
      </c>
      <c r="F63" s="25">
        <v>12.75</v>
      </c>
      <c r="G63" s="27">
        <v>7.8462140000000002E-4</v>
      </c>
      <c r="H63" s="28">
        <v>835</v>
      </c>
      <c r="I63" s="28">
        <v>753</v>
      </c>
      <c r="J63" s="29" t="s">
        <v>79</v>
      </c>
      <c r="K63" s="26">
        <v>1.3319822199999999E-2</v>
      </c>
      <c r="L63" s="26">
        <v>-0.14601129539999999</v>
      </c>
      <c r="M63" s="26">
        <v>-0.2994905196</v>
      </c>
      <c r="N63" s="26">
        <v>-0.2828110137</v>
      </c>
      <c r="O63" s="26">
        <v>0.30670558739999998</v>
      </c>
      <c r="P63" s="26">
        <f t="shared" si="1"/>
        <v>9.6603179758855393E-2</v>
      </c>
      <c r="Q63" s="26">
        <v>-0.35305504589999998</v>
      </c>
      <c r="R63" s="30">
        <v>0.7199006952</v>
      </c>
      <c r="S63" s="26">
        <v>0.27313872849999998</v>
      </c>
      <c r="T63" s="26">
        <v>-0.23941127540000001</v>
      </c>
      <c r="U63" s="24" t="s">
        <v>130</v>
      </c>
    </row>
    <row r="64" spans="1:21" x14ac:dyDescent="0.25">
      <c r="A64" s="24" t="s">
        <v>141</v>
      </c>
      <c r="B64" s="24" t="s">
        <v>82</v>
      </c>
      <c r="C64" s="25">
        <v>13.89</v>
      </c>
      <c r="D64" s="26">
        <v>1.61E-2</v>
      </c>
      <c r="E64" s="25">
        <v>13.89</v>
      </c>
      <c r="F64" s="25">
        <v>13.9</v>
      </c>
      <c r="G64" s="27">
        <v>7.1968330000000004E-4</v>
      </c>
      <c r="H64" s="28">
        <v>300</v>
      </c>
      <c r="I64" s="28">
        <v>910</v>
      </c>
      <c r="J64" s="29" t="s">
        <v>79</v>
      </c>
      <c r="K64" s="26">
        <v>-5.2090488099999999E-2</v>
      </c>
      <c r="L64" s="26">
        <v>-4.6206901799999998E-2</v>
      </c>
      <c r="M64" s="26">
        <v>-0.13031249919999999</v>
      </c>
      <c r="N64" s="26">
        <v>-0.25474680020000001</v>
      </c>
      <c r="O64" s="26">
        <v>0.31239816030000001</v>
      </c>
      <c r="P64" s="26">
        <f t="shared" si="1"/>
        <v>9.8396171689034653E-2</v>
      </c>
      <c r="Q64" s="26">
        <v>-0.43884505299999998</v>
      </c>
      <c r="R64" s="30">
        <v>0.37378817399999997</v>
      </c>
      <c r="S64" s="26">
        <v>0.35825136990000001</v>
      </c>
      <c r="T64" s="26">
        <v>-0.28724962189999997</v>
      </c>
      <c r="U64" s="24" t="s">
        <v>130</v>
      </c>
    </row>
    <row r="65" spans="1:21" x14ac:dyDescent="0.25">
      <c r="A65" s="24" t="s">
        <v>142</v>
      </c>
      <c r="B65" s="24" t="s">
        <v>82</v>
      </c>
      <c r="C65" s="25">
        <v>16.41</v>
      </c>
      <c r="D65" s="26">
        <v>-6.1000000000000004E-3</v>
      </c>
      <c r="E65" s="25">
        <v>16.36</v>
      </c>
      <c r="F65" s="25">
        <v>16.41</v>
      </c>
      <c r="G65" s="27">
        <v>3.0515716000000001E-3</v>
      </c>
      <c r="H65" s="28">
        <v>21551</v>
      </c>
      <c r="I65" s="28">
        <v>100</v>
      </c>
      <c r="J65" s="29" t="s">
        <v>79</v>
      </c>
      <c r="K65" s="26">
        <v>-3.7080586800000002E-2</v>
      </c>
      <c r="L65" s="26">
        <v>-5.4335183099999997E-2</v>
      </c>
      <c r="M65" s="26">
        <v>-1.8544704700000001E-2</v>
      </c>
      <c r="N65" s="26">
        <v>-1.27951552E-2</v>
      </c>
      <c r="O65" s="26">
        <v>0.31490921039999997</v>
      </c>
      <c r="P65" s="26">
        <f t="shared" si="1"/>
        <v>9.91870781288232E-2</v>
      </c>
      <c r="Q65" s="26">
        <v>-0.25449432719999998</v>
      </c>
      <c r="R65" s="30">
        <v>0.29243861259999998</v>
      </c>
      <c r="S65" s="26">
        <v>0.69455655709999997</v>
      </c>
      <c r="T65" s="26">
        <v>-0.26894868500000002</v>
      </c>
      <c r="U65" s="24" t="s">
        <v>130</v>
      </c>
    </row>
    <row r="66" spans="1:21" x14ac:dyDescent="0.25">
      <c r="A66" s="24" t="s">
        <v>143</v>
      </c>
      <c r="B66" s="24" t="s">
        <v>82</v>
      </c>
      <c r="C66" s="25">
        <v>354.39</v>
      </c>
      <c r="D66" s="26">
        <v>-2.0500000000000001E-2</v>
      </c>
      <c r="E66" s="25">
        <v>354.39</v>
      </c>
      <c r="F66" s="25">
        <v>354.82</v>
      </c>
      <c r="G66" s="27">
        <v>1.2126169E-3</v>
      </c>
      <c r="H66" s="28">
        <v>479</v>
      </c>
      <c r="I66" s="28">
        <v>666</v>
      </c>
      <c r="J66" s="29" t="s">
        <v>79</v>
      </c>
      <c r="K66" s="26">
        <v>1.9851198600000002E-2</v>
      </c>
      <c r="L66" s="26">
        <v>-0.1383704483</v>
      </c>
      <c r="M66" s="26">
        <v>-0.1652754759</v>
      </c>
      <c r="N66" s="26">
        <v>-0.14874229420000001</v>
      </c>
      <c r="O66" s="26">
        <v>0.31981034920000001</v>
      </c>
      <c r="P66" s="26">
        <f t="shared" si="1"/>
        <v>0.10073079174856245</v>
      </c>
      <c r="Q66" s="26">
        <v>-0.32962038710000002</v>
      </c>
      <c r="R66" s="30">
        <v>0.95080747769999996</v>
      </c>
      <c r="S66" s="26">
        <v>0.39946153280000002</v>
      </c>
      <c r="T66" s="26">
        <v>-0.191080903</v>
      </c>
      <c r="U66" s="24" t="s">
        <v>130</v>
      </c>
    </row>
    <row r="67" spans="1:21" x14ac:dyDescent="0.25">
      <c r="A67" s="24" t="s">
        <v>144</v>
      </c>
      <c r="B67" s="24" t="s">
        <v>78</v>
      </c>
      <c r="C67" s="25">
        <v>1009.06</v>
      </c>
      <c r="D67" s="26">
        <v>-4.5999999999999999E-3</v>
      </c>
      <c r="E67" s="25">
        <v>1000.41</v>
      </c>
      <c r="F67" s="25">
        <v>1049.19</v>
      </c>
      <c r="G67" s="27">
        <v>4.7599531600000002E-2</v>
      </c>
      <c r="H67" s="28">
        <v>1000</v>
      </c>
      <c r="I67" s="28">
        <v>1515</v>
      </c>
      <c r="J67" s="29" t="s">
        <v>79</v>
      </c>
      <c r="K67" s="26">
        <v>3.3481965199999998E-2</v>
      </c>
      <c r="L67" s="26">
        <v>0.30708399260000002</v>
      </c>
      <c r="M67" s="26">
        <v>0.45291452679999999</v>
      </c>
      <c r="N67" s="26">
        <v>0.57912001079999997</v>
      </c>
      <c r="O67" s="26">
        <v>0.32225318520000001</v>
      </c>
      <c r="P67" s="26">
        <f t="shared" si="1"/>
        <v>0.10150021276638575</v>
      </c>
      <c r="Q67" s="26">
        <v>-0.18257027679999999</v>
      </c>
      <c r="R67" s="30">
        <v>0.68420982539999997</v>
      </c>
      <c r="S67" s="26">
        <v>0.26653972809999998</v>
      </c>
      <c r="T67" s="26">
        <v>-0.18330571600000001</v>
      </c>
      <c r="U67" s="24" t="s">
        <v>130</v>
      </c>
    </row>
    <row r="68" spans="1:21" x14ac:dyDescent="0.25">
      <c r="A68" s="24" t="s">
        <v>145</v>
      </c>
      <c r="B68" s="24" t="s">
        <v>78</v>
      </c>
      <c r="C68" s="25">
        <v>2805</v>
      </c>
      <c r="D68" s="26">
        <v>2.12E-2</v>
      </c>
      <c r="E68" s="25">
        <v>2755.91</v>
      </c>
      <c r="F68" s="25">
        <v>2886.09</v>
      </c>
      <c r="G68" s="27">
        <v>4.6146756499999997E-2</v>
      </c>
      <c r="H68" s="28">
        <v>1000</v>
      </c>
      <c r="I68" s="28">
        <v>1200</v>
      </c>
      <c r="J68" s="29" t="s">
        <v>79</v>
      </c>
      <c r="K68" s="26">
        <v>4.5311942600000002E-2</v>
      </c>
      <c r="L68" s="26">
        <v>0.1837823737</v>
      </c>
      <c r="M68" s="26">
        <v>0.30885699970000002</v>
      </c>
      <c r="N68" s="26">
        <v>0.7697492816</v>
      </c>
      <c r="O68" s="26">
        <v>0.32441801380000002</v>
      </c>
      <c r="P68" s="26">
        <f t="shared" si="1"/>
        <v>0.10218206968384767</v>
      </c>
      <c r="Q68" s="26">
        <v>-0.1381219243</v>
      </c>
      <c r="R68" s="30">
        <v>0.1498762407</v>
      </c>
      <c r="S68" s="26">
        <v>0.28413012840000001</v>
      </c>
      <c r="T68" s="26">
        <v>-0.24934209569999999</v>
      </c>
      <c r="U68" s="24" t="s">
        <v>130</v>
      </c>
    </row>
    <row r="69" spans="1:21" x14ac:dyDescent="0.25">
      <c r="A69" s="24" t="s">
        <v>146</v>
      </c>
      <c r="B69" s="24" t="s">
        <v>78</v>
      </c>
      <c r="C69" s="25">
        <v>1593</v>
      </c>
      <c r="D69" s="26">
        <v>-1.2999999999999999E-3</v>
      </c>
      <c r="E69" s="25">
        <v>1562.11</v>
      </c>
      <c r="F69" s="25">
        <v>1638.29</v>
      </c>
      <c r="G69" s="27">
        <v>4.7606549200000001E-2</v>
      </c>
      <c r="H69" s="28">
        <v>2400</v>
      </c>
      <c r="I69" s="28">
        <v>1600</v>
      </c>
      <c r="J69" s="29" t="s">
        <v>79</v>
      </c>
      <c r="K69" s="26">
        <v>-2.2246510399999999E-2</v>
      </c>
      <c r="L69" s="26">
        <v>-0.13131714050000001</v>
      </c>
      <c r="M69" s="26">
        <v>0.16371964780000001</v>
      </c>
      <c r="N69" s="26">
        <v>0.1504986378</v>
      </c>
      <c r="O69" s="26">
        <v>0.32642956969999998</v>
      </c>
      <c r="P69" s="26">
        <f t="shared" ref="P69:P100" si="2">IF(O69="","",O69*SQRT(25/252))</f>
        <v>0.10281565023857442</v>
      </c>
      <c r="Q69" s="26">
        <v>-0.2246868712</v>
      </c>
      <c r="R69" s="30">
        <v>0.1688057016</v>
      </c>
      <c r="S69" s="26">
        <v>0.48427424390000001</v>
      </c>
      <c r="T69" s="26">
        <v>-0.28644064499999999</v>
      </c>
      <c r="U69" s="24" t="s">
        <v>130</v>
      </c>
    </row>
    <row r="70" spans="1:21" x14ac:dyDescent="0.25">
      <c r="A70" s="24" t="s">
        <v>147</v>
      </c>
      <c r="B70" s="24" t="s">
        <v>78</v>
      </c>
      <c r="C70" s="25">
        <v>6350</v>
      </c>
      <c r="D70" s="26">
        <v>7.4999999999999997E-3</v>
      </c>
      <c r="E70" s="25">
        <v>6350</v>
      </c>
      <c r="F70" s="25">
        <v>6359.99</v>
      </c>
      <c r="G70" s="27">
        <v>1.5719918000000001E-3</v>
      </c>
      <c r="H70" s="28">
        <v>7</v>
      </c>
      <c r="I70" s="28">
        <v>450</v>
      </c>
      <c r="J70" s="29" t="s">
        <v>79</v>
      </c>
      <c r="K70" s="26">
        <v>0.1225872531</v>
      </c>
      <c r="L70" s="26">
        <v>2.6145169000000002E-3</v>
      </c>
      <c r="M70" s="26">
        <v>0.13100332570000001</v>
      </c>
      <c r="N70" s="26">
        <v>0.39637364930000002</v>
      </c>
      <c r="O70" s="26">
        <v>0.32814881740000001</v>
      </c>
      <c r="P70" s="26">
        <f t="shared" si="2"/>
        <v>0.10335716236432678</v>
      </c>
      <c r="Q70" s="26">
        <v>-0.20257148159999999</v>
      </c>
      <c r="R70" s="30">
        <v>0.42872172320000002</v>
      </c>
      <c r="S70" s="26">
        <v>0.37142680789999999</v>
      </c>
      <c r="T70" s="26">
        <v>-0.21541083080000001</v>
      </c>
      <c r="U70" s="24" t="s">
        <v>130</v>
      </c>
    </row>
    <row r="71" spans="1:21" x14ac:dyDescent="0.25">
      <c r="A71" s="24" t="s">
        <v>148</v>
      </c>
      <c r="B71" s="24" t="s">
        <v>78</v>
      </c>
      <c r="C71" s="25">
        <v>9640</v>
      </c>
      <c r="D71" s="26">
        <v>1.24E-2</v>
      </c>
      <c r="E71" s="25">
        <v>9643.3700000000008</v>
      </c>
      <c r="F71" s="25">
        <v>9661.0499999999993</v>
      </c>
      <c r="G71" s="27">
        <v>1.8317049000000001E-3</v>
      </c>
      <c r="H71" s="28">
        <v>200</v>
      </c>
      <c r="I71" s="28">
        <v>950</v>
      </c>
      <c r="J71" s="29" t="s">
        <v>79</v>
      </c>
      <c r="K71" s="26">
        <v>0.14802243270000001</v>
      </c>
      <c r="L71" s="26">
        <v>0.4158039697</v>
      </c>
      <c r="M71" s="26">
        <v>0.47232994610000001</v>
      </c>
      <c r="N71" s="26">
        <v>1.4898183000000001E-3</v>
      </c>
      <c r="O71" s="26">
        <v>0.32890469900000002</v>
      </c>
      <c r="P71" s="26">
        <f t="shared" si="2"/>
        <v>0.10359524268982792</v>
      </c>
      <c r="Q71" s="26">
        <v>-0.37298436800000001</v>
      </c>
      <c r="R71" s="30">
        <v>8.4931758400000001E-2</v>
      </c>
      <c r="S71" s="26">
        <v>0.32348262970000002</v>
      </c>
      <c r="T71" s="26">
        <v>-0.22154597349999999</v>
      </c>
      <c r="U71" s="24" t="s">
        <v>130</v>
      </c>
    </row>
    <row r="72" spans="1:21" x14ac:dyDescent="0.25">
      <c r="A72" s="24" t="s">
        <v>149</v>
      </c>
      <c r="B72" s="24" t="s">
        <v>82</v>
      </c>
      <c r="C72" s="25">
        <v>17.350000000000001</v>
      </c>
      <c r="D72" s="26">
        <v>0</v>
      </c>
      <c r="E72" s="25">
        <v>17.34</v>
      </c>
      <c r="F72" s="25">
        <v>17.350000000000001</v>
      </c>
      <c r="G72" s="27">
        <v>5.7653499999999998E-4</v>
      </c>
      <c r="H72" s="28">
        <v>23993</v>
      </c>
      <c r="I72" s="28">
        <v>2456</v>
      </c>
      <c r="J72" s="29" t="s">
        <v>79</v>
      </c>
      <c r="K72" s="26">
        <v>-6.7886975299999999E-2</v>
      </c>
      <c r="L72" s="26">
        <v>-0.20202232480000001</v>
      </c>
      <c r="M72" s="26">
        <v>-0.15396376959999999</v>
      </c>
      <c r="N72" s="26">
        <v>6.2786397100000002E-2</v>
      </c>
      <c r="O72" s="26">
        <v>0.33186626879999997</v>
      </c>
      <c r="P72" s="26">
        <f t="shared" si="2"/>
        <v>0.10452804949710878</v>
      </c>
      <c r="Q72" s="26">
        <v>-0.27301917370000001</v>
      </c>
      <c r="R72" s="30">
        <v>1.3092958739</v>
      </c>
      <c r="S72" s="26">
        <v>0.34261026970000003</v>
      </c>
      <c r="T72" s="26">
        <v>-0.20580474579999999</v>
      </c>
      <c r="U72" s="24" t="s">
        <v>130</v>
      </c>
    </row>
    <row r="73" spans="1:21" x14ac:dyDescent="0.25">
      <c r="A73" s="24" t="s">
        <v>150</v>
      </c>
      <c r="B73" s="24" t="s">
        <v>78</v>
      </c>
      <c r="C73" s="25">
        <v>1356.75</v>
      </c>
      <c r="D73" s="26">
        <v>-9.7000000000000003E-3</v>
      </c>
      <c r="E73" s="25">
        <v>1356.75</v>
      </c>
      <c r="F73" s="25">
        <v>1393.19</v>
      </c>
      <c r="G73" s="27">
        <v>2.6502396399999999E-2</v>
      </c>
      <c r="H73" s="28">
        <v>5</v>
      </c>
      <c r="I73" s="28">
        <v>1200</v>
      </c>
      <c r="J73" s="29" t="s">
        <v>79</v>
      </c>
      <c r="K73" s="26">
        <v>-0.12036691619999999</v>
      </c>
      <c r="L73" s="26">
        <v>-0.23110345600000001</v>
      </c>
      <c r="M73" s="26">
        <v>-0.26285599749999999</v>
      </c>
      <c r="N73" s="26">
        <v>-0.3989519554</v>
      </c>
      <c r="O73" s="26">
        <v>0.33466679360000001</v>
      </c>
      <c r="P73" s="26">
        <f t="shared" si="2"/>
        <v>0.10541013189725985</v>
      </c>
      <c r="Q73" s="26">
        <v>-0.44511638710000001</v>
      </c>
      <c r="R73" s="30">
        <v>0.36471548949999999</v>
      </c>
      <c r="S73" s="26">
        <v>0.38199966810000002</v>
      </c>
      <c r="T73" s="26">
        <v>-0.24216954800000001</v>
      </c>
      <c r="U73" s="24" t="s">
        <v>130</v>
      </c>
    </row>
    <row r="74" spans="1:21" x14ac:dyDescent="0.25">
      <c r="A74" s="24" t="s">
        <v>151</v>
      </c>
      <c r="B74" s="24" t="s">
        <v>78</v>
      </c>
      <c r="C74" s="25">
        <v>3314.78</v>
      </c>
      <c r="D74" s="26">
        <v>0</v>
      </c>
      <c r="E74" s="25"/>
      <c r="F74" s="25"/>
      <c r="G74" s="27"/>
      <c r="H74" s="28">
        <v>0</v>
      </c>
      <c r="I74" s="28">
        <v>0</v>
      </c>
      <c r="J74" s="29" t="s">
        <v>152</v>
      </c>
      <c r="K74" s="26">
        <v>-1.6192088999999999E-3</v>
      </c>
      <c r="L74" s="26">
        <v>6.9455993600000002E-2</v>
      </c>
      <c r="M74" s="26">
        <v>6.4054054900000004E-2</v>
      </c>
      <c r="N74" s="26">
        <v>0.28294842240000001</v>
      </c>
      <c r="O74" s="26">
        <v>0.34103962780000002</v>
      </c>
      <c r="P74" s="26">
        <f t="shared" si="2"/>
        <v>0.10741738599724167</v>
      </c>
      <c r="Q74" s="26">
        <v>-0.18870962290000001</v>
      </c>
      <c r="R74" s="30">
        <v>-0.38724844380000001</v>
      </c>
      <c r="S74" s="26">
        <v>0.24560118440000001</v>
      </c>
      <c r="T74" s="26">
        <v>-0.2384881365</v>
      </c>
      <c r="U74" s="24" t="s">
        <v>130</v>
      </c>
    </row>
    <row r="75" spans="1:21" x14ac:dyDescent="0.25">
      <c r="A75" s="24" t="s">
        <v>153</v>
      </c>
      <c r="B75" s="24" t="s">
        <v>78</v>
      </c>
      <c r="C75" s="25">
        <v>5431.18</v>
      </c>
      <c r="D75" s="26">
        <v>-3.5000000000000001E-3</v>
      </c>
      <c r="E75" s="25">
        <v>5379.01</v>
      </c>
      <c r="F75" s="25">
        <v>5637.29</v>
      </c>
      <c r="G75" s="27">
        <v>4.6890516799999997E-2</v>
      </c>
      <c r="H75" s="28">
        <v>400</v>
      </c>
      <c r="I75" s="28">
        <v>300</v>
      </c>
      <c r="J75" s="29" t="s">
        <v>79</v>
      </c>
      <c r="K75" s="26">
        <v>-5.5228144999999998E-3</v>
      </c>
      <c r="L75" s="26">
        <v>-0.13149650190000001</v>
      </c>
      <c r="M75" s="26">
        <v>3.3227431E-3</v>
      </c>
      <c r="N75" s="26">
        <v>-7.1765880999999998E-3</v>
      </c>
      <c r="O75" s="26">
        <v>0.3423361057</v>
      </c>
      <c r="P75" s="26">
        <f t="shared" si="2"/>
        <v>0.10782573815244301</v>
      </c>
      <c r="Q75" s="26">
        <v>-0.2057641747</v>
      </c>
      <c r="R75" s="30">
        <v>0.71061917050000001</v>
      </c>
      <c r="S75" s="26">
        <v>0.32796903700000002</v>
      </c>
      <c r="T75" s="26">
        <v>-0.2133134324</v>
      </c>
      <c r="U75" s="24" t="s">
        <v>130</v>
      </c>
    </row>
    <row r="76" spans="1:21" x14ac:dyDescent="0.25">
      <c r="A76" s="24" t="s">
        <v>154</v>
      </c>
      <c r="B76" s="24" t="s">
        <v>82</v>
      </c>
      <c r="C76" s="25">
        <v>36.36</v>
      </c>
      <c r="D76" s="26">
        <v>-1.01E-2</v>
      </c>
      <c r="E76" s="25">
        <v>36.35</v>
      </c>
      <c r="F76" s="25">
        <v>36.36</v>
      </c>
      <c r="G76" s="27">
        <v>2.750653E-4</v>
      </c>
      <c r="H76" s="28">
        <v>599</v>
      </c>
      <c r="I76" s="28">
        <v>1466</v>
      </c>
      <c r="J76" s="29" t="s">
        <v>79</v>
      </c>
      <c r="K76" s="26">
        <v>-8.20499861E-2</v>
      </c>
      <c r="L76" s="26">
        <v>-0.10355031119999999</v>
      </c>
      <c r="M76" s="26">
        <v>-0.27466048539999999</v>
      </c>
      <c r="N76" s="26">
        <v>-0.17139031830000001</v>
      </c>
      <c r="O76" s="26">
        <v>0.34779149259999997</v>
      </c>
      <c r="P76" s="26">
        <f t="shared" si="2"/>
        <v>0.10954402351470961</v>
      </c>
      <c r="Q76" s="26">
        <v>-0.32905117090000002</v>
      </c>
      <c r="R76" s="30">
        <v>0.85521793310000005</v>
      </c>
      <c r="S76" s="26">
        <v>0.33408644910000002</v>
      </c>
      <c r="T76" s="26">
        <v>-0.23076923699999999</v>
      </c>
      <c r="U76" s="24" t="s">
        <v>130</v>
      </c>
    </row>
    <row r="77" spans="1:21" x14ac:dyDescent="0.25">
      <c r="A77" s="24" t="s">
        <v>155</v>
      </c>
      <c r="B77" s="24" t="s">
        <v>78</v>
      </c>
      <c r="C77" s="25">
        <v>4705</v>
      </c>
      <c r="D77" s="26">
        <v>5.3E-3</v>
      </c>
      <c r="E77" s="25">
        <v>4691.84</v>
      </c>
      <c r="F77" s="25">
        <v>4710</v>
      </c>
      <c r="G77" s="27">
        <v>3.8630736000000001E-3</v>
      </c>
      <c r="H77" s="28">
        <v>1400</v>
      </c>
      <c r="I77" s="28">
        <v>2</v>
      </c>
      <c r="J77" s="29" t="s">
        <v>79</v>
      </c>
      <c r="K77" s="26">
        <v>9.0689349099999997E-2</v>
      </c>
      <c r="L77" s="26">
        <v>8.1871026599999994E-2</v>
      </c>
      <c r="M77" s="26">
        <v>0.1419767988</v>
      </c>
      <c r="N77" s="26">
        <v>0.14462770799999999</v>
      </c>
      <c r="O77" s="26">
        <v>0.34793752369999997</v>
      </c>
      <c r="P77" s="26">
        <f t="shared" si="2"/>
        <v>0.10959001898783834</v>
      </c>
      <c r="Q77" s="26">
        <v>-0.2741839344</v>
      </c>
      <c r="R77" s="30">
        <v>0.32492482340000001</v>
      </c>
      <c r="S77" s="26">
        <v>0.3291528084</v>
      </c>
      <c r="T77" s="26">
        <v>-0.22748539330000001</v>
      </c>
      <c r="U77" s="24" t="s">
        <v>130</v>
      </c>
    </row>
    <row r="78" spans="1:21" x14ac:dyDescent="0.25">
      <c r="A78" s="24" t="s">
        <v>156</v>
      </c>
      <c r="B78" s="24" t="s">
        <v>78</v>
      </c>
      <c r="C78" s="25">
        <v>640.99</v>
      </c>
      <c r="D78" s="26">
        <v>-7.7999999999999996E-3</v>
      </c>
      <c r="E78" s="25">
        <v>637.01</v>
      </c>
      <c r="F78" s="25">
        <v>662.19</v>
      </c>
      <c r="G78" s="27">
        <v>3.8762315300000003E-2</v>
      </c>
      <c r="H78" s="28">
        <v>2400</v>
      </c>
      <c r="I78" s="28">
        <v>2400</v>
      </c>
      <c r="J78" s="29" t="s">
        <v>79</v>
      </c>
      <c r="K78" s="26">
        <v>-0.12729330699999999</v>
      </c>
      <c r="L78" s="26">
        <v>-0.21412939019999999</v>
      </c>
      <c r="M78" s="26">
        <v>-0.31901647090000002</v>
      </c>
      <c r="N78" s="26">
        <v>-0.31225103990000003</v>
      </c>
      <c r="O78" s="26">
        <v>0.35329328799999998</v>
      </c>
      <c r="P78" s="26">
        <f t="shared" si="2"/>
        <v>0.11127692618051428</v>
      </c>
      <c r="Q78" s="26">
        <v>-0.48792436769999997</v>
      </c>
      <c r="R78" s="30">
        <v>0.3604623689</v>
      </c>
      <c r="S78" s="26">
        <v>0.38550206860000003</v>
      </c>
      <c r="T78" s="26">
        <v>-0.32009705519999998</v>
      </c>
      <c r="U78" s="24" t="s">
        <v>130</v>
      </c>
    </row>
    <row r="79" spans="1:21" x14ac:dyDescent="0.25">
      <c r="A79" s="24" t="s">
        <v>157</v>
      </c>
      <c r="B79" s="24" t="s">
        <v>78</v>
      </c>
      <c r="C79" s="25">
        <v>20650</v>
      </c>
      <c r="D79" s="26">
        <v>-3.7699999999999997E-2</v>
      </c>
      <c r="E79" s="25">
        <v>20500.009999999998</v>
      </c>
      <c r="F79" s="25">
        <v>21032.99</v>
      </c>
      <c r="G79" s="27">
        <v>2.5665374500000001E-2</v>
      </c>
      <c r="H79" s="28">
        <v>1200</v>
      </c>
      <c r="I79" s="28">
        <v>1200</v>
      </c>
      <c r="J79" s="29" t="s">
        <v>79</v>
      </c>
      <c r="K79" s="26">
        <v>7.8992788199999997E-2</v>
      </c>
      <c r="L79" s="26">
        <v>-1.4599218000000001E-2</v>
      </c>
      <c r="M79" s="26">
        <v>0.23474619460000001</v>
      </c>
      <c r="N79" s="26">
        <v>0.33426040019999997</v>
      </c>
      <c r="O79" s="26">
        <v>0.35445138139999999</v>
      </c>
      <c r="P79" s="26">
        <f t="shared" si="2"/>
        <v>0.111641691315203</v>
      </c>
      <c r="Q79" s="26">
        <v>-0.27788774710000003</v>
      </c>
      <c r="R79" s="30">
        <v>3.73219173E-2</v>
      </c>
      <c r="S79" s="26">
        <v>0.3973296234</v>
      </c>
      <c r="T79" s="26">
        <v>-0.2187398992</v>
      </c>
      <c r="U79" s="24" t="s">
        <v>130</v>
      </c>
    </row>
    <row r="80" spans="1:21" x14ac:dyDescent="0.25">
      <c r="A80" s="24" t="s">
        <v>158</v>
      </c>
      <c r="B80" s="24" t="s">
        <v>78</v>
      </c>
      <c r="C80" s="25">
        <v>1460</v>
      </c>
      <c r="D80" s="26">
        <v>0</v>
      </c>
      <c r="E80" s="25">
        <v>1435.01</v>
      </c>
      <c r="F80" s="25">
        <v>1504.99</v>
      </c>
      <c r="G80" s="27">
        <v>4.76054422E-2</v>
      </c>
      <c r="H80" s="28">
        <v>1000</v>
      </c>
      <c r="I80" s="28">
        <v>1000</v>
      </c>
      <c r="J80" s="29" t="s">
        <v>79</v>
      </c>
      <c r="K80" s="26">
        <v>2.9917467699999999E-2</v>
      </c>
      <c r="L80" s="26">
        <v>7.0609546300000006E-2</v>
      </c>
      <c r="M80" s="26">
        <v>9.4319450799999996E-2</v>
      </c>
      <c r="N80" s="26">
        <v>0.40124721289999998</v>
      </c>
      <c r="O80" s="26">
        <v>0.35574694709999999</v>
      </c>
      <c r="P80" s="26">
        <f t="shared" si="2"/>
        <v>0.11204975615441078</v>
      </c>
      <c r="Q80" s="26">
        <v>-0.17837576899999999</v>
      </c>
      <c r="R80" s="30">
        <v>0.4226149072</v>
      </c>
      <c r="S80" s="26">
        <v>0.31885499740000001</v>
      </c>
      <c r="T80" s="26">
        <v>-0.16498799159999999</v>
      </c>
      <c r="U80" s="24" t="s">
        <v>130</v>
      </c>
    </row>
    <row r="81" spans="1:21" x14ac:dyDescent="0.25">
      <c r="A81" s="24" t="s">
        <v>159</v>
      </c>
      <c r="B81" s="24" t="s">
        <v>78</v>
      </c>
      <c r="C81" s="25">
        <v>3342.37</v>
      </c>
      <c r="D81" s="26">
        <v>-1.2800000000000001E-2</v>
      </c>
      <c r="E81" s="25">
        <v>3323.01</v>
      </c>
      <c r="F81" s="25">
        <v>3422.72</v>
      </c>
      <c r="G81" s="27">
        <v>2.9562404699999999E-2</v>
      </c>
      <c r="H81" s="28">
        <v>1200</v>
      </c>
      <c r="I81" s="28">
        <v>1050</v>
      </c>
      <c r="J81" s="29" t="s">
        <v>79</v>
      </c>
      <c r="K81" s="26">
        <v>-4.1417209000000003E-2</v>
      </c>
      <c r="L81" s="26">
        <v>-0.14170922520000001</v>
      </c>
      <c r="M81" s="26">
        <v>-0.12848887270000001</v>
      </c>
      <c r="N81" s="26">
        <v>-0.17742235649999999</v>
      </c>
      <c r="O81" s="26">
        <v>0.35585075840000002</v>
      </c>
      <c r="P81" s="26">
        <f t="shared" si="2"/>
        <v>0.11208245364049153</v>
      </c>
      <c r="Q81" s="26">
        <v>-0.25725335240000002</v>
      </c>
      <c r="R81" s="30">
        <v>0.531952129</v>
      </c>
      <c r="S81" s="26">
        <v>0.41770113949999998</v>
      </c>
      <c r="T81" s="26">
        <v>-0.2379195399</v>
      </c>
      <c r="U81" s="24" t="s">
        <v>130</v>
      </c>
    </row>
    <row r="82" spans="1:21" x14ac:dyDescent="0.25">
      <c r="A82" s="24" t="s">
        <v>160</v>
      </c>
      <c r="B82" s="24" t="s">
        <v>82</v>
      </c>
      <c r="C82" s="25">
        <v>144.80000000000001</v>
      </c>
      <c r="D82" s="26">
        <v>1.32E-2</v>
      </c>
      <c r="E82" s="25">
        <v>144.01</v>
      </c>
      <c r="F82" s="25">
        <v>144.76</v>
      </c>
      <c r="G82" s="27">
        <v>5.1944453999999999E-3</v>
      </c>
      <c r="H82" s="28">
        <v>130</v>
      </c>
      <c r="I82" s="28">
        <v>457</v>
      </c>
      <c r="J82" s="29" t="s">
        <v>79</v>
      </c>
      <c r="K82" s="26">
        <v>6.8254169000000003E-2</v>
      </c>
      <c r="L82" s="26">
        <v>0.14387525270000001</v>
      </c>
      <c r="M82" s="26">
        <v>-2.2775845100000001E-2</v>
      </c>
      <c r="N82" s="26">
        <v>0.1156148806</v>
      </c>
      <c r="O82" s="26">
        <v>0.35663326960000002</v>
      </c>
      <c r="P82" s="26">
        <f t="shared" si="2"/>
        <v>0.11232892150160138</v>
      </c>
      <c r="Q82" s="26">
        <v>-0.1867359914</v>
      </c>
      <c r="R82" s="30">
        <v>1.0594383114000001</v>
      </c>
      <c r="S82" s="26">
        <v>0.44129664660000001</v>
      </c>
      <c r="T82" s="26">
        <v>-0.18538894440000001</v>
      </c>
      <c r="U82" s="24" t="s">
        <v>130</v>
      </c>
    </row>
    <row r="83" spans="1:21" x14ac:dyDescent="0.25">
      <c r="A83" s="24" t="s">
        <v>161</v>
      </c>
      <c r="B83" s="24" t="s">
        <v>82</v>
      </c>
      <c r="C83" s="25">
        <v>14.64</v>
      </c>
      <c r="D83" s="26">
        <v>-1.0800000000000001E-2</v>
      </c>
      <c r="E83" s="25">
        <v>14.63</v>
      </c>
      <c r="F83" s="25">
        <v>14.64</v>
      </c>
      <c r="G83" s="27">
        <v>6.8329350000000003E-4</v>
      </c>
      <c r="H83" s="28">
        <v>14760</v>
      </c>
      <c r="I83" s="28">
        <v>800</v>
      </c>
      <c r="J83" s="29" t="s">
        <v>79</v>
      </c>
      <c r="K83" s="26">
        <v>9.2936804299999995E-2</v>
      </c>
      <c r="L83" s="26">
        <v>0.1675932987</v>
      </c>
      <c r="M83" s="26">
        <v>0.42441862829999999</v>
      </c>
      <c r="N83" s="26">
        <v>0.39204538119999999</v>
      </c>
      <c r="O83" s="26">
        <v>0.35754005459999999</v>
      </c>
      <c r="P83" s="26">
        <f t="shared" si="2"/>
        <v>0.11261453193048276</v>
      </c>
      <c r="Q83" s="26">
        <v>-0.2124402208</v>
      </c>
      <c r="R83" s="30">
        <v>-0.12979404089999999</v>
      </c>
      <c r="S83" s="26">
        <v>0.35449100630000002</v>
      </c>
      <c r="T83" s="26">
        <v>-0.31269157539999998</v>
      </c>
      <c r="U83" s="24" t="s">
        <v>130</v>
      </c>
    </row>
    <row r="84" spans="1:21" x14ac:dyDescent="0.25">
      <c r="A84" s="24" t="s">
        <v>162</v>
      </c>
      <c r="B84" s="24" t="s">
        <v>78</v>
      </c>
      <c r="C84" s="25">
        <v>6700</v>
      </c>
      <c r="D84" s="26">
        <v>-1.18E-2</v>
      </c>
      <c r="E84" s="25">
        <v>6600.21</v>
      </c>
      <c r="F84" s="25">
        <v>6799.99</v>
      </c>
      <c r="G84" s="27">
        <v>2.98174654E-2</v>
      </c>
      <c r="H84" s="28">
        <v>1600</v>
      </c>
      <c r="I84" s="28">
        <v>1400</v>
      </c>
      <c r="J84" s="29" t="s">
        <v>79</v>
      </c>
      <c r="K84" s="26">
        <v>1.00834002E-2</v>
      </c>
      <c r="L84" s="26">
        <v>-9.8493059999999993E-2</v>
      </c>
      <c r="M84" s="26">
        <v>0.26098833599999999</v>
      </c>
      <c r="N84" s="26">
        <v>2.7220404399999999E-2</v>
      </c>
      <c r="O84" s="26">
        <v>0.35805667359999999</v>
      </c>
      <c r="P84" s="26">
        <f t="shared" si="2"/>
        <v>0.11277725162055073</v>
      </c>
      <c r="Q84" s="26">
        <v>-0.31144564390000001</v>
      </c>
      <c r="R84" s="30">
        <v>0.18091626720000001</v>
      </c>
      <c r="S84" s="26">
        <v>0.42932884199999999</v>
      </c>
      <c r="T84" s="26">
        <v>-0.55883136609999995</v>
      </c>
      <c r="U84" s="24" t="s">
        <v>130</v>
      </c>
    </row>
    <row r="85" spans="1:21" x14ac:dyDescent="0.25">
      <c r="A85" s="24" t="s">
        <v>163</v>
      </c>
      <c r="B85" s="24" t="s">
        <v>78</v>
      </c>
      <c r="C85" s="25">
        <v>1249.97</v>
      </c>
      <c r="D85" s="26">
        <v>1.54E-2</v>
      </c>
      <c r="E85" s="25">
        <v>1247.03</v>
      </c>
      <c r="F85" s="25">
        <v>1257.49</v>
      </c>
      <c r="G85" s="27">
        <v>8.3528979999999992E-3</v>
      </c>
      <c r="H85" s="28">
        <v>5750</v>
      </c>
      <c r="I85" s="28">
        <v>4750</v>
      </c>
      <c r="J85" s="29" t="s">
        <v>79</v>
      </c>
      <c r="K85" s="26">
        <v>2.8862388199999998E-2</v>
      </c>
      <c r="L85" s="26">
        <v>-5.4048739700000001E-2</v>
      </c>
      <c r="M85" s="26">
        <v>-1.2919773900000001E-2</v>
      </c>
      <c r="N85" s="26">
        <v>-0.31045585949999999</v>
      </c>
      <c r="O85" s="26">
        <v>0.36181854870000002</v>
      </c>
      <c r="P85" s="26">
        <f t="shared" si="2"/>
        <v>0.11396213090363244</v>
      </c>
      <c r="Q85" s="26">
        <v>-0.37584381249999999</v>
      </c>
      <c r="R85" s="30">
        <v>0.22315842259999999</v>
      </c>
      <c r="S85" s="26">
        <v>0.34773604530000002</v>
      </c>
      <c r="T85" s="26">
        <v>-0.23521313620000001</v>
      </c>
      <c r="U85" s="24" t="s">
        <v>130</v>
      </c>
    </row>
    <row r="86" spans="1:21" x14ac:dyDescent="0.25">
      <c r="A86" s="24" t="s">
        <v>164</v>
      </c>
      <c r="B86" s="24" t="s">
        <v>78</v>
      </c>
      <c r="C86" s="25">
        <v>2109.1999999999998</v>
      </c>
      <c r="D86" s="26">
        <v>-3.7000000000000002E-3</v>
      </c>
      <c r="E86" s="25">
        <v>2061.81</v>
      </c>
      <c r="F86" s="25">
        <v>2163.19</v>
      </c>
      <c r="G86" s="27">
        <v>4.7990532500000002E-2</v>
      </c>
      <c r="H86" s="28">
        <v>16000</v>
      </c>
      <c r="I86" s="28">
        <v>15000</v>
      </c>
      <c r="J86" s="29" t="s">
        <v>79</v>
      </c>
      <c r="K86" s="26">
        <v>0.13227850120000001</v>
      </c>
      <c r="L86" s="26">
        <v>-1.52035087E-2</v>
      </c>
      <c r="M86" s="26">
        <v>0.44936325700000002</v>
      </c>
      <c r="N86" s="26">
        <v>0.68029697229999997</v>
      </c>
      <c r="O86" s="26">
        <v>0.36212117690000001</v>
      </c>
      <c r="P86" s="26">
        <f t="shared" si="2"/>
        <v>0.11405744982707471</v>
      </c>
      <c r="Q86" s="26">
        <v>-0.19131725469999999</v>
      </c>
      <c r="R86" s="30">
        <v>0.36249238700000003</v>
      </c>
      <c r="S86" s="26">
        <v>0.44976636679999998</v>
      </c>
      <c r="T86" s="26">
        <v>-0.1655889576</v>
      </c>
      <c r="U86" s="24" t="s">
        <v>130</v>
      </c>
    </row>
    <row r="87" spans="1:21" x14ac:dyDescent="0.25">
      <c r="A87" s="24" t="s">
        <v>165</v>
      </c>
      <c r="B87" s="24" t="s">
        <v>78</v>
      </c>
      <c r="C87" s="25">
        <v>888</v>
      </c>
      <c r="D87" s="26">
        <v>3.2599999999999997E-2</v>
      </c>
      <c r="E87" s="25">
        <v>865.21</v>
      </c>
      <c r="F87" s="25">
        <v>906.39</v>
      </c>
      <c r="G87" s="27">
        <v>4.6489049400000003E-2</v>
      </c>
      <c r="H87" s="28">
        <v>1400</v>
      </c>
      <c r="I87" s="28">
        <v>2800</v>
      </c>
      <c r="J87" s="29" t="s">
        <v>79</v>
      </c>
      <c r="K87" s="26">
        <v>6.7566450299999997E-2</v>
      </c>
      <c r="L87" s="26">
        <v>0.1938398019</v>
      </c>
      <c r="M87" s="26">
        <v>6.6032011500000001E-2</v>
      </c>
      <c r="N87" s="26">
        <v>0.40408488539999998</v>
      </c>
      <c r="O87" s="26">
        <v>0.36280187380000001</v>
      </c>
      <c r="P87" s="26">
        <f t="shared" si="2"/>
        <v>0.11427184919798097</v>
      </c>
      <c r="Q87" s="26">
        <v>-0.24139527750000001</v>
      </c>
      <c r="R87" s="30">
        <v>-0.4220819744</v>
      </c>
      <c r="S87" s="26">
        <v>0.2583951552</v>
      </c>
      <c r="T87" s="26">
        <v>-0.2264321457</v>
      </c>
      <c r="U87" s="24" t="s">
        <v>130</v>
      </c>
    </row>
    <row r="88" spans="1:21" x14ac:dyDescent="0.25">
      <c r="A88" s="24" t="s">
        <v>166</v>
      </c>
      <c r="B88" s="24" t="s">
        <v>78</v>
      </c>
      <c r="C88" s="25">
        <v>2945</v>
      </c>
      <c r="D88" s="26">
        <v>2.1000000000000001E-2</v>
      </c>
      <c r="E88" s="25">
        <v>2887.51</v>
      </c>
      <c r="F88" s="25">
        <v>2999.99</v>
      </c>
      <c r="G88" s="27">
        <v>3.8209766499999999E-2</v>
      </c>
      <c r="H88" s="28">
        <v>7800</v>
      </c>
      <c r="I88" s="28">
        <v>7400</v>
      </c>
      <c r="J88" s="29" t="s">
        <v>79</v>
      </c>
      <c r="K88" s="26">
        <v>1.8234054999999999E-2</v>
      </c>
      <c r="L88" s="26">
        <v>0.12053772460000001</v>
      </c>
      <c r="M88" s="26">
        <v>0.29614887220000002</v>
      </c>
      <c r="N88" s="26">
        <v>0.3289495026</v>
      </c>
      <c r="O88" s="26">
        <v>0.36697926330000002</v>
      </c>
      <c r="P88" s="26">
        <f t="shared" si="2"/>
        <v>0.11558760321541579</v>
      </c>
      <c r="Q88" s="26">
        <v>-0.20522999980000001</v>
      </c>
      <c r="R88" s="30">
        <v>0.24069744370000001</v>
      </c>
      <c r="S88" s="26">
        <v>0.30739086609999999</v>
      </c>
      <c r="T88" s="26">
        <v>-0.25370276959999999</v>
      </c>
      <c r="U88" s="24" t="s">
        <v>130</v>
      </c>
    </row>
    <row r="89" spans="1:21" x14ac:dyDescent="0.25">
      <c r="A89" s="24" t="s">
        <v>167</v>
      </c>
      <c r="B89" s="24" t="s">
        <v>82</v>
      </c>
      <c r="C89" s="25">
        <v>231.6</v>
      </c>
      <c r="D89" s="26">
        <v>4.1000000000000003E-3</v>
      </c>
      <c r="E89" s="25">
        <v>231.58</v>
      </c>
      <c r="F89" s="25">
        <v>231.6</v>
      </c>
      <c r="G89" s="27">
        <v>8.6359499999999999E-5</v>
      </c>
      <c r="H89" s="28">
        <v>2926</v>
      </c>
      <c r="I89" s="28">
        <v>3477</v>
      </c>
      <c r="J89" s="29" t="s">
        <v>79</v>
      </c>
      <c r="K89" s="26">
        <v>7.3619204999999998E-3</v>
      </c>
      <c r="L89" s="26">
        <v>0.17431492940000001</v>
      </c>
      <c r="M89" s="26">
        <v>0.1327430242</v>
      </c>
      <c r="N89" s="26">
        <v>0.7337300363</v>
      </c>
      <c r="O89" s="26">
        <v>0.36899082509999998</v>
      </c>
      <c r="P89" s="26">
        <f t="shared" si="2"/>
        <v>0.11622118562846785</v>
      </c>
      <c r="Q89" s="26">
        <v>-0.21068417480000001</v>
      </c>
      <c r="R89" s="30">
        <v>1.7015402173</v>
      </c>
      <c r="S89" s="26">
        <v>0.31092820850000003</v>
      </c>
      <c r="T89" s="26">
        <v>-0.16161257279999999</v>
      </c>
      <c r="U89" s="24" t="s">
        <v>130</v>
      </c>
    </row>
    <row r="90" spans="1:21" x14ac:dyDescent="0.25">
      <c r="A90" s="24" t="s">
        <v>168</v>
      </c>
      <c r="B90" s="24" t="s">
        <v>78</v>
      </c>
      <c r="C90" s="25">
        <v>1090</v>
      </c>
      <c r="D90" s="26">
        <v>4.53E-2</v>
      </c>
      <c r="E90" s="25">
        <v>1065</v>
      </c>
      <c r="F90" s="25">
        <v>1086</v>
      </c>
      <c r="G90" s="27">
        <v>1.9525801999999998E-2</v>
      </c>
      <c r="H90" s="28">
        <v>3600</v>
      </c>
      <c r="I90" s="28">
        <v>8</v>
      </c>
      <c r="J90" s="29" t="s">
        <v>79</v>
      </c>
      <c r="K90" s="26">
        <v>3.88783355E-2</v>
      </c>
      <c r="L90" s="26">
        <v>0.16092731800000001</v>
      </c>
      <c r="M90" s="26">
        <v>5.9450452299999998E-2</v>
      </c>
      <c r="N90" s="26">
        <v>0.315255069</v>
      </c>
      <c r="O90" s="26">
        <v>0.37046911580000003</v>
      </c>
      <c r="P90" s="26">
        <f t="shared" si="2"/>
        <v>0.11668680343295115</v>
      </c>
      <c r="Q90" s="26">
        <v>-0.29898632739999997</v>
      </c>
      <c r="R90" s="30">
        <v>-0.44415167220000001</v>
      </c>
      <c r="S90" s="26">
        <v>0.38777881380000001</v>
      </c>
      <c r="T90" s="26">
        <v>-0.23907915169999999</v>
      </c>
      <c r="U90" s="24" t="s">
        <v>130</v>
      </c>
    </row>
    <row r="91" spans="1:21" x14ac:dyDescent="0.25">
      <c r="A91" s="24" t="s">
        <v>169</v>
      </c>
      <c r="B91" s="24" t="s">
        <v>78</v>
      </c>
      <c r="C91" s="25">
        <v>1293</v>
      </c>
      <c r="D91" s="26">
        <v>2.9499999999999998E-2</v>
      </c>
      <c r="E91" s="25">
        <v>1292</v>
      </c>
      <c r="F91" s="25">
        <v>1293</v>
      </c>
      <c r="G91" s="27">
        <v>7.7369440000000004E-4</v>
      </c>
      <c r="H91" s="28">
        <v>2086</v>
      </c>
      <c r="I91" s="28">
        <v>6</v>
      </c>
      <c r="J91" s="29" t="s">
        <v>79</v>
      </c>
      <c r="K91" s="26">
        <v>-6.0460295000000002E-3</v>
      </c>
      <c r="L91" s="26">
        <v>-6.9156143000000002E-3</v>
      </c>
      <c r="M91" s="26">
        <v>-0.28225384139999998</v>
      </c>
      <c r="N91" s="26">
        <v>-0.41492192249999998</v>
      </c>
      <c r="O91" s="26">
        <v>0.37746063749999997</v>
      </c>
      <c r="P91" s="26">
        <f t="shared" si="2"/>
        <v>0.1188889257786787</v>
      </c>
      <c r="Q91" s="26">
        <v>-0.4808528601</v>
      </c>
      <c r="R91" s="30">
        <v>-5.5366636599999998E-2</v>
      </c>
      <c r="S91" s="26">
        <v>0.32979698940000002</v>
      </c>
      <c r="T91" s="26">
        <v>-0.2027730247</v>
      </c>
      <c r="U91" s="24" t="s">
        <v>130</v>
      </c>
    </row>
    <row r="92" spans="1:21" x14ac:dyDescent="0.25">
      <c r="A92" s="24" t="s">
        <v>170</v>
      </c>
      <c r="B92" s="24" t="s">
        <v>78</v>
      </c>
      <c r="C92" s="25">
        <v>623.11</v>
      </c>
      <c r="D92" s="26">
        <v>1.6899999999999998E-2</v>
      </c>
      <c r="E92" s="25">
        <v>623</v>
      </c>
      <c r="F92" s="25">
        <v>623.11</v>
      </c>
      <c r="G92" s="27">
        <v>1.7654939999999999E-4</v>
      </c>
      <c r="H92" s="28">
        <v>3</v>
      </c>
      <c r="I92" s="28">
        <v>23</v>
      </c>
      <c r="J92" s="29" t="s">
        <v>79</v>
      </c>
      <c r="K92" s="26">
        <v>-2.4268668600000001E-2</v>
      </c>
      <c r="L92" s="26">
        <v>-0.1996727858</v>
      </c>
      <c r="M92" s="26">
        <v>-0.1814366087</v>
      </c>
      <c r="N92" s="26">
        <v>-0.49624044979999998</v>
      </c>
      <c r="O92" s="26">
        <v>0.37829514419999999</v>
      </c>
      <c r="P92" s="26">
        <f t="shared" si="2"/>
        <v>0.11915177068291885</v>
      </c>
      <c r="Q92" s="26">
        <v>-0.51001105189999996</v>
      </c>
      <c r="R92" s="30">
        <v>0.18422030040000001</v>
      </c>
      <c r="S92" s="26">
        <v>0.28925398810000003</v>
      </c>
      <c r="T92" s="26">
        <v>-0.31201414830000002</v>
      </c>
      <c r="U92" s="24" t="s">
        <v>130</v>
      </c>
    </row>
    <row r="93" spans="1:21" x14ac:dyDescent="0.25">
      <c r="A93" s="24" t="s">
        <v>171</v>
      </c>
      <c r="B93" s="24" t="s">
        <v>78</v>
      </c>
      <c r="C93" s="25">
        <v>219.1</v>
      </c>
      <c r="D93" s="26">
        <v>8.0000000000000002E-3</v>
      </c>
      <c r="E93" s="25">
        <v>216.04</v>
      </c>
      <c r="F93" s="25">
        <v>220.29</v>
      </c>
      <c r="G93" s="27">
        <v>1.94806683E-2</v>
      </c>
      <c r="H93" s="28">
        <v>16500</v>
      </c>
      <c r="I93" s="28">
        <v>49500</v>
      </c>
      <c r="J93" s="29" t="s">
        <v>79</v>
      </c>
      <c r="K93" s="26">
        <v>-4.7960800099999999E-2</v>
      </c>
      <c r="L93" s="26">
        <v>-0.10858332060000001</v>
      </c>
      <c r="M93" s="26">
        <v>3.7878924000000001E-2</v>
      </c>
      <c r="N93" s="26">
        <v>3.67822555E-2</v>
      </c>
      <c r="O93" s="26">
        <v>0.38009355500000003</v>
      </c>
      <c r="P93" s="26">
        <f t="shared" si="2"/>
        <v>0.11971821684148228</v>
      </c>
      <c r="Q93" s="26">
        <v>-0.27490831529999998</v>
      </c>
      <c r="R93" s="30">
        <v>0.46658610540000001</v>
      </c>
      <c r="S93" s="26">
        <v>0.41240674360000001</v>
      </c>
      <c r="T93" s="26">
        <v>-0.21919775229999999</v>
      </c>
      <c r="U93" s="24" t="s">
        <v>130</v>
      </c>
    </row>
    <row r="94" spans="1:21" x14ac:dyDescent="0.25">
      <c r="A94" s="24" t="s">
        <v>172</v>
      </c>
      <c r="B94" s="24" t="s">
        <v>78</v>
      </c>
      <c r="C94" s="25">
        <v>4279</v>
      </c>
      <c r="D94" s="26">
        <v>2.7000000000000001E-3</v>
      </c>
      <c r="E94" s="25">
        <v>4271.01</v>
      </c>
      <c r="F94" s="25">
        <v>4289.99</v>
      </c>
      <c r="G94" s="27">
        <v>4.4340613999999997E-3</v>
      </c>
      <c r="H94" s="28">
        <v>3600</v>
      </c>
      <c r="I94" s="28">
        <v>3200</v>
      </c>
      <c r="J94" s="29" t="s">
        <v>79</v>
      </c>
      <c r="K94" s="26">
        <v>0.1202481645</v>
      </c>
      <c r="L94" s="26">
        <v>0.1451840157</v>
      </c>
      <c r="M94" s="26">
        <v>0.322071993</v>
      </c>
      <c r="N94" s="26">
        <v>0.25027671200000001</v>
      </c>
      <c r="O94" s="26">
        <v>0.38329749730000001</v>
      </c>
      <c r="P94" s="26">
        <f t="shared" si="2"/>
        <v>0.12072736381062517</v>
      </c>
      <c r="Q94" s="26">
        <v>-0.22420084400000001</v>
      </c>
      <c r="R94" s="30">
        <v>0.47852765260000002</v>
      </c>
      <c r="S94" s="26">
        <v>0.65679660070000001</v>
      </c>
      <c r="T94" s="26">
        <v>-0.26435800840000001</v>
      </c>
      <c r="U94" s="24" t="s">
        <v>130</v>
      </c>
    </row>
    <row r="95" spans="1:21" x14ac:dyDescent="0.25">
      <c r="A95" s="24" t="s">
        <v>173</v>
      </c>
      <c r="B95" s="24" t="s">
        <v>82</v>
      </c>
      <c r="C95" s="25">
        <v>21.66</v>
      </c>
      <c r="D95" s="26">
        <v>-2.6100000000000002E-2</v>
      </c>
      <c r="E95" s="25">
        <v>21.65</v>
      </c>
      <c r="F95" s="25">
        <v>21.66</v>
      </c>
      <c r="G95" s="27">
        <v>4.617871E-4</v>
      </c>
      <c r="H95" s="28">
        <v>2373</v>
      </c>
      <c r="I95" s="28">
        <v>606</v>
      </c>
      <c r="J95" s="29" t="s">
        <v>79</v>
      </c>
      <c r="K95" s="26">
        <v>6.93215259E-2</v>
      </c>
      <c r="L95" s="26">
        <v>-3.4620535399999999E-2</v>
      </c>
      <c r="M95" s="26">
        <v>2.1126797100000001E-2</v>
      </c>
      <c r="N95" s="26">
        <v>0.26086956519999999</v>
      </c>
      <c r="O95" s="26">
        <v>0.38673769889999998</v>
      </c>
      <c r="P95" s="26">
        <f t="shared" si="2"/>
        <v>0.1218109254646164</v>
      </c>
      <c r="Q95" s="26">
        <v>-0.2301748602</v>
      </c>
      <c r="R95" s="30">
        <v>0.87286635859999995</v>
      </c>
      <c r="S95" s="26">
        <v>0.38278748289999998</v>
      </c>
      <c r="T95" s="26">
        <v>-0.25169539600000002</v>
      </c>
      <c r="U95" s="24" t="s">
        <v>130</v>
      </c>
    </row>
    <row r="96" spans="1:21" x14ac:dyDescent="0.25">
      <c r="A96" s="24" t="s">
        <v>174</v>
      </c>
      <c r="B96" s="24" t="s">
        <v>82</v>
      </c>
      <c r="C96" s="25">
        <v>7.89</v>
      </c>
      <c r="D96" s="26">
        <v>-5.0000000000000001E-3</v>
      </c>
      <c r="E96" s="25">
        <v>7.88</v>
      </c>
      <c r="F96" s="25">
        <v>7.89</v>
      </c>
      <c r="G96" s="27">
        <v>1.2682308E-3</v>
      </c>
      <c r="H96" s="28">
        <v>13644</v>
      </c>
      <c r="I96" s="28">
        <v>3067</v>
      </c>
      <c r="J96" s="29" t="s">
        <v>79</v>
      </c>
      <c r="K96" s="26">
        <v>-5.96658703E-2</v>
      </c>
      <c r="L96" s="26">
        <v>-0.19096506160000001</v>
      </c>
      <c r="M96" s="26">
        <v>-0.2408477815</v>
      </c>
      <c r="N96" s="26">
        <v>-0.1590181205</v>
      </c>
      <c r="O96" s="26">
        <v>0.40029310379999999</v>
      </c>
      <c r="P96" s="26">
        <f t="shared" si="2"/>
        <v>0.12608047668916242</v>
      </c>
      <c r="Q96" s="26">
        <v>-0.35527429360000001</v>
      </c>
      <c r="R96" s="30">
        <v>0.57159000780000002</v>
      </c>
      <c r="S96" s="26">
        <v>0.42999996070000002</v>
      </c>
      <c r="T96" s="26">
        <v>-0.25137613250000002</v>
      </c>
      <c r="U96" s="24" t="s">
        <v>130</v>
      </c>
    </row>
    <row r="97" spans="1:21" x14ac:dyDescent="0.25">
      <c r="A97" s="24" t="s">
        <v>175</v>
      </c>
      <c r="B97" s="24" t="s">
        <v>78</v>
      </c>
      <c r="C97" s="25">
        <v>465</v>
      </c>
      <c r="D97" s="26">
        <v>5.7099999999999998E-2</v>
      </c>
      <c r="E97" s="25">
        <v>455.01</v>
      </c>
      <c r="F97" s="25">
        <v>471.99</v>
      </c>
      <c r="G97" s="27">
        <v>3.6634304200000002E-2</v>
      </c>
      <c r="H97" s="28">
        <v>4800</v>
      </c>
      <c r="I97" s="28">
        <v>4800</v>
      </c>
      <c r="J97" s="29" t="s">
        <v>79</v>
      </c>
      <c r="K97" s="26">
        <v>0.36931661319999998</v>
      </c>
      <c r="L97" s="26">
        <v>0.2112472262</v>
      </c>
      <c r="M97" s="26">
        <v>0.15426388869999999</v>
      </c>
      <c r="N97" s="26">
        <v>3.1420820500000002E-2</v>
      </c>
      <c r="O97" s="26">
        <v>0.40264512730000002</v>
      </c>
      <c r="P97" s="26">
        <f t="shared" si="2"/>
        <v>0.12682129445806475</v>
      </c>
      <c r="Q97" s="26">
        <v>-0.34557331270000002</v>
      </c>
      <c r="R97" s="30">
        <v>4.01752321E-2</v>
      </c>
      <c r="S97" s="26">
        <v>3.5550545849000001</v>
      </c>
      <c r="T97" s="26">
        <v>-0.423650478</v>
      </c>
      <c r="U97" s="24" t="s">
        <v>130</v>
      </c>
    </row>
    <row r="98" spans="1:21" x14ac:dyDescent="0.25">
      <c r="A98" s="24" t="s">
        <v>176</v>
      </c>
      <c r="B98" s="24" t="s">
        <v>78</v>
      </c>
      <c r="C98" s="25">
        <v>1478.74</v>
      </c>
      <c r="D98" s="26">
        <v>-7.6E-3</v>
      </c>
      <c r="E98" s="25">
        <v>1451.81</v>
      </c>
      <c r="F98" s="25">
        <v>1523.19</v>
      </c>
      <c r="G98" s="27">
        <v>4.7986554600000002E-2</v>
      </c>
      <c r="H98" s="28">
        <v>1600</v>
      </c>
      <c r="I98" s="28">
        <v>1600</v>
      </c>
      <c r="J98" s="29" t="s">
        <v>79</v>
      </c>
      <c r="K98" s="26">
        <v>0.1046157625</v>
      </c>
      <c r="L98" s="26">
        <v>-4.0260222999999998E-2</v>
      </c>
      <c r="M98" s="26">
        <v>0.24937929440000001</v>
      </c>
      <c r="N98" s="26">
        <v>0.4319795776</v>
      </c>
      <c r="O98" s="26">
        <v>0.40459813770000003</v>
      </c>
      <c r="P98" s="26">
        <f t="shared" si="2"/>
        <v>0.12743643491357939</v>
      </c>
      <c r="Q98" s="26">
        <v>-0.2183496643</v>
      </c>
      <c r="R98" s="30">
        <v>0.63891146350000005</v>
      </c>
      <c r="S98" s="26">
        <v>0.38674810869999998</v>
      </c>
      <c r="T98" s="26">
        <v>-0.39631812049999998</v>
      </c>
      <c r="U98" s="24" t="s">
        <v>130</v>
      </c>
    </row>
    <row r="99" spans="1:21" x14ac:dyDescent="0.25">
      <c r="A99" s="24" t="s">
        <v>177</v>
      </c>
      <c r="B99" s="24" t="s">
        <v>78</v>
      </c>
      <c r="C99" s="25">
        <v>8479.99</v>
      </c>
      <c r="D99" s="26">
        <v>-2.8999999999999998E-3</v>
      </c>
      <c r="E99" s="25">
        <v>8427.01</v>
      </c>
      <c r="F99" s="25">
        <v>8479.99</v>
      </c>
      <c r="G99" s="27">
        <v>6.2672266000000001E-3</v>
      </c>
      <c r="H99" s="28">
        <v>4400</v>
      </c>
      <c r="I99" s="28">
        <v>4600</v>
      </c>
      <c r="J99" s="29" t="s">
        <v>79</v>
      </c>
      <c r="K99" s="26">
        <v>0.1367441989</v>
      </c>
      <c r="L99" s="26">
        <v>9.9170086500000004E-2</v>
      </c>
      <c r="M99" s="26">
        <v>0.31548009640000002</v>
      </c>
      <c r="N99" s="26">
        <v>0.56431626820000003</v>
      </c>
      <c r="O99" s="26">
        <v>0.4107294225</v>
      </c>
      <c r="P99" s="26">
        <f t="shared" si="2"/>
        <v>0.12936760810383061</v>
      </c>
      <c r="Q99" s="26">
        <v>-0.2170463698</v>
      </c>
      <c r="R99" s="30">
        <v>0.82620301149999997</v>
      </c>
      <c r="S99" s="26">
        <v>0.35994918720000002</v>
      </c>
      <c r="T99" s="26">
        <v>-0.21524684990000001</v>
      </c>
      <c r="U99" s="24" t="s">
        <v>130</v>
      </c>
    </row>
    <row r="100" spans="1:21" x14ac:dyDescent="0.25">
      <c r="A100" s="24" t="s">
        <v>178</v>
      </c>
      <c r="B100" s="24" t="s">
        <v>78</v>
      </c>
      <c r="C100" s="25">
        <v>14650</v>
      </c>
      <c r="D100" s="26">
        <v>2.0999999999999999E-3</v>
      </c>
      <c r="E100" s="25">
        <v>14590.01</v>
      </c>
      <c r="F100" s="25">
        <v>14988.79</v>
      </c>
      <c r="G100" s="27">
        <v>2.69639066E-2</v>
      </c>
      <c r="H100" s="28">
        <v>500</v>
      </c>
      <c r="I100" s="28">
        <v>400</v>
      </c>
      <c r="J100" s="29" t="s">
        <v>79</v>
      </c>
      <c r="K100" s="26">
        <v>5.3203005099999999E-2</v>
      </c>
      <c r="L100" s="26">
        <v>-0.12883098709999999</v>
      </c>
      <c r="M100" s="26">
        <v>6.1740101399999997E-2</v>
      </c>
      <c r="N100" s="26">
        <v>0.64204784640000001</v>
      </c>
      <c r="O100" s="26">
        <v>0.41530552339999999</v>
      </c>
      <c r="P100" s="26">
        <f t="shared" si="2"/>
        <v>0.13080894440808524</v>
      </c>
      <c r="Q100" s="26">
        <v>-0.28755656909999999</v>
      </c>
      <c r="R100" s="30">
        <v>1.0068008329</v>
      </c>
      <c r="S100" s="26">
        <v>0.31126146669999999</v>
      </c>
      <c r="T100" s="26">
        <v>-0.2398079746</v>
      </c>
      <c r="U100" s="24" t="s">
        <v>130</v>
      </c>
    </row>
    <row r="101" spans="1:21" x14ac:dyDescent="0.25">
      <c r="A101" s="24" t="s">
        <v>179</v>
      </c>
      <c r="B101" s="24" t="s">
        <v>78</v>
      </c>
      <c r="C101" s="25">
        <v>2749</v>
      </c>
      <c r="D101" s="26">
        <v>0</v>
      </c>
      <c r="E101" s="25">
        <v>2728.01</v>
      </c>
      <c r="F101" s="25">
        <v>2849.99</v>
      </c>
      <c r="G101" s="27">
        <v>4.3736106099999998E-2</v>
      </c>
      <c r="H101" s="28">
        <v>1200</v>
      </c>
      <c r="I101" s="28">
        <v>1000</v>
      </c>
      <c r="J101" s="29" t="s">
        <v>79</v>
      </c>
      <c r="K101" s="26">
        <v>6.5985590900000002E-2</v>
      </c>
      <c r="L101" s="26">
        <v>0.1169892607</v>
      </c>
      <c r="M101" s="26">
        <v>0.57912953990000005</v>
      </c>
      <c r="N101" s="26">
        <v>0.47597591249999999</v>
      </c>
      <c r="O101" s="26">
        <v>0.4161120982</v>
      </c>
      <c r="P101" s="26">
        <f t="shared" ref="P101:P132" si="3">IF(O101="","",O101*SQRT(25/252))</f>
        <v>0.13106299159077234</v>
      </c>
      <c r="Q101" s="26">
        <v>-0.3058514115</v>
      </c>
      <c r="R101" s="30">
        <v>0.69435614649999999</v>
      </c>
      <c r="S101" s="26">
        <v>0.79956580170000002</v>
      </c>
      <c r="T101" s="26">
        <v>-0.35504364100000002</v>
      </c>
      <c r="U101" s="24" t="s">
        <v>180</v>
      </c>
    </row>
    <row r="102" spans="1:21" x14ac:dyDescent="0.25">
      <c r="A102" s="24" t="s">
        <v>181</v>
      </c>
      <c r="B102" s="24" t="s">
        <v>78</v>
      </c>
      <c r="C102" s="25">
        <v>1917.74</v>
      </c>
      <c r="D102" s="26">
        <v>-3.5999999999999999E-3</v>
      </c>
      <c r="E102" s="25">
        <v>1917.67</v>
      </c>
      <c r="F102" s="25">
        <v>1921.64</v>
      </c>
      <c r="G102" s="27">
        <v>2.0680798999999999E-3</v>
      </c>
      <c r="H102" s="28">
        <v>3750</v>
      </c>
      <c r="I102" s="28">
        <v>3750</v>
      </c>
      <c r="J102" s="29" t="s">
        <v>79</v>
      </c>
      <c r="K102" s="26">
        <v>2.51556761E-2</v>
      </c>
      <c r="L102" s="26">
        <v>-3.7357979600000001E-2</v>
      </c>
      <c r="M102" s="26">
        <v>-0.1408138944</v>
      </c>
      <c r="N102" s="26">
        <v>-0.4244221768</v>
      </c>
      <c r="O102" s="26">
        <v>0.41821672269999999</v>
      </c>
      <c r="P102" s="26">
        <f t="shared" si="3"/>
        <v>0.13172588599912635</v>
      </c>
      <c r="Q102" s="26">
        <v>-0.49696908690000002</v>
      </c>
      <c r="R102" s="30">
        <v>0.5802830672</v>
      </c>
      <c r="S102" s="26">
        <v>0.72583372089999998</v>
      </c>
      <c r="T102" s="26">
        <v>-0.28408151230000001</v>
      </c>
      <c r="U102" s="24" t="s">
        <v>180</v>
      </c>
    </row>
    <row r="103" spans="1:21" x14ac:dyDescent="0.25">
      <c r="A103" s="24" t="s">
        <v>182</v>
      </c>
      <c r="B103" s="24" t="s">
        <v>78</v>
      </c>
      <c r="C103" s="25">
        <v>13100</v>
      </c>
      <c r="D103" s="26">
        <v>1.0800000000000001E-2</v>
      </c>
      <c r="E103" s="25">
        <v>13044.02</v>
      </c>
      <c r="F103" s="25">
        <v>13130.69</v>
      </c>
      <c r="G103" s="27">
        <v>6.6224229000000001E-3</v>
      </c>
      <c r="H103" s="28">
        <v>1400</v>
      </c>
      <c r="I103" s="28">
        <v>1200</v>
      </c>
      <c r="J103" s="29" t="s">
        <v>79</v>
      </c>
      <c r="K103" s="26">
        <v>0.1697084623</v>
      </c>
      <c r="L103" s="26">
        <v>0.1016419113</v>
      </c>
      <c r="M103" s="26">
        <v>0.1804704805</v>
      </c>
      <c r="N103" s="26">
        <v>-8.6306837000000008E-3</v>
      </c>
      <c r="O103" s="26">
        <v>0.41889295659999998</v>
      </c>
      <c r="P103" s="26">
        <f t="shared" si="3"/>
        <v>0.13193887965716339</v>
      </c>
      <c r="Q103" s="26">
        <v>-0.33020801059999999</v>
      </c>
      <c r="R103" s="30">
        <v>0.42620761899999998</v>
      </c>
      <c r="S103" s="26">
        <v>0.46542587880000003</v>
      </c>
      <c r="T103" s="26">
        <v>-0.26338652239999999</v>
      </c>
      <c r="U103" s="24" t="s">
        <v>180</v>
      </c>
    </row>
    <row r="104" spans="1:21" x14ac:dyDescent="0.25">
      <c r="A104" s="24" t="s">
        <v>183</v>
      </c>
      <c r="B104" s="24" t="s">
        <v>78</v>
      </c>
      <c r="C104" s="25">
        <v>33431.99</v>
      </c>
      <c r="D104" s="26">
        <v>-9.9000000000000008E-3</v>
      </c>
      <c r="E104" s="25">
        <v>33001.51</v>
      </c>
      <c r="F104" s="25">
        <v>33759.96</v>
      </c>
      <c r="G104" s="27">
        <v>2.27211893E-2</v>
      </c>
      <c r="H104" s="28">
        <v>485</v>
      </c>
      <c r="I104" s="28">
        <v>185</v>
      </c>
      <c r="J104" s="29" t="s">
        <v>79</v>
      </c>
      <c r="K104" s="26">
        <v>4.9725575799999998E-2</v>
      </c>
      <c r="L104" s="26">
        <v>2.52879679E-2</v>
      </c>
      <c r="M104" s="26">
        <v>6.4600070600000004E-2</v>
      </c>
      <c r="N104" s="26">
        <v>-0.1697302071</v>
      </c>
      <c r="O104" s="26">
        <v>0.42648307340000002</v>
      </c>
      <c r="P104" s="26">
        <f t="shared" si="3"/>
        <v>0.13432954173748882</v>
      </c>
      <c r="Q104" s="26">
        <v>-0.38861398600000002</v>
      </c>
      <c r="R104" s="30">
        <v>0.51939179229999999</v>
      </c>
      <c r="S104" s="26">
        <v>0.34259380839999998</v>
      </c>
      <c r="T104" s="26">
        <v>-0.22834552129999999</v>
      </c>
      <c r="U104" s="24" t="s">
        <v>180</v>
      </c>
    </row>
    <row r="105" spans="1:21" x14ac:dyDescent="0.25">
      <c r="A105" s="24" t="s">
        <v>184</v>
      </c>
      <c r="B105" s="24" t="s">
        <v>78</v>
      </c>
      <c r="C105" s="25">
        <v>281.77999999999997</v>
      </c>
      <c r="D105" s="26">
        <v>6.4000000000000003E-3</v>
      </c>
      <c r="E105" s="25">
        <v>281.02</v>
      </c>
      <c r="F105" s="25">
        <v>282</v>
      </c>
      <c r="G105" s="27">
        <v>3.4812262000000001E-3</v>
      </c>
      <c r="H105" s="28">
        <v>12800</v>
      </c>
      <c r="I105" s="28">
        <v>4</v>
      </c>
      <c r="J105" s="29" t="s">
        <v>79</v>
      </c>
      <c r="K105" s="26">
        <v>9.7362733300000004E-2</v>
      </c>
      <c r="L105" s="26">
        <v>0.15339073310000001</v>
      </c>
      <c r="M105" s="26">
        <v>7.2909630700000005E-2</v>
      </c>
      <c r="N105" s="26">
        <v>3.2259430999999998E-3</v>
      </c>
      <c r="O105" s="26">
        <v>0.42845294020000002</v>
      </c>
      <c r="P105" s="26">
        <f t="shared" si="3"/>
        <v>0.13494999145995579</v>
      </c>
      <c r="Q105" s="26">
        <v>-0.37576468959999998</v>
      </c>
      <c r="R105" s="30">
        <v>0.79285032040000003</v>
      </c>
      <c r="S105" s="26">
        <v>0.35129967029999998</v>
      </c>
      <c r="T105" s="26">
        <v>-0.34878485349999999</v>
      </c>
      <c r="U105" s="24" t="s">
        <v>180</v>
      </c>
    </row>
    <row r="106" spans="1:21" x14ac:dyDescent="0.25">
      <c r="A106" s="24" t="s">
        <v>185</v>
      </c>
      <c r="B106" s="24" t="s">
        <v>78</v>
      </c>
      <c r="C106" s="25">
        <v>750.04</v>
      </c>
      <c r="D106" s="26">
        <v>0</v>
      </c>
      <c r="E106" s="25"/>
      <c r="F106" s="25"/>
      <c r="G106" s="27"/>
      <c r="H106" s="28">
        <v>0</v>
      </c>
      <c r="I106" s="28">
        <v>0</v>
      </c>
      <c r="J106" s="29" t="s">
        <v>152</v>
      </c>
      <c r="K106" s="26">
        <v>0.1329800444</v>
      </c>
      <c r="L106" s="26">
        <v>-0.1234491735</v>
      </c>
      <c r="M106" s="26">
        <v>6.5930941000000007E-2</v>
      </c>
      <c r="N106" s="26">
        <v>0.26992026949999998</v>
      </c>
      <c r="O106" s="26">
        <v>0.44368823070000002</v>
      </c>
      <c r="P106" s="26">
        <f t="shared" si="3"/>
        <v>0.13974865691410163</v>
      </c>
      <c r="Q106" s="26">
        <v>-0.31971772539999999</v>
      </c>
      <c r="R106" s="30">
        <v>0.71268553050000005</v>
      </c>
      <c r="S106" s="26">
        <v>0.42896079720000002</v>
      </c>
      <c r="T106" s="26">
        <v>-0.25737292979999998</v>
      </c>
      <c r="U106" s="24" t="s">
        <v>180</v>
      </c>
    </row>
    <row r="107" spans="1:21" x14ac:dyDescent="0.25">
      <c r="A107" s="24" t="s">
        <v>186</v>
      </c>
      <c r="B107" s="24" t="s">
        <v>78</v>
      </c>
      <c r="C107" s="25">
        <v>1710</v>
      </c>
      <c r="D107" s="26">
        <v>1.06E-2</v>
      </c>
      <c r="E107" s="25">
        <v>1672.81</v>
      </c>
      <c r="F107" s="25">
        <v>1745.77</v>
      </c>
      <c r="G107" s="27">
        <v>4.2684389400000002E-2</v>
      </c>
      <c r="H107" s="28">
        <v>800</v>
      </c>
      <c r="I107" s="28">
        <v>800</v>
      </c>
      <c r="J107" s="29" t="s">
        <v>79</v>
      </c>
      <c r="K107" s="26">
        <v>4.2651683199999998E-2</v>
      </c>
      <c r="L107" s="26">
        <v>7.7195674899999997E-2</v>
      </c>
      <c r="M107" s="26">
        <v>0.15670418790000001</v>
      </c>
      <c r="N107" s="26">
        <v>0.16334293489999999</v>
      </c>
      <c r="O107" s="26">
        <v>0.44965075450000003</v>
      </c>
      <c r="P107" s="26">
        <f t="shared" si="3"/>
        <v>0.14162667538566159</v>
      </c>
      <c r="Q107" s="26">
        <v>-0.24777603610000001</v>
      </c>
      <c r="R107" s="30">
        <v>0.1930019321</v>
      </c>
      <c r="S107" s="26">
        <v>0.33899085400000001</v>
      </c>
      <c r="T107" s="26">
        <v>-0.23302307659999999</v>
      </c>
      <c r="U107" s="24" t="s">
        <v>180</v>
      </c>
    </row>
    <row r="108" spans="1:21" x14ac:dyDescent="0.25">
      <c r="A108" s="24" t="s">
        <v>187</v>
      </c>
      <c r="B108" s="24" t="s">
        <v>78</v>
      </c>
      <c r="C108" s="25">
        <v>990</v>
      </c>
      <c r="D108" s="26">
        <v>0</v>
      </c>
      <c r="E108" s="25">
        <v>971.72</v>
      </c>
      <c r="F108" s="25">
        <v>998.99</v>
      </c>
      <c r="G108" s="27">
        <v>2.7675304800000002E-2</v>
      </c>
      <c r="H108" s="28">
        <v>5415</v>
      </c>
      <c r="I108" s="28">
        <v>8000</v>
      </c>
      <c r="J108" s="29" t="s">
        <v>79</v>
      </c>
      <c r="K108" s="26">
        <v>0.11051667580000001</v>
      </c>
      <c r="L108" s="26">
        <v>0.2089328302</v>
      </c>
      <c r="M108" s="26">
        <v>0.22831641450000001</v>
      </c>
      <c r="N108" s="26">
        <v>-0.27596185270000001</v>
      </c>
      <c r="O108" s="26">
        <v>0.45477051029999999</v>
      </c>
      <c r="P108" s="26">
        <f t="shared" si="3"/>
        <v>0.14323924688806403</v>
      </c>
      <c r="Q108" s="26">
        <v>-0.51893168479999996</v>
      </c>
      <c r="R108" s="30">
        <v>-4.5200279500000003E-2</v>
      </c>
      <c r="S108" s="26">
        <v>0.40515519529999999</v>
      </c>
      <c r="T108" s="26">
        <v>-0.3614353696</v>
      </c>
      <c r="U108" s="24" t="s">
        <v>180</v>
      </c>
    </row>
    <row r="109" spans="1:21" x14ac:dyDescent="0.25">
      <c r="A109" s="24" t="s">
        <v>188</v>
      </c>
      <c r="B109" s="24" t="s">
        <v>78</v>
      </c>
      <c r="C109" s="25">
        <v>6733.21</v>
      </c>
      <c r="D109" s="26">
        <v>-7.7999999999999996E-3</v>
      </c>
      <c r="E109" s="25">
        <v>6766.88</v>
      </c>
      <c r="F109" s="25">
        <v>6789.99</v>
      </c>
      <c r="G109" s="27">
        <v>3.4093414999999999E-3</v>
      </c>
      <c r="H109" s="28">
        <v>400</v>
      </c>
      <c r="I109" s="28">
        <v>200</v>
      </c>
      <c r="J109" s="29" t="s">
        <v>79</v>
      </c>
      <c r="K109" s="26">
        <v>7.8077455300000001E-2</v>
      </c>
      <c r="L109" s="26">
        <v>-6.23898601E-2</v>
      </c>
      <c r="M109" s="26">
        <v>0.11200637400000001</v>
      </c>
      <c r="N109" s="26">
        <v>-0.1557101645</v>
      </c>
      <c r="O109" s="26">
        <v>0.46667549209999998</v>
      </c>
      <c r="P109" s="26">
        <f t="shared" si="3"/>
        <v>0.14698896369824857</v>
      </c>
      <c r="Q109" s="26">
        <v>-0.40947490469999998</v>
      </c>
      <c r="R109" s="30">
        <v>1.0091088846</v>
      </c>
      <c r="S109" s="26">
        <v>0.69497040779999997</v>
      </c>
      <c r="T109" s="26">
        <v>-0.46194067249999998</v>
      </c>
      <c r="U109" s="24" t="s">
        <v>180</v>
      </c>
    </row>
    <row r="110" spans="1:21" x14ac:dyDescent="0.25">
      <c r="A110" s="24" t="s">
        <v>189</v>
      </c>
      <c r="B110" s="24" t="s">
        <v>82</v>
      </c>
      <c r="C110" s="25">
        <v>11.49</v>
      </c>
      <c r="D110" s="26">
        <v>-4.3E-3</v>
      </c>
      <c r="E110" s="25">
        <v>11.48</v>
      </c>
      <c r="F110" s="25">
        <v>11.51</v>
      </c>
      <c r="G110" s="27">
        <v>2.6098304000000002E-3</v>
      </c>
      <c r="H110" s="28">
        <v>419</v>
      </c>
      <c r="I110" s="28">
        <v>7505</v>
      </c>
      <c r="J110" s="29" t="s">
        <v>79</v>
      </c>
      <c r="K110" s="26">
        <v>-6.9084563E-3</v>
      </c>
      <c r="L110" s="26">
        <v>-0.2128678802</v>
      </c>
      <c r="M110" s="26">
        <v>-0.14179102029999999</v>
      </c>
      <c r="N110" s="26">
        <v>-9.1627161200000001E-2</v>
      </c>
      <c r="O110" s="26">
        <v>0.47002226149999998</v>
      </c>
      <c r="P110" s="26">
        <f t="shared" si="3"/>
        <v>0.14804309697537724</v>
      </c>
      <c r="Q110" s="26">
        <v>-0.41249996500000002</v>
      </c>
      <c r="R110" s="30">
        <v>1.2009044939</v>
      </c>
      <c r="S110" s="26">
        <v>0.4921367747</v>
      </c>
      <c r="T110" s="26">
        <v>-0.3690265492</v>
      </c>
      <c r="U110" s="24" t="s">
        <v>180</v>
      </c>
    </row>
    <row r="111" spans="1:21" x14ac:dyDescent="0.25">
      <c r="A111" s="24" t="s">
        <v>190</v>
      </c>
      <c r="B111" s="24" t="s">
        <v>78</v>
      </c>
      <c r="C111" s="25">
        <v>1367.58</v>
      </c>
      <c r="D111" s="26">
        <v>0</v>
      </c>
      <c r="E111" s="25">
        <v>1318.91</v>
      </c>
      <c r="F111" s="25">
        <v>1374.99</v>
      </c>
      <c r="G111" s="27">
        <v>4.1634804599999999E-2</v>
      </c>
      <c r="H111" s="28">
        <v>2000</v>
      </c>
      <c r="I111" s="28">
        <v>1500</v>
      </c>
      <c r="J111" s="29" t="s">
        <v>79</v>
      </c>
      <c r="K111" s="26">
        <v>-5.6062730999999998E-3</v>
      </c>
      <c r="L111" s="26">
        <v>-1.51891878E-2</v>
      </c>
      <c r="M111" s="26">
        <v>0.2207121544</v>
      </c>
      <c r="N111" s="26">
        <v>-7.8621446799999994E-2</v>
      </c>
      <c r="O111" s="26">
        <v>0.47649270700000002</v>
      </c>
      <c r="P111" s="26">
        <f t="shared" si="3"/>
        <v>0.15008109574499592</v>
      </c>
      <c r="Q111" s="26">
        <v>-0.43412075700000002</v>
      </c>
      <c r="R111" s="30">
        <v>0.48566375569999998</v>
      </c>
      <c r="S111" s="26">
        <v>0.62487038130000006</v>
      </c>
      <c r="T111" s="26">
        <v>-0.41071499389999999</v>
      </c>
      <c r="U111" s="24" t="s">
        <v>180</v>
      </c>
    </row>
    <row r="112" spans="1:21" x14ac:dyDescent="0.25">
      <c r="A112" s="24" t="s">
        <v>191</v>
      </c>
      <c r="B112" s="24" t="s">
        <v>78</v>
      </c>
      <c r="C112" s="25">
        <v>1284.9000000000001</v>
      </c>
      <c r="D112" s="26">
        <v>-5.4000000000000003E-3</v>
      </c>
      <c r="E112" s="25">
        <v>1275.01</v>
      </c>
      <c r="F112" s="25">
        <v>1299.99</v>
      </c>
      <c r="G112" s="27">
        <v>1.9401941700000001E-2</v>
      </c>
      <c r="H112" s="28">
        <v>1200</v>
      </c>
      <c r="I112" s="28">
        <v>1200</v>
      </c>
      <c r="J112" s="29" t="s">
        <v>79</v>
      </c>
      <c r="K112" s="26">
        <v>-1.5832979099999998E-2</v>
      </c>
      <c r="L112" s="26">
        <v>0.17864954750000001</v>
      </c>
      <c r="M112" s="26">
        <v>9.9361590299999997E-2</v>
      </c>
      <c r="N112" s="26">
        <v>0.71849031740000002</v>
      </c>
      <c r="O112" s="26">
        <v>0.47829830039999999</v>
      </c>
      <c r="P112" s="26">
        <f t="shared" si="3"/>
        <v>0.15064980420991253</v>
      </c>
      <c r="Q112" s="26">
        <v>-0.21867512189999999</v>
      </c>
      <c r="R112" s="30">
        <v>1.5251834042000001</v>
      </c>
      <c r="S112" s="26">
        <v>0.32550847179999998</v>
      </c>
      <c r="T112" s="26">
        <v>-0.230523487</v>
      </c>
      <c r="U112" s="24" t="s">
        <v>180</v>
      </c>
    </row>
    <row r="113" spans="1:21" x14ac:dyDescent="0.25">
      <c r="A113" s="24" t="s">
        <v>192</v>
      </c>
      <c r="B113" s="24" t="s">
        <v>78</v>
      </c>
      <c r="C113" s="25">
        <v>4075</v>
      </c>
      <c r="D113" s="26">
        <v>3.7000000000000002E-3</v>
      </c>
      <c r="E113" s="25">
        <v>3940.61</v>
      </c>
      <c r="F113" s="25">
        <v>4053.64</v>
      </c>
      <c r="G113" s="27">
        <v>2.8277824699999999E-2</v>
      </c>
      <c r="H113" s="28">
        <v>1050</v>
      </c>
      <c r="I113" s="28">
        <v>950</v>
      </c>
      <c r="J113" s="29" t="s">
        <v>79</v>
      </c>
      <c r="K113" s="26">
        <v>-2.9698944800000002E-2</v>
      </c>
      <c r="L113" s="26">
        <v>0.39860498389999999</v>
      </c>
      <c r="M113" s="26">
        <v>0.3474670608</v>
      </c>
      <c r="N113" s="26">
        <v>-8.2636482499999997E-2</v>
      </c>
      <c r="O113" s="26">
        <v>0.4783644239</v>
      </c>
      <c r="P113" s="26">
        <f t="shared" si="3"/>
        <v>0.15067063115477172</v>
      </c>
      <c r="Q113" s="26">
        <v>-0.45933612750000002</v>
      </c>
      <c r="R113" s="30">
        <v>-0.33794718340000002</v>
      </c>
      <c r="S113" s="26">
        <v>0.56386550280000003</v>
      </c>
      <c r="T113" s="26">
        <v>-0.33383347209999997</v>
      </c>
      <c r="U113" s="24" t="s">
        <v>180</v>
      </c>
    </row>
    <row r="114" spans="1:21" x14ac:dyDescent="0.25">
      <c r="A114" s="24" t="s">
        <v>193</v>
      </c>
      <c r="B114" s="24" t="s">
        <v>78</v>
      </c>
      <c r="C114" s="25">
        <v>710</v>
      </c>
      <c r="D114" s="26">
        <v>0</v>
      </c>
      <c r="E114" s="25">
        <v>705.01</v>
      </c>
      <c r="F114" s="25">
        <v>733.59</v>
      </c>
      <c r="G114" s="27">
        <v>3.9733073799999997E-2</v>
      </c>
      <c r="H114" s="28">
        <v>16400</v>
      </c>
      <c r="I114" s="28">
        <v>20500</v>
      </c>
      <c r="J114" s="29" t="s">
        <v>79</v>
      </c>
      <c r="K114" s="26">
        <v>-6.3300291100000003E-2</v>
      </c>
      <c r="L114" s="26">
        <v>0.102122928</v>
      </c>
      <c r="M114" s="26">
        <v>-3.8183019499999998E-2</v>
      </c>
      <c r="N114" s="26">
        <v>0.18365690139999999</v>
      </c>
      <c r="O114" s="26">
        <v>0.478904734</v>
      </c>
      <c r="P114" s="26">
        <f t="shared" si="3"/>
        <v>0.1508408128399451</v>
      </c>
      <c r="Q114" s="26">
        <v>-0.32601496749999997</v>
      </c>
      <c r="R114" s="30">
        <v>1.4349389681</v>
      </c>
      <c r="S114" s="26">
        <v>0.44573442330000002</v>
      </c>
      <c r="T114" s="26">
        <v>-0.1957920712</v>
      </c>
      <c r="U114" s="24" t="s">
        <v>180</v>
      </c>
    </row>
    <row r="115" spans="1:21" x14ac:dyDescent="0.25">
      <c r="A115" s="24" t="s">
        <v>194</v>
      </c>
      <c r="B115" s="24" t="s">
        <v>78</v>
      </c>
      <c r="C115" s="25">
        <v>6779.99</v>
      </c>
      <c r="D115" s="26">
        <v>2.9999999999999997E-4</v>
      </c>
      <c r="E115" s="25">
        <v>6768</v>
      </c>
      <c r="F115" s="25">
        <v>6780</v>
      </c>
      <c r="G115" s="27">
        <v>1.7714791999999999E-3</v>
      </c>
      <c r="H115" s="28">
        <v>7</v>
      </c>
      <c r="I115" s="28">
        <v>100</v>
      </c>
      <c r="J115" s="29" t="s">
        <v>79</v>
      </c>
      <c r="K115" s="26">
        <v>8.8892603000000001E-2</v>
      </c>
      <c r="L115" s="26">
        <v>-4.3542731899999999E-2</v>
      </c>
      <c r="M115" s="26">
        <v>8.5277525399999998E-2</v>
      </c>
      <c r="N115" s="26">
        <v>9.3689252799999997E-2</v>
      </c>
      <c r="O115" s="26">
        <v>0.48392426290000001</v>
      </c>
      <c r="P115" s="26">
        <f t="shared" si="3"/>
        <v>0.15242181583614769</v>
      </c>
      <c r="Q115" s="26">
        <v>-0.30381670970000002</v>
      </c>
      <c r="R115" s="30">
        <v>0.71553925730000001</v>
      </c>
      <c r="S115" s="26">
        <v>0.50928658159999995</v>
      </c>
      <c r="T115" s="26">
        <v>-0.28313548910000003</v>
      </c>
      <c r="U115" s="24" t="s">
        <v>180</v>
      </c>
    </row>
    <row r="116" spans="1:21" x14ac:dyDescent="0.25">
      <c r="A116" s="24" t="s">
        <v>195</v>
      </c>
      <c r="B116" s="24" t="s">
        <v>78</v>
      </c>
      <c r="C116" s="25">
        <v>231.56</v>
      </c>
      <c r="D116" s="26">
        <v>-1.1999999999999999E-3</v>
      </c>
      <c r="E116" s="25">
        <v>228.01</v>
      </c>
      <c r="F116" s="25">
        <v>237.59</v>
      </c>
      <c r="G116" s="27">
        <v>4.11512027E-2</v>
      </c>
      <c r="H116" s="28">
        <v>47900</v>
      </c>
      <c r="I116" s="28">
        <v>78900</v>
      </c>
      <c r="J116" s="29" t="s">
        <v>79</v>
      </c>
      <c r="K116" s="26">
        <v>4.4993518699999999E-2</v>
      </c>
      <c r="L116" s="26">
        <v>-0.2308136485</v>
      </c>
      <c r="M116" s="26">
        <v>0.15270994809999999</v>
      </c>
      <c r="N116" s="26">
        <v>6.94131833E-2</v>
      </c>
      <c r="O116" s="26">
        <v>0.48737425709999999</v>
      </c>
      <c r="P116" s="26">
        <f t="shared" si="3"/>
        <v>0.15350846186922093</v>
      </c>
      <c r="Q116" s="26">
        <v>-0.37291848999999999</v>
      </c>
      <c r="R116" s="30">
        <v>0.77788075229999998</v>
      </c>
      <c r="S116" s="26">
        <v>0.48623896080000001</v>
      </c>
      <c r="T116" s="26">
        <v>-0.38123893920000002</v>
      </c>
      <c r="U116" s="24" t="s">
        <v>180</v>
      </c>
    </row>
    <row r="117" spans="1:21" x14ac:dyDescent="0.25">
      <c r="A117" s="24" t="s">
        <v>196</v>
      </c>
      <c r="B117" s="24" t="s">
        <v>78</v>
      </c>
      <c r="C117" s="25">
        <v>5104</v>
      </c>
      <c r="D117" s="26">
        <v>-8.8999999999999999E-3</v>
      </c>
      <c r="E117" s="25">
        <v>4993.8100000000004</v>
      </c>
      <c r="F117" s="25">
        <v>5237.3900000000003</v>
      </c>
      <c r="G117" s="27">
        <v>4.7615138000000001E-2</v>
      </c>
      <c r="H117" s="28">
        <v>2400</v>
      </c>
      <c r="I117" s="28">
        <v>2800</v>
      </c>
      <c r="J117" s="29" t="s">
        <v>79</v>
      </c>
      <c r="K117" s="26">
        <v>0.15941624569999999</v>
      </c>
      <c r="L117" s="26">
        <v>1.7552506400000001E-2</v>
      </c>
      <c r="M117" s="26">
        <v>6.3541195999999994E-2</v>
      </c>
      <c r="N117" s="26">
        <v>-0.1053055469</v>
      </c>
      <c r="O117" s="26">
        <v>0.4890089782</v>
      </c>
      <c r="P117" s="26">
        <f t="shared" si="3"/>
        <v>0.15402335061845307</v>
      </c>
      <c r="Q117" s="26">
        <v>-0.33564762809999998</v>
      </c>
      <c r="R117" s="30">
        <v>0.54609813529999995</v>
      </c>
      <c r="S117" s="26">
        <v>0.3650768345</v>
      </c>
      <c r="T117" s="26">
        <v>-0.293109432</v>
      </c>
      <c r="U117" s="24" t="s">
        <v>180</v>
      </c>
    </row>
    <row r="118" spans="1:21" x14ac:dyDescent="0.25">
      <c r="A118" s="24" t="s">
        <v>197</v>
      </c>
      <c r="B118" s="24" t="s">
        <v>78</v>
      </c>
      <c r="C118" s="25">
        <v>1931.83</v>
      </c>
      <c r="D118" s="26">
        <v>-2.46E-2</v>
      </c>
      <c r="E118" s="25">
        <v>1930.01</v>
      </c>
      <c r="F118" s="25">
        <v>1990.79</v>
      </c>
      <c r="G118" s="27">
        <v>3.10038768E-2</v>
      </c>
      <c r="H118" s="28">
        <v>5500</v>
      </c>
      <c r="I118" s="28">
        <v>5500</v>
      </c>
      <c r="J118" s="29" t="s">
        <v>79</v>
      </c>
      <c r="K118" s="26">
        <v>6.3046347700000005E-2</v>
      </c>
      <c r="L118" s="26">
        <v>-0.12862386349999999</v>
      </c>
      <c r="M118" s="26">
        <v>0.13004109599999999</v>
      </c>
      <c r="N118" s="26">
        <v>8.6468473800000001E-2</v>
      </c>
      <c r="O118" s="26">
        <v>0.49472445939999998</v>
      </c>
      <c r="P118" s="26">
        <f t="shared" si="3"/>
        <v>0.15582355798491318</v>
      </c>
      <c r="Q118" s="26">
        <v>-0.27138361090000002</v>
      </c>
      <c r="R118" s="30">
        <v>0.86070955869999999</v>
      </c>
      <c r="S118" s="26">
        <v>0.61166480040000004</v>
      </c>
      <c r="T118" s="26">
        <v>-0.40103477030000001</v>
      </c>
      <c r="U118" s="24" t="s">
        <v>180</v>
      </c>
    </row>
    <row r="119" spans="1:21" x14ac:dyDescent="0.25">
      <c r="A119" s="24" t="s">
        <v>198</v>
      </c>
      <c r="B119" s="24" t="s">
        <v>82</v>
      </c>
      <c r="C119" s="25">
        <v>874.74</v>
      </c>
      <c r="D119" s="26">
        <v>3.2000000000000002E-3</v>
      </c>
      <c r="E119" s="25">
        <v>873.97</v>
      </c>
      <c r="F119" s="25">
        <v>874.76</v>
      </c>
      <c r="G119" s="27">
        <v>9.0351280000000003E-4</v>
      </c>
      <c r="H119" s="28">
        <v>27</v>
      </c>
      <c r="I119" s="28">
        <v>230</v>
      </c>
      <c r="J119" s="29" t="s">
        <v>79</v>
      </c>
      <c r="K119" s="26">
        <v>-3.9186783699999998E-2</v>
      </c>
      <c r="L119" s="26">
        <v>0.1111902573</v>
      </c>
      <c r="M119" s="26">
        <v>-7.9307275299999994E-2</v>
      </c>
      <c r="N119" s="26">
        <v>0.12516484529999999</v>
      </c>
      <c r="O119" s="26">
        <v>0.4965937285</v>
      </c>
      <c r="P119" s="26">
        <f t="shared" si="3"/>
        <v>0.15641232241015812</v>
      </c>
      <c r="Q119" s="26">
        <v>-0.38234054439999998</v>
      </c>
      <c r="R119" s="30">
        <v>1.8150596402000001</v>
      </c>
      <c r="S119" s="26">
        <v>0.53831535649999995</v>
      </c>
      <c r="T119" s="26">
        <v>-0.26980658689999998</v>
      </c>
      <c r="U119" s="24" t="s">
        <v>180</v>
      </c>
    </row>
    <row r="120" spans="1:21" x14ac:dyDescent="0.25">
      <c r="A120" s="24" t="s">
        <v>199</v>
      </c>
      <c r="B120" s="24" t="s">
        <v>78</v>
      </c>
      <c r="C120" s="25">
        <v>471</v>
      </c>
      <c r="D120" s="26">
        <v>-2.0999999999999999E-3</v>
      </c>
      <c r="E120" s="25">
        <v>463.61</v>
      </c>
      <c r="F120" s="25">
        <v>482.59</v>
      </c>
      <c r="G120" s="27">
        <v>4.0118368199999997E-2</v>
      </c>
      <c r="H120" s="28">
        <v>22800</v>
      </c>
      <c r="I120" s="28">
        <v>30400</v>
      </c>
      <c r="J120" s="29" t="s">
        <v>79</v>
      </c>
      <c r="K120" s="26">
        <v>0.21783374380000001</v>
      </c>
      <c r="L120" s="26">
        <v>-1.3454612999999999E-3</v>
      </c>
      <c r="M120" s="26">
        <v>-2.6934924999999998E-2</v>
      </c>
      <c r="N120" s="26">
        <v>-9.7805030500000001E-2</v>
      </c>
      <c r="O120" s="26">
        <v>0.50465159869999998</v>
      </c>
      <c r="P120" s="26">
        <f t="shared" si="3"/>
        <v>0.15895031296325793</v>
      </c>
      <c r="Q120" s="26">
        <v>-0.35982022190000001</v>
      </c>
      <c r="R120" s="30">
        <v>1.0185894849999999</v>
      </c>
      <c r="S120" s="26">
        <v>0.51997080569999998</v>
      </c>
      <c r="T120" s="26">
        <v>-0.32819682649999998</v>
      </c>
      <c r="U120" s="24" t="s">
        <v>180</v>
      </c>
    </row>
    <row r="121" spans="1:21" x14ac:dyDescent="0.25">
      <c r="A121" s="24" t="s">
        <v>200</v>
      </c>
      <c r="B121" s="24" t="s">
        <v>78</v>
      </c>
      <c r="C121" s="25">
        <v>1315</v>
      </c>
      <c r="D121" s="26">
        <v>2.3199999999999998E-2</v>
      </c>
      <c r="E121" s="25">
        <v>1250</v>
      </c>
      <c r="F121" s="25">
        <v>1420</v>
      </c>
      <c r="G121" s="27">
        <v>0.12734082399999999</v>
      </c>
      <c r="H121" s="28">
        <v>10</v>
      </c>
      <c r="I121" s="28">
        <v>1</v>
      </c>
      <c r="J121" s="29" t="s">
        <v>79</v>
      </c>
      <c r="K121" s="26">
        <v>0.1083259588</v>
      </c>
      <c r="L121" s="26">
        <v>-6.13862544E-2</v>
      </c>
      <c r="M121" s="26">
        <v>0.43157889329999999</v>
      </c>
      <c r="N121" s="26">
        <v>1.84536561E-2</v>
      </c>
      <c r="O121" s="26">
        <v>0.51605875199999995</v>
      </c>
      <c r="P121" s="26">
        <f t="shared" si="3"/>
        <v>0.16254322853456621</v>
      </c>
      <c r="Q121" s="26">
        <v>-0.45817722849999998</v>
      </c>
      <c r="R121" s="30">
        <v>0.1328282063</v>
      </c>
      <c r="S121" s="26">
        <v>0.46750791679999998</v>
      </c>
      <c r="T121" s="26">
        <v>-0.31490281580000001</v>
      </c>
      <c r="U121" s="24" t="s">
        <v>180</v>
      </c>
    </row>
    <row r="122" spans="1:21" x14ac:dyDescent="0.25">
      <c r="A122" s="24" t="s">
        <v>201</v>
      </c>
      <c r="B122" s="24" t="s">
        <v>78</v>
      </c>
      <c r="C122" s="25">
        <v>3130</v>
      </c>
      <c r="D122" s="26">
        <v>-1.5699999999999999E-2</v>
      </c>
      <c r="E122" s="25">
        <v>3100.01</v>
      </c>
      <c r="F122" s="25">
        <v>3165.23</v>
      </c>
      <c r="G122" s="27">
        <v>2.0819633399999999E-2</v>
      </c>
      <c r="H122" s="28">
        <v>2200</v>
      </c>
      <c r="I122" s="28">
        <v>400</v>
      </c>
      <c r="J122" s="29" t="s">
        <v>79</v>
      </c>
      <c r="K122" s="26">
        <v>4.7167666699999999E-2</v>
      </c>
      <c r="L122" s="26">
        <v>-5.3335325099999997E-2</v>
      </c>
      <c r="M122" s="26">
        <v>0.41431078020000001</v>
      </c>
      <c r="N122" s="26">
        <v>5.0918963300000002E-2</v>
      </c>
      <c r="O122" s="26">
        <v>0.55700516030000002</v>
      </c>
      <c r="P122" s="26">
        <f t="shared" si="3"/>
        <v>0.17544013489684138</v>
      </c>
      <c r="Q122" s="26">
        <v>-0.40854946469999998</v>
      </c>
      <c r="R122" s="30">
        <v>0.86865095029999995</v>
      </c>
      <c r="S122" s="26">
        <v>0.8704814703</v>
      </c>
      <c r="T122" s="26">
        <v>-0.29088782899999999</v>
      </c>
      <c r="U122" s="24" t="s">
        <v>180</v>
      </c>
    </row>
    <row r="123" spans="1:21" x14ac:dyDescent="0.25">
      <c r="A123" s="24" t="s">
        <v>202</v>
      </c>
      <c r="B123" s="24" t="s">
        <v>78</v>
      </c>
      <c r="C123" s="25">
        <v>274.99</v>
      </c>
      <c r="D123" s="26">
        <v>1.0999999999999999E-2</v>
      </c>
      <c r="E123" s="25">
        <v>270.61</v>
      </c>
      <c r="F123" s="25">
        <v>281.99</v>
      </c>
      <c r="G123" s="27">
        <v>4.1187115500000003E-2</v>
      </c>
      <c r="H123" s="28">
        <v>22400</v>
      </c>
      <c r="I123" s="28">
        <v>33600</v>
      </c>
      <c r="J123" s="29" t="s">
        <v>79</v>
      </c>
      <c r="K123" s="26">
        <v>9.4851017999999995E-2</v>
      </c>
      <c r="L123" s="26">
        <v>-0.20061256690000001</v>
      </c>
      <c r="M123" s="26">
        <v>-0.21049730520000001</v>
      </c>
      <c r="N123" s="26">
        <v>-0.37269345819999999</v>
      </c>
      <c r="O123" s="26">
        <v>0.55735110519999997</v>
      </c>
      <c r="P123" s="26">
        <f t="shared" si="3"/>
        <v>0.17554909729835697</v>
      </c>
      <c r="Q123" s="26">
        <v>-0.44997863809999999</v>
      </c>
      <c r="R123" s="30">
        <v>0.73770003939999995</v>
      </c>
      <c r="S123" s="26">
        <v>0.56512707309999999</v>
      </c>
      <c r="T123" s="26">
        <v>-0.35222190799999997</v>
      </c>
      <c r="U123" s="24" t="s">
        <v>180</v>
      </c>
    </row>
    <row r="124" spans="1:21" x14ac:dyDescent="0.25">
      <c r="A124" s="24" t="s">
        <v>203</v>
      </c>
      <c r="B124" s="24" t="s">
        <v>78</v>
      </c>
      <c r="C124" s="25">
        <v>3240</v>
      </c>
      <c r="D124" s="26">
        <v>1.44E-2</v>
      </c>
      <c r="E124" s="25">
        <v>3225.01</v>
      </c>
      <c r="F124" s="25">
        <v>3315.19</v>
      </c>
      <c r="G124" s="27">
        <v>2.7577138300000002E-2</v>
      </c>
      <c r="H124" s="28">
        <v>100</v>
      </c>
      <c r="I124" s="28">
        <v>400</v>
      </c>
      <c r="J124" s="29" t="s">
        <v>79</v>
      </c>
      <c r="K124" s="26">
        <v>-6.9174505499999997E-2</v>
      </c>
      <c r="L124" s="26">
        <v>-0.1999433766</v>
      </c>
      <c r="M124" s="26">
        <v>-7.1046796600000003E-2</v>
      </c>
      <c r="N124" s="26">
        <v>-0.23502162539999999</v>
      </c>
      <c r="O124" s="26">
        <v>0.55805825740000004</v>
      </c>
      <c r="P124" s="26">
        <f t="shared" si="3"/>
        <v>0.17577182930553223</v>
      </c>
      <c r="Q124" s="26">
        <v>-0.45144086929999999</v>
      </c>
      <c r="R124" s="30">
        <v>0.70795919740000002</v>
      </c>
      <c r="S124" s="26">
        <v>0.70000673769999999</v>
      </c>
      <c r="T124" s="26">
        <v>-0.30811157290000002</v>
      </c>
      <c r="U124" s="24" t="s">
        <v>180</v>
      </c>
    </row>
    <row r="125" spans="1:21" x14ac:dyDescent="0.25">
      <c r="A125" s="24" t="s">
        <v>204</v>
      </c>
      <c r="B125" s="24" t="s">
        <v>78</v>
      </c>
      <c r="C125" s="25">
        <v>765</v>
      </c>
      <c r="D125" s="26">
        <v>1.6999999999999999E-3</v>
      </c>
      <c r="E125" s="25">
        <v>758</v>
      </c>
      <c r="F125" s="25"/>
      <c r="G125" s="27"/>
      <c r="H125" s="28">
        <v>1</v>
      </c>
      <c r="I125" s="28">
        <v>0</v>
      </c>
      <c r="J125" s="29" t="s">
        <v>152</v>
      </c>
      <c r="K125" s="26">
        <v>-0.1149823948</v>
      </c>
      <c r="L125" s="26">
        <v>-0.1090329862</v>
      </c>
      <c r="M125" s="26">
        <v>-0.40398162059999998</v>
      </c>
      <c r="N125" s="26">
        <v>0.1744483966</v>
      </c>
      <c r="O125" s="26">
        <v>0.55860727190000004</v>
      </c>
      <c r="P125" s="26">
        <f t="shared" si="3"/>
        <v>0.17594475261900469</v>
      </c>
      <c r="Q125" s="26">
        <v>-0.48577156290000001</v>
      </c>
      <c r="R125" s="30">
        <v>1.0082441417000001</v>
      </c>
      <c r="S125" s="26">
        <v>0.48837458540000001</v>
      </c>
      <c r="T125" s="26">
        <v>-0.4113405014</v>
      </c>
      <c r="U125" s="24" t="s">
        <v>180</v>
      </c>
    </row>
    <row r="126" spans="1:21" x14ac:dyDescent="0.25">
      <c r="A126" s="24" t="s">
        <v>205</v>
      </c>
      <c r="B126" s="24" t="s">
        <v>78</v>
      </c>
      <c r="C126" s="25">
        <v>370.5</v>
      </c>
      <c r="D126" s="26">
        <v>0</v>
      </c>
      <c r="E126" s="25">
        <v>359.61</v>
      </c>
      <c r="F126" s="25">
        <v>369.99</v>
      </c>
      <c r="G126" s="27">
        <v>2.8453947399999999E-2</v>
      </c>
      <c r="H126" s="28">
        <v>8200</v>
      </c>
      <c r="I126" s="28">
        <v>16400</v>
      </c>
      <c r="J126" s="29" t="s">
        <v>79</v>
      </c>
      <c r="K126" s="26">
        <v>0.17862243089999999</v>
      </c>
      <c r="L126" s="26">
        <v>-7.7564629999999996E-2</v>
      </c>
      <c r="M126" s="26">
        <v>0.1640217642</v>
      </c>
      <c r="N126" s="26">
        <v>-0.36706979499999998</v>
      </c>
      <c r="O126" s="26">
        <v>0.55872097310000002</v>
      </c>
      <c r="P126" s="26">
        <f t="shared" si="3"/>
        <v>0.17598056513078678</v>
      </c>
      <c r="Q126" s="26">
        <v>-0.59121614840000003</v>
      </c>
      <c r="R126" s="30">
        <v>-0.25055121949999998</v>
      </c>
      <c r="S126" s="26">
        <v>0.36865457540000002</v>
      </c>
      <c r="T126" s="26">
        <v>-0.45384876219999998</v>
      </c>
      <c r="U126" s="24" t="s">
        <v>180</v>
      </c>
    </row>
    <row r="127" spans="1:21" x14ac:dyDescent="0.25">
      <c r="A127" s="24" t="s">
        <v>206</v>
      </c>
      <c r="B127" s="24" t="s">
        <v>78</v>
      </c>
      <c r="C127" s="25">
        <v>2560</v>
      </c>
      <c r="D127" s="26">
        <v>-9.2999999999999992E-3</v>
      </c>
      <c r="E127" s="25">
        <v>2560.02</v>
      </c>
      <c r="F127" s="25">
        <v>2584.9899999999998</v>
      </c>
      <c r="G127" s="27">
        <v>9.7064922999999994E-3</v>
      </c>
      <c r="H127" s="28">
        <v>3400</v>
      </c>
      <c r="I127" s="28">
        <v>1600</v>
      </c>
      <c r="J127" s="29" t="s">
        <v>79</v>
      </c>
      <c r="K127" s="26">
        <v>-6.6475231900000001E-2</v>
      </c>
      <c r="L127" s="26">
        <v>3.4409279100000002E-2</v>
      </c>
      <c r="M127" s="26">
        <v>6.4511805800000002E-2</v>
      </c>
      <c r="N127" s="26">
        <v>-0.50491376460000004</v>
      </c>
      <c r="O127" s="26">
        <v>0.56856345070000003</v>
      </c>
      <c r="P127" s="26">
        <f t="shared" si="3"/>
        <v>0.17908065418011104</v>
      </c>
      <c r="Q127" s="26">
        <v>-0.64800680629999996</v>
      </c>
      <c r="R127" s="30">
        <v>0.40754426459999998</v>
      </c>
      <c r="S127" s="26">
        <v>0.43775506060000002</v>
      </c>
      <c r="T127" s="26">
        <v>-0.43587673539999999</v>
      </c>
      <c r="U127" s="24" t="s">
        <v>180</v>
      </c>
    </row>
    <row r="128" spans="1:21" x14ac:dyDescent="0.25">
      <c r="A128" s="24" t="s">
        <v>207</v>
      </c>
      <c r="B128" s="24" t="s">
        <v>78</v>
      </c>
      <c r="C128" s="25">
        <v>278</v>
      </c>
      <c r="D128" s="26">
        <v>-1.0699999999999999E-2</v>
      </c>
      <c r="E128" s="25">
        <v>278.02999999999997</v>
      </c>
      <c r="F128" s="25">
        <v>284.99</v>
      </c>
      <c r="G128" s="27">
        <v>2.47238109E-2</v>
      </c>
      <c r="H128" s="28">
        <v>13600</v>
      </c>
      <c r="I128" s="28">
        <v>27200</v>
      </c>
      <c r="J128" s="29" t="s">
        <v>79</v>
      </c>
      <c r="K128" s="26">
        <v>-5.9374261499999997E-2</v>
      </c>
      <c r="L128" s="26">
        <v>-0.163100617</v>
      </c>
      <c r="M128" s="26">
        <v>-2.8907731900000001E-2</v>
      </c>
      <c r="N128" s="26">
        <v>-0.4658200851</v>
      </c>
      <c r="O128" s="26">
        <v>0.57476779</v>
      </c>
      <c r="P128" s="26">
        <f t="shared" si="3"/>
        <v>0.18103483737502349</v>
      </c>
      <c r="Q128" s="26">
        <v>-0.55411579450000004</v>
      </c>
      <c r="R128" s="30">
        <v>0.86328677529999998</v>
      </c>
      <c r="S128" s="26">
        <v>0.78236621169999998</v>
      </c>
      <c r="T128" s="26">
        <v>-0.3556168375</v>
      </c>
      <c r="U128" s="24" t="s">
        <v>180</v>
      </c>
    </row>
    <row r="129" spans="1:21" x14ac:dyDescent="0.25">
      <c r="A129" s="24" t="s">
        <v>208</v>
      </c>
      <c r="B129" s="24" t="s">
        <v>78</v>
      </c>
      <c r="C129" s="25">
        <v>3604.68</v>
      </c>
      <c r="D129" s="26">
        <v>3.2899999999999999E-2</v>
      </c>
      <c r="E129" s="25">
        <v>3590.01</v>
      </c>
      <c r="F129" s="25">
        <v>3618.98</v>
      </c>
      <c r="G129" s="27">
        <v>8.0371868999999999E-3</v>
      </c>
      <c r="H129" s="28">
        <v>2550</v>
      </c>
      <c r="I129" s="28">
        <v>1950</v>
      </c>
      <c r="J129" s="29" t="s">
        <v>79</v>
      </c>
      <c r="K129" s="26">
        <v>0.24298594270000001</v>
      </c>
      <c r="L129" s="26">
        <v>0.60243788279999999</v>
      </c>
      <c r="M129" s="26">
        <v>0.56519398040000002</v>
      </c>
      <c r="N129" s="26">
        <v>6.6675060699999997E-2</v>
      </c>
      <c r="O129" s="26">
        <v>0.59657029979999998</v>
      </c>
      <c r="P129" s="26">
        <f t="shared" si="3"/>
        <v>0.18790198248071974</v>
      </c>
      <c r="Q129" s="26">
        <v>-0.50828412609999996</v>
      </c>
      <c r="R129" s="30">
        <v>0.38198402349999999</v>
      </c>
      <c r="S129" s="26">
        <v>0.83940004899999998</v>
      </c>
      <c r="T129" s="26">
        <v>-0.32048285939999999</v>
      </c>
      <c r="U129" s="24" t="s">
        <v>180</v>
      </c>
    </row>
    <row r="130" spans="1:21" x14ac:dyDescent="0.25">
      <c r="A130" s="24" t="s">
        <v>209</v>
      </c>
      <c r="B130" s="24" t="s">
        <v>78</v>
      </c>
      <c r="C130" s="25">
        <v>3030.5</v>
      </c>
      <c r="D130" s="26">
        <v>1.35E-2</v>
      </c>
      <c r="E130" s="25">
        <v>2963.61</v>
      </c>
      <c r="F130" s="25">
        <v>3049.99</v>
      </c>
      <c r="G130" s="27">
        <v>2.8728216000000001E-2</v>
      </c>
      <c r="H130" s="28">
        <v>800</v>
      </c>
      <c r="I130" s="28">
        <v>1200</v>
      </c>
      <c r="J130" s="29" t="s">
        <v>79</v>
      </c>
      <c r="K130" s="26">
        <v>0.39886045809999998</v>
      </c>
      <c r="L130" s="26">
        <v>0.3955164243</v>
      </c>
      <c r="M130" s="26">
        <v>0.52968857940000003</v>
      </c>
      <c r="N130" s="26">
        <v>1.4086746400000001E-2</v>
      </c>
      <c r="O130" s="26">
        <v>0.59974381840000002</v>
      </c>
      <c r="P130" s="26">
        <f t="shared" si="3"/>
        <v>0.1889015468850814</v>
      </c>
      <c r="Q130" s="26">
        <v>-0.50168387449999996</v>
      </c>
      <c r="R130" s="30">
        <v>0.36350224660000002</v>
      </c>
      <c r="S130" s="26">
        <v>0.53520387759999999</v>
      </c>
      <c r="T130" s="26">
        <v>-0.36550059210000002</v>
      </c>
      <c r="U130" s="24" t="s">
        <v>180</v>
      </c>
    </row>
    <row r="131" spans="1:21" x14ac:dyDescent="0.25">
      <c r="A131" s="24" t="s">
        <v>210</v>
      </c>
      <c r="B131" s="24" t="s">
        <v>78</v>
      </c>
      <c r="C131" s="25">
        <v>9200</v>
      </c>
      <c r="D131" s="26">
        <v>-1.3899999999999999E-2</v>
      </c>
      <c r="E131" s="25">
        <v>9287.61</v>
      </c>
      <c r="F131" s="25">
        <v>9500</v>
      </c>
      <c r="G131" s="27">
        <v>2.26095815E-2</v>
      </c>
      <c r="H131" s="28">
        <v>4328</v>
      </c>
      <c r="I131" s="28">
        <v>1</v>
      </c>
      <c r="J131" s="29" t="s">
        <v>79</v>
      </c>
      <c r="K131" s="26">
        <v>0.18339741800000001</v>
      </c>
      <c r="L131" s="26">
        <v>-0.11115699280000001</v>
      </c>
      <c r="M131" s="26">
        <v>0.3549560544</v>
      </c>
      <c r="N131" s="26">
        <v>1.4317711028</v>
      </c>
      <c r="O131" s="26">
        <v>0.60060568700000005</v>
      </c>
      <c r="P131" s="26">
        <f t="shared" si="3"/>
        <v>0.18917300997774991</v>
      </c>
      <c r="Q131" s="26">
        <v>-0.43558081030000001</v>
      </c>
      <c r="R131" s="30">
        <v>1.3049870960000001</v>
      </c>
      <c r="S131" s="26">
        <v>0.68984924449999996</v>
      </c>
      <c r="T131" s="26">
        <v>-0.27025623409999999</v>
      </c>
      <c r="U131" s="24" t="s">
        <v>180</v>
      </c>
    </row>
    <row r="132" spans="1:21" x14ac:dyDescent="0.25">
      <c r="A132" s="24" t="s">
        <v>211</v>
      </c>
      <c r="B132" s="24" t="s">
        <v>78</v>
      </c>
      <c r="C132" s="25">
        <v>1353.92</v>
      </c>
      <c r="D132" s="26">
        <v>0</v>
      </c>
      <c r="E132" s="25">
        <v>1339.21</v>
      </c>
      <c r="F132" s="25">
        <v>1403.99</v>
      </c>
      <c r="G132" s="27">
        <v>4.7229513000000001E-2</v>
      </c>
      <c r="H132" s="28">
        <v>1200</v>
      </c>
      <c r="I132" s="28">
        <v>800</v>
      </c>
      <c r="J132" s="29" t="s">
        <v>79</v>
      </c>
      <c r="K132" s="26">
        <v>0.17491766380000001</v>
      </c>
      <c r="L132" s="26">
        <v>-7.4542329399999996E-2</v>
      </c>
      <c r="M132" s="26">
        <v>0.58351163130000006</v>
      </c>
      <c r="N132" s="26">
        <v>-3.67093291E-2</v>
      </c>
      <c r="O132" s="26">
        <v>0.60252562040000002</v>
      </c>
      <c r="P132" s="26">
        <f t="shared" si="3"/>
        <v>0.18977773215753641</v>
      </c>
      <c r="Q132" s="26">
        <v>-0.48987799319999997</v>
      </c>
      <c r="R132" s="30">
        <v>0.51500268849999997</v>
      </c>
      <c r="S132" s="26">
        <v>1.1586306855999999</v>
      </c>
      <c r="T132" s="26">
        <v>-0.45702457460000001</v>
      </c>
      <c r="U132" s="24" t="s">
        <v>180</v>
      </c>
    </row>
    <row r="133" spans="1:21" x14ac:dyDescent="0.25">
      <c r="A133" s="24" t="s">
        <v>212</v>
      </c>
      <c r="B133" s="24" t="s">
        <v>78</v>
      </c>
      <c r="C133" s="25">
        <v>4924</v>
      </c>
      <c r="D133" s="26">
        <v>0</v>
      </c>
      <c r="E133" s="25">
        <v>4951.8100000000004</v>
      </c>
      <c r="F133" s="25">
        <v>5187.59</v>
      </c>
      <c r="G133" s="27">
        <v>4.65076829E-2</v>
      </c>
      <c r="H133" s="28">
        <v>500</v>
      </c>
      <c r="I133" s="28">
        <v>400</v>
      </c>
      <c r="J133" s="29" t="s">
        <v>79</v>
      </c>
      <c r="K133" s="26">
        <v>0.3018029941</v>
      </c>
      <c r="L133" s="26">
        <v>0.32904338789999998</v>
      </c>
      <c r="M133" s="26">
        <v>1.2964032233</v>
      </c>
      <c r="N133" s="26">
        <v>1.5358308115999999</v>
      </c>
      <c r="O133" s="26">
        <v>0.61765526299999995</v>
      </c>
      <c r="P133" s="26">
        <f t="shared" ref="P133:P164" si="4">IF(O133="","",O133*SQRT(25/252))</f>
        <v>0.19454312165097551</v>
      </c>
      <c r="Q133" s="26">
        <v>-0.28386094080000002</v>
      </c>
      <c r="R133" s="30">
        <v>6.4660206799999995E-2</v>
      </c>
      <c r="S133" s="26">
        <v>0.67373792229999996</v>
      </c>
      <c r="T133" s="26">
        <v>-0.36553393350000002</v>
      </c>
      <c r="U133" s="24" t="s">
        <v>180</v>
      </c>
    </row>
    <row r="134" spans="1:21" x14ac:dyDescent="0.25">
      <c r="A134" s="24" t="s">
        <v>213</v>
      </c>
      <c r="B134" s="24" t="s">
        <v>78</v>
      </c>
      <c r="C134" s="25">
        <v>195</v>
      </c>
      <c r="D134" s="26">
        <v>-3.5099999999999999E-2</v>
      </c>
      <c r="E134" s="25">
        <v>196.01</v>
      </c>
      <c r="F134" s="25">
        <v>200.49</v>
      </c>
      <c r="G134" s="27">
        <v>2.2597730100000001E-2</v>
      </c>
      <c r="H134" s="28">
        <v>3500</v>
      </c>
      <c r="I134" s="28">
        <v>4500</v>
      </c>
      <c r="J134" s="29" t="s">
        <v>79</v>
      </c>
      <c r="K134" s="26">
        <v>0.171072054</v>
      </c>
      <c r="L134" s="26">
        <v>0.19204227269999999</v>
      </c>
      <c r="M134" s="26">
        <v>0.30916576000000001</v>
      </c>
      <c r="N134" s="26">
        <v>0.15367943240000001</v>
      </c>
      <c r="O134" s="26">
        <v>0.65675856310000003</v>
      </c>
      <c r="P134" s="26">
        <f t="shared" si="4"/>
        <v>0.20685950349699067</v>
      </c>
      <c r="Q134" s="26">
        <v>-0.33871211870000001</v>
      </c>
      <c r="R134" s="30">
        <v>0.9786110375</v>
      </c>
      <c r="S134" s="26">
        <v>4.0708046797000002</v>
      </c>
      <c r="T134" s="26">
        <v>-0.41055214169999998</v>
      </c>
      <c r="U134" s="24" t="s">
        <v>180</v>
      </c>
    </row>
    <row r="135" spans="1:21" x14ac:dyDescent="0.25">
      <c r="A135" s="24" t="s">
        <v>214</v>
      </c>
      <c r="B135" s="24" t="s">
        <v>78</v>
      </c>
      <c r="C135" s="25">
        <v>425</v>
      </c>
      <c r="D135" s="26">
        <v>-1.77E-2</v>
      </c>
      <c r="E135" s="25">
        <v>420.01</v>
      </c>
      <c r="F135" s="25">
        <v>440.99</v>
      </c>
      <c r="G135" s="27">
        <v>4.87340302E-2</v>
      </c>
      <c r="H135" s="28">
        <v>8000</v>
      </c>
      <c r="I135" s="28">
        <v>3200</v>
      </c>
      <c r="J135" s="29" t="s">
        <v>79</v>
      </c>
      <c r="K135" s="26">
        <v>-3.0481055100000001E-2</v>
      </c>
      <c r="L135" s="26">
        <v>-0.2607980989</v>
      </c>
      <c r="M135" s="26">
        <v>-0.1124109224</v>
      </c>
      <c r="N135" s="26">
        <v>-0.55324342230000001</v>
      </c>
      <c r="O135" s="26">
        <v>0.66352188820000002</v>
      </c>
      <c r="P135" s="26">
        <f t="shared" si="4"/>
        <v>0.20898975066966699</v>
      </c>
      <c r="Q135" s="26">
        <v>-0.57921576620000004</v>
      </c>
      <c r="R135" s="30">
        <v>0.54092231449999995</v>
      </c>
      <c r="S135" s="26">
        <v>1.1253757673</v>
      </c>
      <c r="T135" s="26">
        <v>-0.49143134399999999</v>
      </c>
      <c r="U135" s="24" t="s">
        <v>180</v>
      </c>
    </row>
    <row r="136" spans="1:21" x14ac:dyDescent="0.25">
      <c r="A136" s="24" t="s">
        <v>215</v>
      </c>
      <c r="B136" s="24" t="s">
        <v>82</v>
      </c>
      <c r="C136" s="25">
        <v>18.97</v>
      </c>
      <c r="D136" s="26">
        <v>3.7000000000000002E-3</v>
      </c>
      <c r="E136" s="25">
        <v>18.71</v>
      </c>
      <c r="F136" s="25">
        <v>18.940000000000001</v>
      </c>
      <c r="G136" s="27">
        <v>1.22177955E-2</v>
      </c>
      <c r="H136" s="28">
        <v>150</v>
      </c>
      <c r="I136" s="28">
        <v>210</v>
      </c>
      <c r="J136" s="29" t="s">
        <v>79</v>
      </c>
      <c r="K136" s="26">
        <v>-0.1809774931</v>
      </c>
      <c r="L136" s="26">
        <v>0.34296027940000001</v>
      </c>
      <c r="M136" s="26">
        <v>0.97872352510000005</v>
      </c>
      <c r="N136" s="26">
        <v>1.2627736955</v>
      </c>
      <c r="O136" s="26">
        <v>0.67003498699999997</v>
      </c>
      <c r="P136" s="26">
        <f t="shared" si="4"/>
        <v>0.2110411839659995</v>
      </c>
      <c r="Q136" s="26">
        <v>-0.41617743940000002</v>
      </c>
      <c r="R136" s="30">
        <v>0.90764159990000004</v>
      </c>
      <c r="S136" s="26">
        <v>1.7426272090999999</v>
      </c>
      <c r="T136" s="26">
        <v>-0.3553008614</v>
      </c>
      <c r="U136" s="24" t="s">
        <v>180</v>
      </c>
    </row>
    <row r="137" spans="1:21" x14ac:dyDescent="0.25">
      <c r="A137" s="24" t="s">
        <v>216</v>
      </c>
      <c r="B137" s="24" t="s">
        <v>78</v>
      </c>
      <c r="C137" s="25">
        <v>256.5</v>
      </c>
      <c r="D137" s="26">
        <v>-3.7000000000000002E-3</v>
      </c>
      <c r="E137" s="25">
        <v>253.81</v>
      </c>
      <c r="F137" s="25">
        <v>257.66000000000003</v>
      </c>
      <c r="G137" s="27">
        <v>1.50546464E-2</v>
      </c>
      <c r="H137" s="28">
        <v>33400</v>
      </c>
      <c r="I137" s="28">
        <v>22600</v>
      </c>
      <c r="J137" s="29" t="s">
        <v>79</v>
      </c>
      <c r="K137" s="26">
        <v>-6.3168677800000003E-2</v>
      </c>
      <c r="L137" s="26">
        <v>-0.17295512690000001</v>
      </c>
      <c r="M137" s="26">
        <v>-4.6403298400000001E-2</v>
      </c>
      <c r="N137" s="26">
        <v>4.27249034E-2</v>
      </c>
      <c r="O137" s="26">
        <v>0.69455292820000003</v>
      </c>
      <c r="P137" s="26">
        <f t="shared" si="4"/>
        <v>0.21876360957010721</v>
      </c>
      <c r="Q137" s="26">
        <v>-0.44840748359999999</v>
      </c>
      <c r="R137" s="30">
        <v>1.1641552871</v>
      </c>
      <c r="S137" s="26">
        <v>0.59188562909999998</v>
      </c>
      <c r="T137" s="26">
        <v>-0.37109340489999998</v>
      </c>
      <c r="U137" s="24" t="s">
        <v>180</v>
      </c>
    </row>
    <row r="138" spans="1:21" x14ac:dyDescent="0.25">
      <c r="A138" s="24" t="s">
        <v>217</v>
      </c>
      <c r="B138" s="24" t="s">
        <v>78</v>
      </c>
      <c r="C138" s="25">
        <v>11549.58</v>
      </c>
      <c r="D138" s="26">
        <v>-5.5999999999999999E-3</v>
      </c>
      <c r="E138" s="25">
        <v>11463.87</v>
      </c>
      <c r="F138" s="25">
        <v>11603.2</v>
      </c>
      <c r="G138" s="27">
        <v>1.20804246E-2</v>
      </c>
      <c r="H138" s="28">
        <v>2350</v>
      </c>
      <c r="I138" s="28">
        <v>2146</v>
      </c>
      <c r="J138" s="29" t="s">
        <v>79</v>
      </c>
      <c r="K138" s="26">
        <v>0.29128945839999998</v>
      </c>
      <c r="L138" s="26">
        <v>0.1629190975</v>
      </c>
      <c r="M138" s="26">
        <v>1.7560630288000001</v>
      </c>
      <c r="N138" s="26">
        <v>1.9336613802</v>
      </c>
      <c r="O138" s="26">
        <v>0.69553559980000002</v>
      </c>
      <c r="P138" s="26">
        <f t="shared" si="4"/>
        <v>0.21907312203130314</v>
      </c>
      <c r="Q138" s="26">
        <v>-0.32159697279999999</v>
      </c>
      <c r="R138" s="30">
        <v>1.3650158671999999</v>
      </c>
      <c r="S138" s="26">
        <v>1.0287506551000001</v>
      </c>
      <c r="T138" s="26">
        <v>-0.24777960439999999</v>
      </c>
      <c r="U138" s="24" t="s">
        <v>180</v>
      </c>
    </row>
    <row r="139" spans="1:21" x14ac:dyDescent="0.25">
      <c r="A139" s="24" t="s">
        <v>218</v>
      </c>
      <c r="B139" s="24" t="s">
        <v>78</v>
      </c>
      <c r="C139" s="25">
        <v>218.88</v>
      </c>
      <c r="D139" s="26">
        <v>1.7500000000000002E-2</v>
      </c>
      <c r="E139" s="25">
        <v>213.21</v>
      </c>
      <c r="F139" s="25">
        <v>226.19</v>
      </c>
      <c r="G139" s="27">
        <v>5.90805644E-2</v>
      </c>
      <c r="H139" s="28">
        <v>23400</v>
      </c>
      <c r="I139" s="28">
        <v>11700</v>
      </c>
      <c r="J139" s="29" t="s">
        <v>79</v>
      </c>
      <c r="K139" s="26">
        <v>5.8325096600000001E-2</v>
      </c>
      <c r="L139" s="26">
        <v>0.31241443270000002</v>
      </c>
      <c r="M139" s="26">
        <v>0.34361970419999999</v>
      </c>
      <c r="N139" s="26">
        <v>-7.8930340900000007E-2</v>
      </c>
      <c r="O139" s="26">
        <v>0.70678454300000004</v>
      </c>
      <c r="P139" s="26">
        <f t="shared" si="4"/>
        <v>0.22261620610505209</v>
      </c>
      <c r="Q139" s="26">
        <v>-0.53317781009999998</v>
      </c>
      <c r="R139" s="30">
        <v>1.0992505549</v>
      </c>
      <c r="S139" s="26">
        <v>0.56929837480000001</v>
      </c>
      <c r="T139" s="26">
        <v>-0.40269624549999999</v>
      </c>
      <c r="U139" s="24" t="s">
        <v>180</v>
      </c>
    </row>
    <row r="140" spans="1:21" x14ac:dyDescent="0.25">
      <c r="A140" s="24" t="s">
        <v>219</v>
      </c>
      <c r="B140" s="24" t="s">
        <v>78</v>
      </c>
      <c r="C140" s="25">
        <v>1994.92</v>
      </c>
      <c r="D140" s="26">
        <v>-2.1499999999999998E-2</v>
      </c>
      <c r="E140" s="25">
        <v>1980.01</v>
      </c>
      <c r="F140" s="25">
        <v>1999.99</v>
      </c>
      <c r="G140" s="27">
        <v>1.0040201E-2</v>
      </c>
      <c r="H140" s="28">
        <v>5250</v>
      </c>
      <c r="I140" s="28">
        <v>4360</v>
      </c>
      <c r="J140" s="29" t="s">
        <v>79</v>
      </c>
      <c r="K140" s="26">
        <v>9.57573585E-2</v>
      </c>
      <c r="L140" s="26">
        <v>2.1869346899999999E-2</v>
      </c>
      <c r="M140" s="26">
        <v>0.82813879749999997</v>
      </c>
      <c r="N140" s="26">
        <v>1.8880594485</v>
      </c>
      <c r="O140" s="26">
        <v>0.76726254459999998</v>
      </c>
      <c r="P140" s="26">
        <f t="shared" si="4"/>
        <v>0.2416649861078814</v>
      </c>
      <c r="Q140" s="26">
        <v>-0.4160429102</v>
      </c>
      <c r="R140" s="30">
        <v>1.415877439</v>
      </c>
      <c r="S140" s="26">
        <v>1.5354320239999999</v>
      </c>
      <c r="T140" s="26">
        <v>-0.40355095759999998</v>
      </c>
      <c r="U140" s="24" t="s">
        <v>180</v>
      </c>
    </row>
    <row r="141" spans="1:21" x14ac:dyDescent="0.25">
      <c r="A141" s="24" t="s">
        <v>220</v>
      </c>
      <c r="B141" s="24" t="s">
        <v>78</v>
      </c>
      <c r="C141" s="25">
        <v>166.29</v>
      </c>
      <c r="D141" s="26">
        <v>0</v>
      </c>
      <c r="E141" s="25">
        <v>164.51</v>
      </c>
      <c r="F141" s="25">
        <v>182.99</v>
      </c>
      <c r="G141" s="27">
        <v>0.1063597122</v>
      </c>
      <c r="H141" s="28">
        <v>2100</v>
      </c>
      <c r="I141" s="28">
        <v>20</v>
      </c>
      <c r="J141" s="29" t="s">
        <v>79</v>
      </c>
      <c r="K141" s="26">
        <v>-8.0227674299999996E-2</v>
      </c>
      <c r="L141" s="26">
        <v>3.4619233100000001E-2</v>
      </c>
      <c r="M141" s="26">
        <v>-0.2069949234</v>
      </c>
      <c r="N141" s="26">
        <v>-0.80439775650000001</v>
      </c>
      <c r="O141" s="26">
        <v>0.78684660569999998</v>
      </c>
      <c r="P141" s="26">
        <f t="shared" si="4"/>
        <v>0.24783338555208309</v>
      </c>
      <c r="Q141" s="26">
        <v>-0.84409571630000002</v>
      </c>
      <c r="R141" s="30">
        <v>-0.45132761809999999</v>
      </c>
      <c r="S141" s="26">
        <v>2.4310499903</v>
      </c>
      <c r="T141" s="26">
        <v>-0.57523322089999995</v>
      </c>
      <c r="U141" s="24" t="s">
        <v>180</v>
      </c>
    </row>
    <row r="142" spans="1:21" x14ac:dyDescent="0.25">
      <c r="A142" s="24" t="s">
        <v>221</v>
      </c>
      <c r="B142" s="24" t="s">
        <v>78</v>
      </c>
      <c r="C142" s="25">
        <v>19488</v>
      </c>
      <c r="D142" s="26">
        <v>-3.0000000000000001E-3</v>
      </c>
      <c r="E142" s="25">
        <v>19350.009999999998</v>
      </c>
      <c r="F142" s="25">
        <v>19524.990000000002</v>
      </c>
      <c r="G142" s="27">
        <v>9.0021865000000003E-3</v>
      </c>
      <c r="H142" s="28">
        <v>2150</v>
      </c>
      <c r="I142" s="28">
        <v>246</v>
      </c>
      <c r="J142" s="29" t="s">
        <v>79</v>
      </c>
      <c r="K142" s="26">
        <v>0.10939378650000001</v>
      </c>
      <c r="L142" s="26">
        <v>0.1225853169</v>
      </c>
      <c r="M142" s="26">
        <v>1.6222446893</v>
      </c>
      <c r="N142" s="26">
        <v>4.6677929203000001</v>
      </c>
      <c r="O142" s="26">
        <v>0.80576176720000003</v>
      </c>
      <c r="P142" s="26">
        <f t="shared" si="4"/>
        <v>0.25379110142560968</v>
      </c>
      <c r="Q142" s="26">
        <v>-0.39731057359999999</v>
      </c>
      <c r="R142" s="30">
        <v>1.4084669807000001</v>
      </c>
      <c r="S142" s="26">
        <v>1.1310702763</v>
      </c>
      <c r="T142" s="26">
        <v>-0.34250058529999999</v>
      </c>
      <c r="U142" s="24" t="s">
        <v>180</v>
      </c>
    </row>
    <row r="143" spans="1:21" x14ac:dyDescent="0.25">
      <c r="A143" s="24" t="s">
        <v>222</v>
      </c>
      <c r="B143" s="24" t="s">
        <v>78</v>
      </c>
      <c r="C143" s="25">
        <v>68.849999999999994</v>
      </c>
      <c r="D143" s="26">
        <v>-1.4999999999999999E-2</v>
      </c>
      <c r="E143" s="25">
        <v>68</v>
      </c>
      <c r="F143" s="25">
        <v>68.849999999999994</v>
      </c>
      <c r="G143" s="27">
        <v>1.24223602E-2</v>
      </c>
      <c r="H143" s="28">
        <v>5</v>
      </c>
      <c r="I143" s="28">
        <v>2</v>
      </c>
      <c r="J143" s="29" t="s">
        <v>79</v>
      </c>
      <c r="K143" s="26">
        <v>-6.3026787900000006E-2</v>
      </c>
      <c r="L143" s="26">
        <v>-0.3049509051</v>
      </c>
      <c r="M143" s="26">
        <v>-0.55783122119999995</v>
      </c>
      <c r="N143" s="26">
        <v>-0.83237792219999995</v>
      </c>
      <c r="O143" s="26">
        <v>0.82901120579999998</v>
      </c>
      <c r="P143" s="26">
        <f t="shared" si="4"/>
        <v>0.26111398626578419</v>
      </c>
      <c r="Q143" s="26">
        <v>-0.83662782800000002</v>
      </c>
      <c r="R143" s="30">
        <v>1.1380270430999999</v>
      </c>
      <c r="S143" s="26">
        <v>0.58380779640000002</v>
      </c>
      <c r="T143" s="26">
        <v>-0.46436570310000003</v>
      </c>
      <c r="U143" s="24" t="s">
        <v>180</v>
      </c>
    </row>
    <row r="144" spans="1:21" x14ac:dyDescent="0.25">
      <c r="A144" s="24" t="s">
        <v>223</v>
      </c>
      <c r="B144" s="24" t="s">
        <v>78</v>
      </c>
      <c r="C144" s="25">
        <v>179.25</v>
      </c>
      <c r="D144" s="26">
        <v>-3.6299999999999999E-2</v>
      </c>
      <c r="E144" s="25">
        <v>178.69</v>
      </c>
      <c r="F144" s="25">
        <v>179.25</v>
      </c>
      <c r="G144" s="27">
        <v>3.1290160000000001E-3</v>
      </c>
      <c r="H144" s="28">
        <v>20</v>
      </c>
      <c r="I144" s="28">
        <v>10</v>
      </c>
      <c r="J144" s="29" t="s">
        <v>79</v>
      </c>
      <c r="K144" s="26">
        <v>-0.1223334853</v>
      </c>
      <c r="L144" s="26">
        <v>-0.19944963199999999</v>
      </c>
      <c r="M144" s="26">
        <v>4.8605067699999997E-2</v>
      </c>
      <c r="N144" s="26">
        <v>-0.52359426710000001</v>
      </c>
      <c r="O144" s="26">
        <v>0.86516398839999997</v>
      </c>
      <c r="P144" s="26">
        <f t="shared" si="4"/>
        <v>0.27250104245180595</v>
      </c>
      <c r="Q144" s="26">
        <v>-0.72413132520000001</v>
      </c>
      <c r="R144" s="30">
        <v>1.4163715839</v>
      </c>
      <c r="S144" s="26">
        <v>1.8783823566</v>
      </c>
      <c r="T144" s="26">
        <v>-0.51831689520000002</v>
      </c>
      <c r="U144" s="24" t="s">
        <v>180</v>
      </c>
    </row>
    <row r="145" spans="1:21" x14ac:dyDescent="0.25">
      <c r="A145" s="24" t="s">
        <v>224</v>
      </c>
      <c r="B145" s="24" t="s">
        <v>78</v>
      </c>
      <c r="C145" s="25">
        <v>305.45</v>
      </c>
      <c r="D145" s="26">
        <v>-8.4500000000000006E-2</v>
      </c>
      <c r="E145" s="25">
        <v>305.11</v>
      </c>
      <c r="F145" s="25">
        <v>312.5</v>
      </c>
      <c r="G145" s="27">
        <v>2.3930959700000001E-2</v>
      </c>
      <c r="H145" s="28">
        <v>5</v>
      </c>
      <c r="I145" s="28">
        <v>50</v>
      </c>
      <c r="J145" s="29" t="s">
        <v>79</v>
      </c>
      <c r="K145" s="26">
        <v>-0.19229969490000001</v>
      </c>
      <c r="L145" s="26">
        <v>-0.18019391679999999</v>
      </c>
      <c r="M145" s="26">
        <v>3.5210970899999999E-2</v>
      </c>
      <c r="N145" s="26">
        <v>-0.2343738423</v>
      </c>
      <c r="O145" s="26">
        <v>0.87854051590000004</v>
      </c>
      <c r="P145" s="26">
        <f t="shared" si="4"/>
        <v>0.27671425259116511</v>
      </c>
      <c r="Q145" s="26">
        <v>-0.50680654039999995</v>
      </c>
      <c r="R145" s="30">
        <v>2.0628855872999998</v>
      </c>
      <c r="S145" s="26">
        <v>0.91649251990000002</v>
      </c>
      <c r="T145" s="26">
        <v>-0.40720563840000001</v>
      </c>
      <c r="U145" s="24" t="s">
        <v>180</v>
      </c>
    </row>
    <row r="146" spans="1:21" x14ac:dyDescent="0.25">
      <c r="A146" s="24" t="s">
        <v>225</v>
      </c>
      <c r="B146" s="24" t="s">
        <v>78</v>
      </c>
      <c r="C146" s="25">
        <v>52.85</v>
      </c>
      <c r="D146" s="26">
        <v>-2.4899999999999999E-2</v>
      </c>
      <c r="E146" s="25">
        <v>52.97</v>
      </c>
      <c r="F146" s="25">
        <v>53.63</v>
      </c>
      <c r="G146" s="27">
        <v>1.2382739199999999E-2</v>
      </c>
      <c r="H146" s="28">
        <v>840</v>
      </c>
      <c r="I146" s="28">
        <v>140</v>
      </c>
      <c r="J146" s="29" t="s">
        <v>79</v>
      </c>
      <c r="K146" s="26">
        <v>5.4643758000000001E-2</v>
      </c>
      <c r="L146" s="26">
        <v>0.17116429490000001</v>
      </c>
      <c r="M146" s="26">
        <v>1.8764239799999999E-2</v>
      </c>
      <c r="N146" s="26">
        <v>-0.27489113859999997</v>
      </c>
      <c r="O146" s="26">
        <v>1.1124255486000001</v>
      </c>
      <c r="P146" s="26">
        <f t="shared" si="4"/>
        <v>0.35038111353216628</v>
      </c>
      <c r="Q146" s="26">
        <v>-0.67525924910000001</v>
      </c>
      <c r="R146" s="30">
        <v>0.43744249600000001</v>
      </c>
      <c r="S146" s="26">
        <v>1.9026447099999999</v>
      </c>
      <c r="T146" s="26">
        <v>-0.65266059659999998</v>
      </c>
      <c r="U146" s="24" t="s">
        <v>180</v>
      </c>
    </row>
    <row r="147" spans="1:21" x14ac:dyDescent="0.25">
      <c r="A147" s="24" t="s">
        <v>226</v>
      </c>
      <c r="B147" s="24" t="s">
        <v>78</v>
      </c>
      <c r="C147" s="25">
        <v>3586.21</v>
      </c>
      <c r="D147" s="26">
        <v>1.12E-2</v>
      </c>
      <c r="E147" s="25">
        <v>3524.01</v>
      </c>
      <c r="F147" s="25">
        <v>3609.99</v>
      </c>
      <c r="G147" s="27">
        <v>2.4104289300000002E-2</v>
      </c>
      <c r="H147" s="28">
        <v>2300</v>
      </c>
      <c r="I147" s="28">
        <v>2700</v>
      </c>
      <c r="J147" s="29" t="s">
        <v>79</v>
      </c>
      <c r="K147" s="26">
        <v>0.54809407789999998</v>
      </c>
      <c r="L147" s="26">
        <v>1.9649175322000001</v>
      </c>
      <c r="M147" s="26">
        <v>2.9680186384999998</v>
      </c>
      <c r="N147" s="26">
        <v>6.0808724891999999</v>
      </c>
      <c r="O147" s="26">
        <v>1.2813021823999999</v>
      </c>
      <c r="P147" s="26">
        <f t="shared" si="4"/>
        <v>0.4035722534469906</v>
      </c>
      <c r="Q147" s="26">
        <v>-0.3507831609</v>
      </c>
      <c r="R147" s="30">
        <v>1.0045206313999999</v>
      </c>
      <c r="S147" s="26">
        <v>1.9358840050999999</v>
      </c>
      <c r="T147" s="26">
        <v>-0.35730880700000001</v>
      </c>
      <c r="U147" s="24" t="s">
        <v>180</v>
      </c>
    </row>
    <row r="148" spans="1:21" x14ac:dyDescent="0.25">
      <c r="A148" s="24" t="s">
        <v>227</v>
      </c>
      <c r="B148" s="24" t="s">
        <v>78</v>
      </c>
      <c r="C148" s="25">
        <v>139.38999999999999</v>
      </c>
      <c r="D148" s="26">
        <v>1.7399999999999999E-2</v>
      </c>
      <c r="E148" s="25">
        <v>138</v>
      </c>
      <c r="F148" s="25">
        <v>139.99</v>
      </c>
      <c r="G148" s="27">
        <v>1.4317061799999999E-2</v>
      </c>
      <c r="H148" s="28">
        <v>2</v>
      </c>
      <c r="I148" s="28">
        <v>2000</v>
      </c>
      <c r="J148" s="29" t="s">
        <v>79</v>
      </c>
      <c r="K148" s="26">
        <v>-0.25712022089999997</v>
      </c>
      <c r="L148" s="26">
        <v>-0.60328981410000004</v>
      </c>
      <c r="M148" s="26">
        <v>-0.56398125830000001</v>
      </c>
      <c r="N148" s="26">
        <v>-0.88582698209999999</v>
      </c>
      <c r="O148" s="26">
        <v>1.8453511896999999</v>
      </c>
      <c r="P148" s="26">
        <f t="shared" si="4"/>
        <v>0.58123099160992575</v>
      </c>
      <c r="Q148" s="26">
        <v>-0.93147473820000004</v>
      </c>
      <c r="R148" s="30">
        <v>-7.3726642499999995E-2</v>
      </c>
      <c r="S148" s="26">
        <v>0.67962570879999995</v>
      </c>
      <c r="T148" s="26">
        <v>-0.80135300470000004</v>
      </c>
      <c r="U148" s="24" t="s">
        <v>180</v>
      </c>
    </row>
    <row r="149" spans="1:21" x14ac:dyDescent="0.25">
      <c r="A149" s="24" t="s">
        <v>228</v>
      </c>
      <c r="B149" s="24" t="s">
        <v>82</v>
      </c>
      <c r="C149" s="25">
        <v>3.12</v>
      </c>
      <c r="D149" s="26">
        <v>0</v>
      </c>
      <c r="E149" s="25"/>
      <c r="F149" s="25"/>
      <c r="G149" s="27"/>
      <c r="H149" s="28">
        <v>0</v>
      </c>
      <c r="I149" s="28">
        <v>0</v>
      </c>
      <c r="J149" s="29" t="s">
        <v>152</v>
      </c>
      <c r="K149" s="26"/>
      <c r="L149" s="26"/>
      <c r="M149" s="26"/>
      <c r="N149" s="26"/>
      <c r="O149" s="26"/>
      <c r="P149" s="26" t="str">
        <f t="shared" si="4"/>
        <v/>
      </c>
      <c r="Q149" s="26"/>
      <c r="R149" s="30"/>
      <c r="S149" s="26"/>
      <c r="T149" s="26"/>
      <c r="U149" s="24" t="s">
        <v>229</v>
      </c>
    </row>
  </sheetData>
  <autoFilter ref="A4:U149" xr:uid="{00000000-0009-0000-0000-000002000000}"/>
  <conditionalFormatting sqref="D5:D149">
    <cfRule type="colorScale" priority="1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G5:G149">
    <cfRule type="cellIs" dxfId="2" priority="10" operator="greaterThan">
      <formula>0.03</formula>
    </cfRule>
    <cfRule type="cellIs" dxfId="1" priority="11" operator="between">
      <formula>0.01</formula>
      <formula>0.03</formula>
    </cfRule>
  </conditionalFormatting>
  <conditionalFormatting sqref="J5:J149">
    <cfRule type="expression" dxfId="0" priority="12">
      <formula>J5&lt;&gt;"Sí"</formula>
    </cfRule>
  </conditionalFormatting>
  <conditionalFormatting sqref="K5:K149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L5:L149">
    <cfRule type="colorScale" priority="3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M5:M149">
    <cfRule type="colorScale" priority="4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N5:N149">
    <cfRule type="colorScale" priority="5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O5:O149">
    <cfRule type="colorScale" priority="9">
      <colorScale>
        <cfvo type="min"/>
        <cfvo type="max"/>
        <color rgb="FFFFFFFF"/>
        <color rgb="FFF4B183"/>
      </colorScale>
    </cfRule>
  </conditionalFormatting>
  <conditionalFormatting sqref="Q5:Q149">
    <cfRule type="colorScale" priority="6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S5:S149">
    <cfRule type="colorScale" priority="7">
      <colorScale>
        <cfvo type="min"/>
        <cfvo type="num" val="0"/>
        <cfvo type="max"/>
        <color rgb="FFF8696B"/>
        <color rgb="FFFFFFFF"/>
        <color rgb="FF63BE7B"/>
      </colorScale>
    </cfRule>
  </conditionalFormatting>
  <conditionalFormatting sqref="T5:T149">
    <cfRule type="colorScale" priority="8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O14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" customWidth="1"/>
    <col min="2" max="145" width="6" customWidth="1"/>
  </cols>
  <sheetData>
    <row r="1" spans="1:145" ht="18.75" x14ac:dyDescent="0.3">
      <c r="A1" s="4" t="s">
        <v>230</v>
      </c>
    </row>
    <row r="2" spans="1:145" x14ac:dyDescent="0.25">
      <c r="A2" s="5" t="s">
        <v>231</v>
      </c>
    </row>
    <row r="4" spans="1:145" ht="39.950000000000003" customHeight="1" x14ac:dyDescent="0.25">
      <c r="B4" s="10" t="s">
        <v>77</v>
      </c>
      <c r="C4" s="10" t="s">
        <v>81</v>
      </c>
      <c r="D4" s="10" t="s">
        <v>83</v>
      </c>
      <c r="E4" s="10" t="s">
        <v>84</v>
      </c>
      <c r="F4" s="10" t="s">
        <v>85</v>
      </c>
      <c r="G4" s="10" t="s">
        <v>86</v>
      </c>
      <c r="H4" s="10" t="s">
        <v>87</v>
      </c>
      <c r="I4" s="10" t="s">
        <v>88</v>
      </c>
      <c r="J4" s="10" t="s">
        <v>89</v>
      </c>
      <c r="K4" s="10" t="s">
        <v>90</v>
      </c>
      <c r="L4" s="10" t="s">
        <v>91</v>
      </c>
      <c r="M4" s="10" t="s">
        <v>92</v>
      </c>
      <c r="N4" s="10" t="s">
        <v>93</v>
      </c>
      <c r="O4" s="10" t="s">
        <v>94</v>
      </c>
      <c r="P4" s="10" t="s">
        <v>95</v>
      </c>
      <c r="Q4" s="10" t="s">
        <v>96</v>
      </c>
      <c r="R4" s="10" t="s">
        <v>97</v>
      </c>
      <c r="S4" s="10" t="s">
        <v>98</v>
      </c>
      <c r="T4" s="10" t="s">
        <v>99</v>
      </c>
      <c r="U4" s="10" t="s">
        <v>100</v>
      </c>
      <c r="V4" s="10" t="s">
        <v>101</v>
      </c>
      <c r="W4" s="10" t="s">
        <v>102</v>
      </c>
      <c r="X4" s="10" t="s">
        <v>103</v>
      </c>
      <c r="Y4" s="10" t="s">
        <v>104</v>
      </c>
      <c r="Z4" s="10" t="s">
        <v>105</v>
      </c>
      <c r="AA4" s="10" t="s">
        <v>106</v>
      </c>
      <c r="AB4" s="10" t="s">
        <v>107</v>
      </c>
      <c r="AC4" s="10" t="s">
        <v>108</v>
      </c>
      <c r="AD4" s="10" t="s">
        <v>109</v>
      </c>
      <c r="AE4" s="10" t="s">
        <v>110</v>
      </c>
      <c r="AF4" s="10" t="s">
        <v>111</v>
      </c>
      <c r="AG4" s="10" t="s">
        <v>112</v>
      </c>
      <c r="AH4" s="10" t="s">
        <v>113</v>
      </c>
      <c r="AI4" s="10" t="s">
        <v>114</v>
      </c>
      <c r="AJ4" s="10" t="s">
        <v>115</v>
      </c>
      <c r="AK4" s="10" t="s">
        <v>116</v>
      </c>
      <c r="AL4" s="10" t="s">
        <v>117</v>
      </c>
      <c r="AM4" s="10" t="s">
        <v>118</v>
      </c>
      <c r="AN4" s="10" t="s">
        <v>119</v>
      </c>
      <c r="AO4" s="10" t="s">
        <v>120</v>
      </c>
      <c r="AP4" s="10" t="s">
        <v>121</v>
      </c>
      <c r="AQ4" s="10" t="s">
        <v>122</v>
      </c>
      <c r="AR4" s="10" t="s">
        <v>123</v>
      </c>
      <c r="AS4" s="10" t="s">
        <v>124</v>
      </c>
      <c r="AT4" s="10" t="s">
        <v>125</v>
      </c>
      <c r="AU4" s="10" t="s">
        <v>126</v>
      </c>
      <c r="AV4" s="10" t="s">
        <v>127</v>
      </c>
      <c r="AW4" s="10" t="s">
        <v>128</v>
      </c>
      <c r="AX4" s="10" t="s">
        <v>129</v>
      </c>
      <c r="AY4" s="10" t="s">
        <v>131</v>
      </c>
      <c r="AZ4" s="10" t="s">
        <v>132</v>
      </c>
      <c r="BA4" s="10" t="s">
        <v>133</v>
      </c>
      <c r="BB4" s="10" t="s">
        <v>134</v>
      </c>
      <c r="BC4" s="10" t="s">
        <v>135</v>
      </c>
      <c r="BD4" s="10" t="s">
        <v>136</v>
      </c>
      <c r="BE4" s="10" t="s">
        <v>137</v>
      </c>
      <c r="BF4" s="10" t="s">
        <v>138</v>
      </c>
      <c r="BG4" s="10" t="s">
        <v>139</v>
      </c>
      <c r="BH4" s="10" t="s">
        <v>140</v>
      </c>
      <c r="BI4" s="10" t="s">
        <v>141</v>
      </c>
      <c r="BJ4" s="10" t="s">
        <v>142</v>
      </c>
      <c r="BK4" s="10" t="s">
        <v>143</v>
      </c>
      <c r="BL4" s="10" t="s">
        <v>144</v>
      </c>
      <c r="BM4" s="10" t="s">
        <v>145</v>
      </c>
      <c r="BN4" s="10" t="s">
        <v>146</v>
      </c>
      <c r="BO4" s="10" t="s">
        <v>147</v>
      </c>
      <c r="BP4" s="10" t="s">
        <v>148</v>
      </c>
      <c r="BQ4" s="10" t="s">
        <v>149</v>
      </c>
      <c r="BR4" s="10" t="s">
        <v>150</v>
      </c>
      <c r="BS4" s="10" t="s">
        <v>151</v>
      </c>
      <c r="BT4" s="10" t="s">
        <v>153</v>
      </c>
      <c r="BU4" s="10" t="s">
        <v>154</v>
      </c>
      <c r="BV4" s="10" t="s">
        <v>155</v>
      </c>
      <c r="BW4" s="10" t="s">
        <v>156</v>
      </c>
      <c r="BX4" s="10" t="s">
        <v>157</v>
      </c>
      <c r="BY4" s="10" t="s">
        <v>158</v>
      </c>
      <c r="BZ4" s="10" t="s">
        <v>159</v>
      </c>
      <c r="CA4" s="10" t="s">
        <v>160</v>
      </c>
      <c r="CB4" s="10" t="s">
        <v>161</v>
      </c>
      <c r="CC4" s="10" t="s">
        <v>162</v>
      </c>
      <c r="CD4" s="10" t="s">
        <v>163</v>
      </c>
      <c r="CE4" s="10" t="s">
        <v>164</v>
      </c>
      <c r="CF4" s="10" t="s">
        <v>165</v>
      </c>
      <c r="CG4" s="10" t="s">
        <v>166</v>
      </c>
      <c r="CH4" s="10" t="s">
        <v>167</v>
      </c>
      <c r="CI4" s="10" t="s">
        <v>168</v>
      </c>
      <c r="CJ4" s="10" t="s">
        <v>169</v>
      </c>
      <c r="CK4" s="10" t="s">
        <v>170</v>
      </c>
      <c r="CL4" s="10" t="s">
        <v>171</v>
      </c>
      <c r="CM4" s="10" t="s">
        <v>172</v>
      </c>
      <c r="CN4" s="10" t="s">
        <v>173</v>
      </c>
      <c r="CO4" s="10" t="s">
        <v>174</v>
      </c>
      <c r="CP4" s="10" t="s">
        <v>175</v>
      </c>
      <c r="CQ4" s="10" t="s">
        <v>176</v>
      </c>
      <c r="CR4" s="10" t="s">
        <v>177</v>
      </c>
      <c r="CS4" s="10" t="s">
        <v>178</v>
      </c>
      <c r="CT4" s="10" t="s">
        <v>179</v>
      </c>
      <c r="CU4" s="10" t="s">
        <v>181</v>
      </c>
      <c r="CV4" s="10" t="s">
        <v>182</v>
      </c>
      <c r="CW4" s="10" t="s">
        <v>183</v>
      </c>
      <c r="CX4" s="10" t="s">
        <v>184</v>
      </c>
      <c r="CY4" s="10" t="s">
        <v>185</v>
      </c>
      <c r="CZ4" s="10" t="s">
        <v>186</v>
      </c>
      <c r="DA4" s="10" t="s">
        <v>187</v>
      </c>
      <c r="DB4" s="10" t="s">
        <v>188</v>
      </c>
      <c r="DC4" s="10" t="s">
        <v>189</v>
      </c>
      <c r="DD4" s="10" t="s">
        <v>190</v>
      </c>
      <c r="DE4" s="10" t="s">
        <v>191</v>
      </c>
      <c r="DF4" s="10" t="s">
        <v>192</v>
      </c>
      <c r="DG4" s="10" t="s">
        <v>193</v>
      </c>
      <c r="DH4" s="10" t="s">
        <v>194</v>
      </c>
      <c r="DI4" s="10" t="s">
        <v>195</v>
      </c>
      <c r="DJ4" s="10" t="s">
        <v>196</v>
      </c>
      <c r="DK4" s="10" t="s">
        <v>197</v>
      </c>
      <c r="DL4" s="10" t="s">
        <v>198</v>
      </c>
      <c r="DM4" s="10" t="s">
        <v>199</v>
      </c>
      <c r="DN4" s="10" t="s">
        <v>200</v>
      </c>
      <c r="DO4" s="10" t="s">
        <v>201</v>
      </c>
      <c r="DP4" s="10" t="s">
        <v>202</v>
      </c>
      <c r="DQ4" s="10" t="s">
        <v>203</v>
      </c>
      <c r="DR4" s="10" t="s">
        <v>204</v>
      </c>
      <c r="DS4" s="10" t="s">
        <v>205</v>
      </c>
      <c r="DT4" s="10" t="s">
        <v>206</v>
      </c>
      <c r="DU4" s="10" t="s">
        <v>207</v>
      </c>
      <c r="DV4" s="10" t="s">
        <v>208</v>
      </c>
      <c r="DW4" s="10" t="s">
        <v>209</v>
      </c>
      <c r="DX4" s="10" t="s">
        <v>210</v>
      </c>
      <c r="DY4" s="10" t="s">
        <v>211</v>
      </c>
      <c r="DZ4" s="10" t="s">
        <v>212</v>
      </c>
      <c r="EA4" s="10" t="s">
        <v>213</v>
      </c>
      <c r="EB4" s="10" t="s">
        <v>214</v>
      </c>
      <c r="EC4" s="10" t="s">
        <v>215</v>
      </c>
      <c r="ED4" s="10" t="s">
        <v>216</v>
      </c>
      <c r="EE4" s="10" t="s">
        <v>217</v>
      </c>
      <c r="EF4" s="10" t="s">
        <v>218</v>
      </c>
      <c r="EG4" s="10" t="s">
        <v>219</v>
      </c>
      <c r="EH4" s="10" t="s">
        <v>220</v>
      </c>
      <c r="EI4" s="10" t="s">
        <v>221</v>
      </c>
      <c r="EJ4" s="10" t="s">
        <v>222</v>
      </c>
      <c r="EK4" s="10" t="s">
        <v>223</v>
      </c>
      <c r="EL4" s="10" t="s">
        <v>224</v>
      </c>
      <c r="EM4" s="10" t="s">
        <v>225</v>
      </c>
      <c r="EN4" s="10" t="s">
        <v>226</v>
      </c>
      <c r="EO4" s="10" t="s">
        <v>227</v>
      </c>
    </row>
    <row r="5" spans="1:145" x14ac:dyDescent="0.25">
      <c r="A5" s="31" t="s">
        <v>77</v>
      </c>
      <c r="B5" s="32">
        <v>1</v>
      </c>
      <c r="C5" s="32">
        <v>-0.04</v>
      </c>
      <c r="D5" s="32">
        <v>-0.11</v>
      </c>
      <c r="E5" s="32">
        <v>0.06</v>
      </c>
      <c r="F5" s="32">
        <v>0.43</v>
      </c>
      <c r="G5" s="32">
        <v>-0.11</v>
      </c>
      <c r="H5" s="32">
        <v>-0.02</v>
      </c>
      <c r="I5" s="32">
        <v>0.46</v>
      </c>
      <c r="J5" s="32">
        <v>0.32</v>
      </c>
      <c r="K5" s="32">
        <v>0.44</v>
      </c>
      <c r="L5" s="32">
        <v>7.0000000000000007E-2</v>
      </c>
      <c r="M5" s="32">
        <v>0.25</v>
      </c>
      <c r="N5" s="32">
        <v>0.33</v>
      </c>
      <c r="O5" s="32">
        <v>0.14000000000000001</v>
      </c>
      <c r="P5" s="32">
        <v>0.38</v>
      </c>
      <c r="Q5" s="32">
        <v>0.03</v>
      </c>
      <c r="R5" s="32">
        <v>0.37</v>
      </c>
      <c r="S5" s="32">
        <v>0</v>
      </c>
      <c r="T5" s="32">
        <v>0.25</v>
      </c>
      <c r="U5" s="32">
        <v>7.0000000000000007E-2</v>
      </c>
      <c r="V5" s="32">
        <v>0.03</v>
      </c>
      <c r="W5" s="32">
        <v>0.02</v>
      </c>
      <c r="X5" s="32">
        <v>0.33</v>
      </c>
      <c r="Y5" s="32">
        <v>0.45</v>
      </c>
      <c r="Z5" s="32">
        <v>0.04</v>
      </c>
      <c r="AA5" s="32">
        <v>0.06</v>
      </c>
      <c r="AB5" s="32">
        <v>0.49</v>
      </c>
      <c r="AC5" s="32">
        <v>0.04</v>
      </c>
      <c r="AD5" s="32">
        <v>0.06</v>
      </c>
      <c r="AE5" s="32">
        <v>0</v>
      </c>
      <c r="AF5" s="32">
        <v>-0.14000000000000001</v>
      </c>
      <c r="AG5" s="32">
        <v>0.26</v>
      </c>
      <c r="AH5" s="32">
        <v>0.31</v>
      </c>
      <c r="AI5" s="32">
        <v>0.17</v>
      </c>
      <c r="AJ5" s="32">
        <v>0.03</v>
      </c>
      <c r="AK5" s="32">
        <v>-0.03</v>
      </c>
      <c r="AL5" s="32">
        <v>0.28000000000000003</v>
      </c>
      <c r="AM5" s="32">
        <v>0.04</v>
      </c>
      <c r="AN5" s="32">
        <v>0.36</v>
      </c>
      <c r="AO5" s="32">
        <v>0.26</v>
      </c>
      <c r="AP5" s="32">
        <v>0.23</v>
      </c>
      <c r="AQ5" s="32">
        <v>0.12</v>
      </c>
      <c r="AR5" s="32">
        <v>0.23</v>
      </c>
      <c r="AS5" s="32">
        <v>-0.13</v>
      </c>
      <c r="AT5" s="32">
        <v>0.28999999999999998</v>
      </c>
      <c r="AU5" s="32">
        <v>0.3</v>
      </c>
      <c r="AV5" s="32">
        <v>7.0000000000000007E-2</v>
      </c>
      <c r="AW5" s="32">
        <v>-0.01</v>
      </c>
      <c r="AX5" s="32">
        <v>0.34</v>
      </c>
      <c r="AY5" s="32">
        <v>0.27</v>
      </c>
      <c r="AZ5" s="32">
        <v>0.03</v>
      </c>
      <c r="BA5" s="32">
        <v>0.19</v>
      </c>
      <c r="BB5" s="32">
        <v>0.16</v>
      </c>
      <c r="BC5" s="32">
        <v>0.1</v>
      </c>
      <c r="BD5" s="32">
        <v>0.01</v>
      </c>
      <c r="BE5" s="32">
        <v>0.3</v>
      </c>
      <c r="BF5" s="32">
        <v>0.04</v>
      </c>
      <c r="BG5" s="32">
        <v>0.21</v>
      </c>
      <c r="BH5" s="32">
        <v>0.04</v>
      </c>
      <c r="BI5" s="32">
        <v>0.1</v>
      </c>
      <c r="BJ5" s="32">
        <v>-0.03</v>
      </c>
      <c r="BK5" s="32">
        <v>0.02</v>
      </c>
      <c r="BL5" s="32">
        <v>0.08</v>
      </c>
      <c r="BM5" s="32">
        <v>0.17</v>
      </c>
      <c r="BN5" s="32">
        <v>0.28000000000000003</v>
      </c>
      <c r="BO5" s="32">
        <v>0.14000000000000001</v>
      </c>
      <c r="BP5" s="32">
        <v>0.12</v>
      </c>
      <c r="BQ5" s="32">
        <v>-0.05</v>
      </c>
      <c r="BR5" s="32">
        <v>0.22</v>
      </c>
      <c r="BS5" s="32">
        <v>0.02</v>
      </c>
      <c r="BT5" s="32">
        <v>0.18</v>
      </c>
      <c r="BU5" s="32">
        <v>-7.0000000000000007E-2</v>
      </c>
      <c r="BV5" s="32">
        <v>0.13</v>
      </c>
      <c r="BW5" s="32">
        <v>0.16</v>
      </c>
      <c r="BX5" s="32">
        <v>0.28000000000000003</v>
      </c>
      <c r="BY5" s="32">
        <v>0.16</v>
      </c>
      <c r="BZ5" s="32">
        <v>0.21</v>
      </c>
      <c r="CA5" s="32">
        <v>0.04</v>
      </c>
      <c r="CB5" s="32">
        <v>0.05</v>
      </c>
      <c r="CC5" s="32">
        <v>0.22</v>
      </c>
      <c r="CD5" s="32">
        <v>0.18</v>
      </c>
      <c r="CE5" s="32">
        <v>7.0000000000000007E-2</v>
      </c>
      <c r="CF5" s="32">
        <v>0.08</v>
      </c>
      <c r="CG5" s="32">
        <v>0.24</v>
      </c>
      <c r="CH5" s="32">
        <v>-0.08</v>
      </c>
      <c r="CI5" s="32">
        <v>0.09</v>
      </c>
      <c r="CJ5" s="32">
        <v>0.26</v>
      </c>
      <c r="CK5" s="32">
        <v>0.32</v>
      </c>
      <c r="CL5" s="32">
        <v>0.11</v>
      </c>
      <c r="CM5" s="32">
        <v>-0.14000000000000001</v>
      </c>
      <c r="CN5" s="32">
        <v>-0.04</v>
      </c>
      <c r="CO5" s="32">
        <v>0.01</v>
      </c>
      <c r="CP5" s="32">
        <v>0.17</v>
      </c>
      <c r="CQ5" s="32">
        <v>0.27</v>
      </c>
      <c r="CR5" s="32">
        <v>-0.06</v>
      </c>
      <c r="CS5" s="32">
        <v>0</v>
      </c>
      <c r="CT5" s="32">
        <v>0.1</v>
      </c>
      <c r="CU5" s="32">
        <v>0</v>
      </c>
      <c r="CV5" s="32">
        <v>7.0000000000000007E-2</v>
      </c>
      <c r="CW5" s="32">
        <v>0.11</v>
      </c>
      <c r="CX5" s="32">
        <v>7.0000000000000007E-2</v>
      </c>
      <c r="CY5" s="32">
        <v>0.22</v>
      </c>
      <c r="CZ5" s="32">
        <v>0.1</v>
      </c>
      <c r="DA5" s="32">
        <v>0.12</v>
      </c>
      <c r="DB5" s="32">
        <v>0</v>
      </c>
      <c r="DC5" s="32">
        <v>-0.02</v>
      </c>
      <c r="DD5" s="32">
        <v>0.14000000000000001</v>
      </c>
      <c r="DE5" s="32">
        <v>-0.09</v>
      </c>
      <c r="DF5" s="32">
        <v>0.17</v>
      </c>
      <c r="DG5" s="32">
        <v>0.01</v>
      </c>
      <c r="DH5" s="32">
        <v>-0.05</v>
      </c>
      <c r="DI5" s="32">
        <v>0.27</v>
      </c>
      <c r="DJ5" s="32">
        <v>0.22</v>
      </c>
      <c r="DK5" s="32">
        <v>0.23</v>
      </c>
      <c r="DL5" s="32">
        <v>-0.12</v>
      </c>
      <c r="DM5" s="32">
        <v>0.27</v>
      </c>
      <c r="DN5" s="32">
        <v>0.19</v>
      </c>
      <c r="DO5" s="32">
        <v>0.06</v>
      </c>
      <c r="DP5" s="32">
        <v>0.25</v>
      </c>
      <c r="DQ5" s="32">
        <v>0.01</v>
      </c>
      <c r="DR5" s="32">
        <v>-0.06</v>
      </c>
      <c r="DS5" s="32">
        <v>0.11</v>
      </c>
      <c r="DT5" s="32">
        <v>-0.13</v>
      </c>
      <c r="DU5" s="32">
        <v>-0.01</v>
      </c>
      <c r="DV5" s="32">
        <v>-0.02</v>
      </c>
      <c r="DW5" s="32">
        <v>0.1</v>
      </c>
      <c r="DX5" s="32">
        <v>-0.15</v>
      </c>
      <c r="DY5" s="32">
        <v>0.15</v>
      </c>
      <c r="DZ5" s="32">
        <v>0.02</v>
      </c>
      <c r="EA5" s="32">
        <v>0</v>
      </c>
      <c r="EB5" s="32">
        <v>0.05</v>
      </c>
      <c r="EC5" s="32">
        <v>-0.12</v>
      </c>
      <c r="ED5" s="32">
        <v>0.05</v>
      </c>
      <c r="EE5" s="32">
        <v>-0.09</v>
      </c>
      <c r="EF5" s="32">
        <v>0.05</v>
      </c>
      <c r="EG5" s="32">
        <v>-0.06</v>
      </c>
      <c r="EH5" s="32">
        <v>7.0000000000000007E-2</v>
      </c>
      <c r="EI5" s="32">
        <v>-0.2</v>
      </c>
      <c r="EJ5" s="32">
        <v>0.06</v>
      </c>
      <c r="EK5" s="32">
        <v>-0.03</v>
      </c>
      <c r="EL5" s="32">
        <v>-0.11</v>
      </c>
      <c r="EM5" s="32">
        <v>-7.0000000000000007E-2</v>
      </c>
      <c r="EN5" s="32">
        <v>0.02</v>
      </c>
      <c r="EO5" s="32">
        <v>0</v>
      </c>
    </row>
    <row r="6" spans="1:145" x14ac:dyDescent="0.25">
      <c r="A6" s="31" t="s">
        <v>81</v>
      </c>
      <c r="B6" s="32">
        <v>-0.04</v>
      </c>
      <c r="C6" s="32">
        <v>1</v>
      </c>
      <c r="D6" s="32">
        <v>0.08</v>
      </c>
      <c r="E6" s="32">
        <v>0.09</v>
      </c>
      <c r="F6" s="32">
        <v>0.01</v>
      </c>
      <c r="G6" s="32">
        <v>0.02</v>
      </c>
      <c r="H6" s="32">
        <v>0.14000000000000001</v>
      </c>
      <c r="I6" s="32">
        <v>0.08</v>
      </c>
      <c r="J6" s="32">
        <v>0.04</v>
      </c>
      <c r="K6" s="32">
        <v>-0.08</v>
      </c>
      <c r="L6" s="32">
        <v>0.31</v>
      </c>
      <c r="M6" s="32">
        <v>7.0000000000000007E-2</v>
      </c>
      <c r="N6" s="32">
        <v>-0.01</v>
      </c>
      <c r="O6" s="32">
        <v>0.18</v>
      </c>
      <c r="P6" s="32">
        <v>7.0000000000000007E-2</v>
      </c>
      <c r="Q6" s="32">
        <v>0</v>
      </c>
      <c r="R6" s="32">
        <v>0.03</v>
      </c>
      <c r="S6" s="32">
        <v>0.06</v>
      </c>
      <c r="T6" s="32">
        <v>-0.01</v>
      </c>
      <c r="U6" s="32">
        <v>0.13</v>
      </c>
      <c r="V6" s="32">
        <v>0.16</v>
      </c>
      <c r="W6" s="32">
        <v>0.14000000000000001</v>
      </c>
      <c r="X6" s="32">
        <v>0.03</v>
      </c>
      <c r="Y6" s="32">
        <v>0.1</v>
      </c>
      <c r="Z6" s="32">
        <v>0.21</v>
      </c>
      <c r="AA6" s="32">
        <v>0.09</v>
      </c>
      <c r="AB6" s="32">
        <v>0.03</v>
      </c>
      <c r="AC6" s="32">
        <v>0.04</v>
      </c>
      <c r="AD6" s="32">
        <v>0.2</v>
      </c>
      <c r="AE6" s="32">
        <v>0.2</v>
      </c>
      <c r="AF6" s="32">
        <v>0.24</v>
      </c>
      <c r="AG6" s="32">
        <v>-0.02</v>
      </c>
      <c r="AH6" s="32">
        <v>0</v>
      </c>
      <c r="AI6" s="32">
        <v>-0.02</v>
      </c>
      <c r="AJ6" s="32">
        <v>0.11</v>
      </c>
      <c r="AK6" s="32">
        <v>0.22</v>
      </c>
      <c r="AL6" s="32">
        <v>-0.01</v>
      </c>
      <c r="AM6" s="32">
        <v>0.08</v>
      </c>
      <c r="AN6" s="32">
        <v>0.01</v>
      </c>
      <c r="AO6" s="32">
        <v>0.03</v>
      </c>
      <c r="AP6" s="32">
        <v>-0.06</v>
      </c>
      <c r="AQ6" s="32">
        <v>0.01</v>
      </c>
      <c r="AR6" s="32">
        <v>0</v>
      </c>
      <c r="AS6" s="32">
        <v>0.12</v>
      </c>
      <c r="AT6" s="32">
        <v>0</v>
      </c>
      <c r="AU6" s="32">
        <v>0.05</v>
      </c>
      <c r="AV6" s="32">
        <v>0.28000000000000003</v>
      </c>
      <c r="AW6" s="32">
        <v>0.19</v>
      </c>
      <c r="AX6" s="32">
        <v>-0.01</v>
      </c>
      <c r="AY6" s="32">
        <v>0.12</v>
      </c>
      <c r="AZ6" s="32">
        <v>0.08</v>
      </c>
      <c r="BA6" s="32">
        <v>0.06</v>
      </c>
      <c r="BB6" s="32">
        <v>-7.0000000000000007E-2</v>
      </c>
      <c r="BC6" s="32">
        <v>0.03</v>
      </c>
      <c r="BD6" s="32">
        <v>0.17</v>
      </c>
      <c r="BE6" s="32">
        <v>7.0000000000000007E-2</v>
      </c>
      <c r="BF6" s="32">
        <v>0</v>
      </c>
      <c r="BG6" s="32">
        <v>0.01</v>
      </c>
      <c r="BH6" s="32">
        <v>0.05</v>
      </c>
      <c r="BI6" s="32">
        <v>-0.01</v>
      </c>
      <c r="BJ6" s="32">
        <v>0.03</v>
      </c>
      <c r="BK6" s="32">
        <v>0.06</v>
      </c>
      <c r="BL6" s="32">
        <v>-0.01</v>
      </c>
      <c r="BM6" s="32">
        <v>0.03</v>
      </c>
      <c r="BN6" s="32">
        <v>0.03</v>
      </c>
      <c r="BO6" s="32">
        <v>-0.02</v>
      </c>
      <c r="BP6" s="32">
        <v>-7.0000000000000007E-2</v>
      </c>
      <c r="BQ6" s="32">
        <v>0.19</v>
      </c>
      <c r="BR6" s="32">
        <v>-7.0000000000000007E-2</v>
      </c>
      <c r="BS6" s="32">
        <v>-0.03</v>
      </c>
      <c r="BT6" s="32">
        <v>0.04</v>
      </c>
      <c r="BU6" s="32">
        <v>0.06</v>
      </c>
      <c r="BV6" s="32">
        <v>-0.02</v>
      </c>
      <c r="BW6" s="32">
        <v>-0.04</v>
      </c>
      <c r="BX6" s="32">
        <v>-7.0000000000000007E-2</v>
      </c>
      <c r="BY6" s="32">
        <v>-0.03</v>
      </c>
      <c r="BZ6" s="32">
        <v>0.12</v>
      </c>
      <c r="CA6" s="32">
        <v>0.16</v>
      </c>
      <c r="CB6" s="32">
        <v>0.1</v>
      </c>
      <c r="CC6" s="32">
        <v>-0.02</v>
      </c>
      <c r="CD6" s="32">
        <v>-0.04</v>
      </c>
      <c r="CE6" s="32">
        <v>-0.03</v>
      </c>
      <c r="CF6" s="32">
        <v>-0.04</v>
      </c>
      <c r="CG6" s="32">
        <v>-0.03</v>
      </c>
      <c r="CH6" s="32">
        <v>0.13</v>
      </c>
      <c r="CI6" s="32">
        <v>-0.06</v>
      </c>
      <c r="CJ6" s="32">
        <v>-0.01</v>
      </c>
      <c r="CK6" s="32">
        <v>-7.0000000000000007E-2</v>
      </c>
      <c r="CL6" s="32">
        <v>0</v>
      </c>
      <c r="CM6" s="32">
        <v>-7.0000000000000007E-2</v>
      </c>
      <c r="CN6" s="32">
        <v>0.19</v>
      </c>
      <c r="CO6" s="32">
        <v>7.0000000000000007E-2</v>
      </c>
      <c r="CP6" s="32">
        <v>0.02</v>
      </c>
      <c r="CQ6" s="32">
        <v>-0.03</v>
      </c>
      <c r="CR6" s="32">
        <v>-0.06</v>
      </c>
      <c r="CS6" s="32">
        <v>0.05</v>
      </c>
      <c r="CT6" s="32">
        <v>0.03</v>
      </c>
      <c r="CU6" s="32">
        <v>0</v>
      </c>
      <c r="CV6" s="32">
        <v>-0.06</v>
      </c>
      <c r="CW6" s="32">
        <v>0.02</v>
      </c>
      <c r="CX6" s="32">
        <v>0.01</v>
      </c>
      <c r="CY6" s="32">
        <v>-0.01</v>
      </c>
      <c r="CZ6" s="32">
        <v>-0.14000000000000001</v>
      </c>
      <c r="DA6" s="32">
        <v>-0.01</v>
      </c>
      <c r="DB6" s="32">
        <v>0.05</v>
      </c>
      <c r="DC6" s="32">
        <v>0.04</v>
      </c>
      <c r="DD6" s="32">
        <v>-0.04</v>
      </c>
      <c r="DE6" s="32">
        <v>7.0000000000000007E-2</v>
      </c>
      <c r="DF6" s="32">
        <v>-0.09</v>
      </c>
      <c r="DG6" s="32">
        <v>0.06</v>
      </c>
      <c r="DH6" s="32">
        <v>0.06</v>
      </c>
      <c r="DI6" s="32">
        <v>-0.03</v>
      </c>
      <c r="DJ6" s="32">
        <v>-0.06</v>
      </c>
      <c r="DK6" s="32">
        <v>0</v>
      </c>
      <c r="DL6" s="32">
        <v>0.18</v>
      </c>
      <c r="DM6" s="32">
        <v>-0.01</v>
      </c>
      <c r="DN6" s="32">
        <v>0.09</v>
      </c>
      <c r="DO6" s="32">
        <v>0.15</v>
      </c>
      <c r="DP6" s="32">
        <v>-0.02</v>
      </c>
      <c r="DQ6" s="32">
        <v>0.02</v>
      </c>
      <c r="DR6" s="32">
        <v>0.06</v>
      </c>
      <c r="DS6" s="32">
        <v>-7.0000000000000007E-2</v>
      </c>
      <c r="DT6" s="32">
        <v>-0.03</v>
      </c>
      <c r="DU6" s="32">
        <v>-0.06</v>
      </c>
      <c r="DV6" s="32">
        <v>-0.06</v>
      </c>
      <c r="DW6" s="32">
        <v>-0.12</v>
      </c>
      <c r="DX6" s="32">
        <v>0.03</v>
      </c>
      <c r="DY6" s="32">
        <v>0.01</v>
      </c>
      <c r="DZ6" s="32">
        <v>-0.11</v>
      </c>
      <c r="EA6" s="32">
        <v>0.02</v>
      </c>
      <c r="EB6" s="32">
        <v>-0.08</v>
      </c>
      <c r="EC6" s="32">
        <v>0.04</v>
      </c>
      <c r="ED6" s="32">
        <v>0.13</v>
      </c>
      <c r="EE6" s="32">
        <v>0.03</v>
      </c>
      <c r="EF6" s="32">
        <v>0.11</v>
      </c>
      <c r="EG6" s="32">
        <v>7.0000000000000007E-2</v>
      </c>
      <c r="EH6" s="32">
        <v>0</v>
      </c>
      <c r="EI6" s="32">
        <v>0.02</v>
      </c>
      <c r="EJ6" s="32">
        <v>-0.02</v>
      </c>
      <c r="EK6" s="32">
        <v>0.04</v>
      </c>
      <c r="EL6" s="32">
        <v>0.02</v>
      </c>
      <c r="EM6" s="32">
        <v>-0.06</v>
      </c>
      <c r="EN6" s="32">
        <v>-0.01</v>
      </c>
      <c r="EO6" s="32">
        <v>0.04</v>
      </c>
    </row>
    <row r="7" spans="1:145" x14ac:dyDescent="0.25">
      <c r="A7" s="31" t="s">
        <v>83</v>
      </c>
      <c r="B7" s="32">
        <v>-0.11</v>
      </c>
      <c r="C7" s="32">
        <v>0.08</v>
      </c>
      <c r="D7" s="32">
        <v>1</v>
      </c>
      <c r="E7" s="32">
        <v>0.13</v>
      </c>
      <c r="F7" s="32">
        <v>-0.09</v>
      </c>
      <c r="G7" s="32">
        <v>0.12</v>
      </c>
      <c r="H7" s="32">
        <v>0.15</v>
      </c>
      <c r="I7" s="32">
        <v>-0.02</v>
      </c>
      <c r="J7" s="32">
        <v>-0.03</v>
      </c>
      <c r="K7" s="32">
        <v>-0.05</v>
      </c>
      <c r="L7" s="32">
        <v>0.11</v>
      </c>
      <c r="M7" s="32">
        <v>-7.0000000000000007E-2</v>
      </c>
      <c r="N7" s="32">
        <v>0.18</v>
      </c>
      <c r="O7" s="32">
        <v>0.03</v>
      </c>
      <c r="P7" s="32">
        <v>0</v>
      </c>
      <c r="Q7" s="32">
        <v>0.02</v>
      </c>
      <c r="R7" s="32">
        <v>-0.16</v>
      </c>
      <c r="S7" s="32">
        <v>0.11</v>
      </c>
      <c r="T7" s="32">
        <v>0.06</v>
      </c>
      <c r="U7" s="32">
        <v>0.12</v>
      </c>
      <c r="V7" s="32">
        <v>0.04</v>
      </c>
      <c r="W7" s="32">
        <v>-0.04</v>
      </c>
      <c r="X7" s="32">
        <v>0.02</v>
      </c>
      <c r="Y7" s="32">
        <v>0</v>
      </c>
      <c r="Z7" s="32">
        <v>0.09</v>
      </c>
      <c r="AA7" s="32">
        <v>0.09</v>
      </c>
      <c r="AB7" s="32">
        <v>0.03</v>
      </c>
      <c r="AC7" s="32">
        <v>0.08</v>
      </c>
      <c r="AD7" s="32">
        <v>0.02</v>
      </c>
      <c r="AE7" s="32">
        <v>0.19</v>
      </c>
      <c r="AF7" s="32">
        <v>0.17</v>
      </c>
      <c r="AG7" s="32">
        <v>-0.02</v>
      </c>
      <c r="AH7" s="32">
        <v>-0.03</v>
      </c>
      <c r="AI7" s="32">
        <v>-0.11</v>
      </c>
      <c r="AJ7" s="32">
        <v>0.21</v>
      </c>
      <c r="AK7" s="32">
        <v>0.03</v>
      </c>
      <c r="AL7" s="32">
        <v>0.05</v>
      </c>
      <c r="AM7" s="32">
        <v>0.09</v>
      </c>
      <c r="AN7" s="32">
        <v>-0.05</v>
      </c>
      <c r="AO7" s="32">
        <v>0.02</v>
      </c>
      <c r="AP7" s="32">
        <v>0.03</v>
      </c>
      <c r="AQ7" s="32">
        <v>-0.1</v>
      </c>
      <c r="AR7" s="32">
        <v>7.0000000000000007E-2</v>
      </c>
      <c r="AS7" s="32">
        <v>0.12</v>
      </c>
      <c r="AT7" s="32">
        <v>0.01</v>
      </c>
      <c r="AU7" s="32">
        <v>-0.04</v>
      </c>
      <c r="AV7" s="32">
        <v>0.1</v>
      </c>
      <c r="AW7" s="32">
        <v>0.04</v>
      </c>
      <c r="AX7" s="32">
        <v>0.1</v>
      </c>
      <c r="AY7" s="32">
        <v>-0.03</v>
      </c>
      <c r="AZ7" s="32">
        <v>0.2</v>
      </c>
      <c r="BA7" s="32">
        <v>-0.03</v>
      </c>
      <c r="BB7" s="32">
        <v>0.05</v>
      </c>
      <c r="BC7" s="32">
        <v>0.06</v>
      </c>
      <c r="BD7" s="32">
        <v>0.16</v>
      </c>
      <c r="BE7" s="32">
        <v>-0.02</v>
      </c>
      <c r="BF7" s="32">
        <v>0.13</v>
      </c>
      <c r="BG7" s="32">
        <v>0.04</v>
      </c>
      <c r="BH7" s="32">
        <v>0.11</v>
      </c>
      <c r="BI7" s="32">
        <v>0.12</v>
      </c>
      <c r="BJ7" s="32">
        <v>7.0000000000000007E-2</v>
      </c>
      <c r="BK7" s="32">
        <v>0.22</v>
      </c>
      <c r="BL7" s="32">
        <v>-0.05</v>
      </c>
      <c r="BM7" s="32">
        <v>0.05</v>
      </c>
      <c r="BN7" s="32">
        <v>-0.12</v>
      </c>
      <c r="BO7" s="32">
        <v>0.08</v>
      </c>
      <c r="BP7" s="32">
        <v>0.08</v>
      </c>
      <c r="BQ7" s="32">
        <v>0.1</v>
      </c>
      <c r="BR7" s="32">
        <v>0.04</v>
      </c>
      <c r="BS7" s="32">
        <v>-0.06</v>
      </c>
      <c r="BT7" s="32">
        <v>0.05</v>
      </c>
      <c r="BU7" s="32">
        <v>0.1</v>
      </c>
      <c r="BV7" s="32">
        <v>0.04</v>
      </c>
      <c r="BW7" s="32">
        <v>0.03</v>
      </c>
      <c r="BX7" s="32">
        <v>0.09</v>
      </c>
      <c r="BY7" s="32">
        <v>-0.05</v>
      </c>
      <c r="BZ7" s="32">
        <v>-0.01</v>
      </c>
      <c r="CA7" s="32">
        <v>0.15</v>
      </c>
      <c r="CB7" s="32">
        <v>-0.06</v>
      </c>
      <c r="CC7" s="32">
        <v>-0.01</v>
      </c>
      <c r="CD7" s="32">
        <v>0.04</v>
      </c>
      <c r="CE7" s="32">
        <v>0.05</v>
      </c>
      <c r="CF7" s="32">
        <v>-0.04</v>
      </c>
      <c r="CG7" s="32">
        <v>0.11</v>
      </c>
      <c r="CH7" s="32">
        <v>0.04</v>
      </c>
      <c r="CI7" s="32">
        <v>-7.0000000000000007E-2</v>
      </c>
      <c r="CJ7" s="32">
        <v>0.05</v>
      </c>
      <c r="CK7" s="32">
        <v>0.01</v>
      </c>
      <c r="CL7" s="32">
        <v>0</v>
      </c>
      <c r="CM7" s="32">
        <v>0.06</v>
      </c>
      <c r="CN7" s="32">
        <v>0.2</v>
      </c>
      <c r="CO7" s="32">
        <v>0</v>
      </c>
      <c r="CP7" s="32">
        <v>0.05</v>
      </c>
      <c r="CQ7" s="32">
        <v>0.05</v>
      </c>
      <c r="CR7" s="32">
        <v>-0.01</v>
      </c>
      <c r="CS7" s="32">
        <v>0.03</v>
      </c>
      <c r="CT7" s="32">
        <v>7.0000000000000007E-2</v>
      </c>
      <c r="CU7" s="32">
        <v>0.08</v>
      </c>
      <c r="CV7" s="32">
        <v>0.02</v>
      </c>
      <c r="CW7" s="32">
        <v>-0.01</v>
      </c>
      <c r="CX7" s="32">
        <v>0</v>
      </c>
      <c r="CY7" s="32">
        <v>0.02</v>
      </c>
      <c r="CZ7" s="32">
        <v>0.12</v>
      </c>
      <c r="DA7" s="32">
        <v>0.17</v>
      </c>
      <c r="DB7" s="32">
        <v>0.09</v>
      </c>
      <c r="DC7" s="32">
        <v>0.18</v>
      </c>
      <c r="DD7" s="32">
        <v>0.19</v>
      </c>
      <c r="DE7" s="32">
        <v>0.05</v>
      </c>
      <c r="DF7" s="32">
        <v>0.08</v>
      </c>
      <c r="DG7" s="32">
        <v>0.08</v>
      </c>
      <c r="DH7" s="32">
        <v>0.05</v>
      </c>
      <c r="DI7" s="32">
        <v>0.03</v>
      </c>
      <c r="DJ7" s="32">
        <v>0</v>
      </c>
      <c r="DK7" s="32">
        <v>0.02</v>
      </c>
      <c r="DL7" s="32">
        <v>0.2</v>
      </c>
      <c r="DM7" s="32">
        <v>0.02</v>
      </c>
      <c r="DN7" s="32">
        <v>-0.06</v>
      </c>
      <c r="DO7" s="32">
        <v>7.0000000000000007E-2</v>
      </c>
      <c r="DP7" s="32">
        <v>0.02</v>
      </c>
      <c r="DQ7" s="32">
        <v>-0.01</v>
      </c>
      <c r="DR7" s="32">
        <v>-0.02</v>
      </c>
      <c r="DS7" s="32">
        <v>0.03</v>
      </c>
      <c r="DT7" s="32">
        <v>0.04</v>
      </c>
      <c r="DU7" s="32">
        <v>0.11</v>
      </c>
      <c r="DV7" s="32">
        <v>0.06</v>
      </c>
      <c r="DW7" s="32">
        <v>7.0000000000000007E-2</v>
      </c>
      <c r="DX7" s="32">
        <v>0.06</v>
      </c>
      <c r="DY7" s="32">
        <v>0.03</v>
      </c>
      <c r="DZ7" s="32">
        <v>0.14000000000000001</v>
      </c>
      <c r="EA7" s="32">
        <v>0.05</v>
      </c>
      <c r="EB7" s="32">
        <v>0.05</v>
      </c>
      <c r="EC7" s="32">
        <v>0</v>
      </c>
      <c r="ED7" s="32">
        <v>0.1</v>
      </c>
      <c r="EE7" s="32">
        <v>0.04</v>
      </c>
      <c r="EF7" s="32">
        <v>0.09</v>
      </c>
      <c r="EG7" s="32">
        <v>-0.01</v>
      </c>
      <c r="EH7" s="32">
        <v>7.0000000000000007E-2</v>
      </c>
      <c r="EI7" s="32">
        <v>0.06</v>
      </c>
      <c r="EJ7" s="32">
        <v>0.06</v>
      </c>
      <c r="EK7" s="32">
        <v>0.04</v>
      </c>
      <c r="EL7" s="32">
        <v>0.09</v>
      </c>
      <c r="EM7" s="32">
        <v>0.02</v>
      </c>
      <c r="EN7" s="32">
        <v>0.01</v>
      </c>
      <c r="EO7" s="32">
        <v>-0.08</v>
      </c>
    </row>
    <row r="8" spans="1:145" x14ac:dyDescent="0.25">
      <c r="A8" s="31" t="s">
        <v>84</v>
      </c>
      <c r="B8" s="32">
        <v>0.06</v>
      </c>
      <c r="C8" s="32">
        <v>0.09</v>
      </c>
      <c r="D8" s="32">
        <v>0.13</v>
      </c>
      <c r="E8" s="32">
        <v>1</v>
      </c>
      <c r="F8" s="32">
        <v>0.13</v>
      </c>
      <c r="G8" s="32">
        <v>0.05</v>
      </c>
      <c r="H8" s="32">
        <v>0.22</v>
      </c>
      <c r="I8" s="32">
        <v>0.16</v>
      </c>
      <c r="J8" s="32">
        <v>0.05</v>
      </c>
      <c r="K8" s="32">
        <v>0.08</v>
      </c>
      <c r="L8" s="32">
        <v>0.31</v>
      </c>
      <c r="M8" s="32">
        <v>0.19</v>
      </c>
      <c r="N8" s="32">
        <v>0.18</v>
      </c>
      <c r="O8" s="32">
        <v>0.36</v>
      </c>
      <c r="P8" s="32">
        <v>0.15</v>
      </c>
      <c r="Q8" s="32">
        <v>7.0000000000000007E-2</v>
      </c>
      <c r="R8" s="32">
        <v>0.09</v>
      </c>
      <c r="S8" s="32">
        <v>0.24</v>
      </c>
      <c r="T8" s="32">
        <v>0.13</v>
      </c>
      <c r="U8" s="32">
        <v>0.31</v>
      </c>
      <c r="V8" s="32">
        <v>0.31</v>
      </c>
      <c r="W8" s="32">
        <v>0.27</v>
      </c>
      <c r="X8" s="32">
        <v>0.14000000000000001</v>
      </c>
      <c r="Y8" s="32">
        <v>0.04</v>
      </c>
      <c r="Z8" s="32">
        <v>0.18</v>
      </c>
      <c r="AA8" s="32">
        <v>0.21</v>
      </c>
      <c r="AB8" s="32">
        <v>0.05</v>
      </c>
      <c r="AC8" s="32">
        <v>0.31</v>
      </c>
      <c r="AD8" s="32">
        <v>0.24</v>
      </c>
      <c r="AE8" s="32">
        <v>0.19</v>
      </c>
      <c r="AF8" s="32">
        <v>0.34</v>
      </c>
      <c r="AG8" s="32">
        <v>0.08</v>
      </c>
      <c r="AH8" s="32">
        <v>0.08</v>
      </c>
      <c r="AI8" s="32">
        <v>0.06</v>
      </c>
      <c r="AJ8" s="32">
        <v>0.1</v>
      </c>
      <c r="AK8" s="32">
        <v>0.3</v>
      </c>
      <c r="AL8" s="32">
        <v>0.14000000000000001</v>
      </c>
      <c r="AM8" s="32">
        <v>0.16</v>
      </c>
      <c r="AN8" s="32">
        <v>0.12</v>
      </c>
      <c r="AO8" s="32">
        <v>0.1</v>
      </c>
      <c r="AP8" s="32">
        <v>0.13</v>
      </c>
      <c r="AQ8" s="32">
        <v>0.1</v>
      </c>
      <c r="AR8" s="32">
        <v>0.08</v>
      </c>
      <c r="AS8" s="32">
        <v>0.19</v>
      </c>
      <c r="AT8" s="32">
        <v>0.12</v>
      </c>
      <c r="AU8" s="32">
        <v>0.08</v>
      </c>
      <c r="AV8" s="32">
        <v>0.45</v>
      </c>
      <c r="AW8" s="32">
        <v>0.16</v>
      </c>
      <c r="AX8" s="32">
        <v>0.13</v>
      </c>
      <c r="AY8" s="32">
        <v>0.1</v>
      </c>
      <c r="AZ8" s="32">
        <v>0.23</v>
      </c>
      <c r="BA8" s="32">
        <v>0.18</v>
      </c>
      <c r="BB8" s="32">
        <v>0.12</v>
      </c>
      <c r="BC8" s="32">
        <v>0.22</v>
      </c>
      <c r="BD8" s="32">
        <v>0.23</v>
      </c>
      <c r="BE8" s="32">
        <v>0.08</v>
      </c>
      <c r="BF8" s="32">
        <v>0.32</v>
      </c>
      <c r="BG8" s="32">
        <v>-0.01</v>
      </c>
      <c r="BH8" s="32">
        <v>0.22</v>
      </c>
      <c r="BI8" s="32">
        <v>0.2</v>
      </c>
      <c r="BJ8" s="32">
        <v>0.06</v>
      </c>
      <c r="BK8" s="32">
        <v>0.18</v>
      </c>
      <c r="BL8" s="32">
        <v>0.1</v>
      </c>
      <c r="BM8" s="32">
        <v>0.22</v>
      </c>
      <c r="BN8" s="32">
        <v>0.08</v>
      </c>
      <c r="BO8" s="32">
        <v>0.08</v>
      </c>
      <c r="BP8" s="32">
        <v>7.0000000000000007E-2</v>
      </c>
      <c r="BQ8" s="32">
        <v>0.15</v>
      </c>
      <c r="BR8" s="32">
        <v>7.0000000000000007E-2</v>
      </c>
      <c r="BS8" s="32">
        <v>0.03</v>
      </c>
      <c r="BT8" s="32">
        <v>0.05</v>
      </c>
      <c r="BU8" s="32">
        <v>0.17</v>
      </c>
      <c r="BV8" s="32">
        <v>-0.03</v>
      </c>
      <c r="BW8" s="32">
        <v>0.13</v>
      </c>
      <c r="BX8" s="32">
        <v>0.02</v>
      </c>
      <c r="BY8" s="32">
        <v>0.05</v>
      </c>
      <c r="BZ8" s="32">
        <v>0.13</v>
      </c>
      <c r="CA8" s="32">
        <v>0.26</v>
      </c>
      <c r="CB8" s="32">
        <v>0.02</v>
      </c>
      <c r="CC8" s="32">
        <v>0.06</v>
      </c>
      <c r="CD8" s="32">
        <v>0.05</v>
      </c>
      <c r="CE8" s="32">
        <v>0</v>
      </c>
      <c r="CF8" s="32">
        <v>0.03</v>
      </c>
      <c r="CG8" s="32">
        <v>0.03</v>
      </c>
      <c r="CH8" s="32">
        <v>0.18</v>
      </c>
      <c r="CI8" s="32">
        <v>-0.05</v>
      </c>
      <c r="CJ8" s="32">
        <v>0.06</v>
      </c>
      <c r="CK8" s="32">
        <v>0.12</v>
      </c>
      <c r="CL8" s="32">
        <v>0</v>
      </c>
      <c r="CM8" s="32">
        <v>-0.03</v>
      </c>
      <c r="CN8" s="32">
        <v>0.16</v>
      </c>
      <c r="CO8" s="32">
        <v>0.14000000000000001</v>
      </c>
      <c r="CP8" s="32">
        <v>0.03</v>
      </c>
      <c r="CQ8" s="32">
        <v>0.18</v>
      </c>
      <c r="CR8" s="32">
        <v>0.08</v>
      </c>
      <c r="CS8" s="32">
        <v>7.0000000000000007E-2</v>
      </c>
      <c r="CT8" s="32">
        <v>0.15</v>
      </c>
      <c r="CU8" s="32">
        <v>0.01</v>
      </c>
      <c r="CV8" s="32">
        <v>-0.01</v>
      </c>
      <c r="CW8" s="32">
        <v>0.1</v>
      </c>
      <c r="CX8" s="32">
        <v>0.06</v>
      </c>
      <c r="CY8" s="32">
        <v>0.19</v>
      </c>
      <c r="CZ8" s="32">
        <v>0.05</v>
      </c>
      <c r="DA8" s="32">
        <v>-0.03</v>
      </c>
      <c r="DB8" s="32">
        <v>0.19</v>
      </c>
      <c r="DC8" s="32">
        <v>0.17</v>
      </c>
      <c r="DD8" s="32">
        <v>0.12</v>
      </c>
      <c r="DE8" s="32">
        <v>0.15</v>
      </c>
      <c r="DF8" s="32">
        <v>0.04</v>
      </c>
      <c r="DG8" s="32">
        <v>0.09</v>
      </c>
      <c r="DH8" s="32">
        <v>0.1</v>
      </c>
      <c r="DI8" s="32">
        <v>0.2</v>
      </c>
      <c r="DJ8" s="32">
        <v>0.08</v>
      </c>
      <c r="DK8" s="32">
        <v>0.14000000000000001</v>
      </c>
      <c r="DL8" s="32">
        <v>0.11</v>
      </c>
      <c r="DM8" s="32">
        <v>0.13</v>
      </c>
      <c r="DN8" s="32">
        <v>-0.02</v>
      </c>
      <c r="DO8" s="32">
        <v>0.14000000000000001</v>
      </c>
      <c r="DP8" s="32">
        <v>0.05</v>
      </c>
      <c r="DQ8" s="32">
        <v>0.08</v>
      </c>
      <c r="DR8" s="32">
        <v>0.12</v>
      </c>
      <c r="DS8" s="32">
        <v>-0.02</v>
      </c>
      <c r="DT8" s="32">
        <v>0.05</v>
      </c>
      <c r="DU8" s="32">
        <v>0.13</v>
      </c>
      <c r="DV8" s="32">
        <v>0.09</v>
      </c>
      <c r="DW8" s="32">
        <v>0.02</v>
      </c>
      <c r="DX8" s="32">
        <v>0.05</v>
      </c>
      <c r="DY8" s="32">
        <v>0.09</v>
      </c>
      <c r="DZ8" s="32">
        <v>0.03</v>
      </c>
      <c r="EA8" s="32">
        <v>0.05</v>
      </c>
      <c r="EB8" s="32">
        <v>0.12</v>
      </c>
      <c r="EC8" s="32">
        <v>0.09</v>
      </c>
      <c r="ED8" s="32">
        <v>0.19</v>
      </c>
      <c r="EE8" s="32">
        <v>7.0000000000000007E-2</v>
      </c>
      <c r="EF8" s="32">
        <v>0.01</v>
      </c>
      <c r="EG8" s="32">
        <v>0.05</v>
      </c>
      <c r="EH8" s="32">
        <v>-0.02</v>
      </c>
      <c r="EI8" s="32">
        <v>-0.02</v>
      </c>
      <c r="EJ8" s="32">
        <v>0.17</v>
      </c>
      <c r="EK8" s="32">
        <v>0.06</v>
      </c>
      <c r="EL8" s="32">
        <v>0.08</v>
      </c>
      <c r="EM8" s="32">
        <v>0.04</v>
      </c>
      <c r="EN8" s="32">
        <v>0.03</v>
      </c>
      <c r="EO8" s="32">
        <v>0.02</v>
      </c>
    </row>
    <row r="9" spans="1:145" x14ac:dyDescent="0.25">
      <c r="A9" s="31" t="s">
        <v>85</v>
      </c>
      <c r="B9" s="32">
        <v>0.43</v>
      </c>
      <c r="C9" s="32">
        <v>0.01</v>
      </c>
      <c r="D9" s="32">
        <v>-0.09</v>
      </c>
      <c r="E9" s="32">
        <v>0.13</v>
      </c>
      <c r="F9" s="32">
        <v>1</v>
      </c>
      <c r="G9" s="32">
        <v>-0.03</v>
      </c>
      <c r="H9" s="32">
        <v>0.08</v>
      </c>
      <c r="I9" s="32">
        <v>0.56999999999999995</v>
      </c>
      <c r="J9" s="32">
        <v>0.46</v>
      </c>
      <c r="K9" s="32">
        <v>0.57999999999999996</v>
      </c>
      <c r="L9" s="32">
        <v>0.16</v>
      </c>
      <c r="M9" s="32">
        <v>0.28999999999999998</v>
      </c>
      <c r="N9" s="32">
        <v>0.3</v>
      </c>
      <c r="O9" s="32">
        <v>7.0000000000000007E-2</v>
      </c>
      <c r="P9" s="32">
        <v>0.48</v>
      </c>
      <c r="Q9" s="32">
        <v>-0.11</v>
      </c>
      <c r="R9" s="32">
        <v>0.65</v>
      </c>
      <c r="S9" s="32">
        <v>0.1</v>
      </c>
      <c r="T9" s="32">
        <v>0.05</v>
      </c>
      <c r="U9" s="32">
        <v>0.06</v>
      </c>
      <c r="V9" s="32">
        <v>0.04</v>
      </c>
      <c r="W9" s="32">
        <v>0.13</v>
      </c>
      <c r="X9" s="32">
        <v>0.03</v>
      </c>
      <c r="Y9" s="32">
        <v>0.3</v>
      </c>
      <c r="Z9" s="32">
        <v>0.1</v>
      </c>
      <c r="AA9" s="32">
        <v>0.27</v>
      </c>
      <c r="AB9" s="32">
        <v>0.32</v>
      </c>
      <c r="AC9" s="32">
        <v>-0.03</v>
      </c>
      <c r="AD9" s="32">
        <v>0.13</v>
      </c>
      <c r="AE9" s="32">
        <v>-7.0000000000000007E-2</v>
      </c>
      <c r="AF9" s="32">
        <v>-0.1</v>
      </c>
      <c r="AG9" s="32">
        <v>0.39</v>
      </c>
      <c r="AH9" s="32">
        <v>0.41</v>
      </c>
      <c r="AI9" s="32">
        <v>0.23</v>
      </c>
      <c r="AJ9" s="32">
        <v>-0.03</v>
      </c>
      <c r="AK9" s="32">
        <v>-0.04</v>
      </c>
      <c r="AL9" s="32">
        <v>0.26</v>
      </c>
      <c r="AM9" s="32">
        <v>0</v>
      </c>
      <c r="AN9" s="32">
        <v>0.39</v>
      </c>
      <c r="AO9" s="32">
        <v>0.39</v>
      </c>
      <c r="AP9" s="32">
        <v>0.28000000000000003</v>
      </c>
      <c r="AQ9" s="32">
        <v>0.25</v>
      </c>
      <c r="AR9" s="32">
        <v>0.05</v>
      </c>
      <c r="AS9" s="32">
        <v>0</v>
      </c>
      <c r="AT9" s="32">
        <v>0.08</v>
      </c>
      <c r="AU9" s="32">
        <v>0.4</v>
      </c>
      <c r="AV9" s="32">
        <v>0.08</v>
      </c>
      <c r="AW9" s="32">
        <v>-0.04</v>
      </c>
      <c r="AX9" s="32">
        <v>0.36</v>
      </c>
      <c r="AY9" s="32">
        <v>0.34</v>
      </c>
      <c r="AZ9" s="32">
        <v>-0.02</v>
      </c>
      <c r="BA9" s="32">
        <v>0.21</v>
      </c>
      <c r="BB9" s="32">
        <v>-0.08</v>
      </c>
      <c r="BC9" s="32">
        <v>7.0000000000000007E-2</v>
      </c>
      <c r="BD9" s="32">
        <v>0.01</v>
      </c>
      <c r="BE9" s="32">
        <v>0.41</v>
      </c>
      <c r="BF9" s="32">
        <v>0.03</v>
      </c>
      <c r="BG9" s="32">
        <v>0.1</v>
      </c>
      <c r="BH9" s="32">
        <v>-0.01</v>
      </c>
      <c r="BI9" s="32">
        <v>-0.08</v>
      </c>
      <c r="BJ9" s="32">
        <v>-0.09</v>
      </c>
      <c r="BK9" s="32">
        <v>-0.05</v>
      </c>
      <c r="BL9" s="32">
        <v>0.11</v>
      </c>
      <c r="BM9" s="32">
        <v>0.35</v>
      </c>
      <c r="BN9" s="32">
        <v>0.2</v>
      </c>
      <c r="BO9" s="32">
        <v>0.08</v>
      </c>
      <c r="BP9" s="32">
        <v>-0.01</v>
      </c>
      <c r="BQ9" s="32">
        <v>-0.04</v>
      </c>
      <c r="BR9" s="32">
        <v>0.14000000000000001</v>
      </c>
      <c r="BS9" s="32">
        <v>0.14000000000000001</v>
      </c>
      <c r="BT9" s="32">
        <v>0.08</v>
      </c>
      <c r="BU9" s="32">
        <v>-0.06</v>
      </c>
      <c r="BV9" s="32">
        <v>0.02</v>
      </c>
      <c r="BW9" s="32">
        <v>0.16</v>
      </c>
      <c r="BX9" s="32">
        <v>0.22</v>
      </c>
      <c r="BY9" s="32">
        <v>0.24</v>
      </c>
      <c r="BZ9" s="32">
        <v>0.08</v>
      </c>
      <c r="CA9" s="32">
        <v>0.03</v>
      </c>
      <c r="CB9" s="32">
        <v>7.0000000000000007E-2</v>
      </c>
      <c r="CC9" s="32">
        <v>7.0000000000000007E-2</v>
      </c>
      <c r="CD9" s="32">
        <v>0.16</v>
      </c>
      <c r="CE9" s="32">
        <v>-0.08</v>
      </c>
      <c r="CF9" s="32">
        <v>0.23</v>
      </c>
      <c r="CG9" s="32">
        <v>0.16</v>
      </c>
      <c r="CH9" s="32">
        <v>-7.0000000000000007E-2</v>
      </c>
      <c r="CI9" s="32">
        <v>0.18</v>
      </c>
      <c r="CJ9" s="32">
        <v>0.28999999999999998</v>
      </c>
      <c r="CK9" s="32">
        <v>0.26</v>
      </c>
      <c r="CL9" s="32">
        <v>0.14000000000000001</v>
      </c>
      <c r="CM9" s="32">
        <v>-0.18</v>
      </c>
      <c r="CN9" s="32">
        <v>-0.09</v>
      </c>
      <c r="CO9" s="32">
        <v>-0.02</v>
      </c>
      <c r="CP9" s="32">
        <v>0.11</v>
      </c>
      <c r="CQ9" s="32">
        <v>0.1</v>
      </c>
      <c r="CR9" s="32">
        <v>-0.13</v>
      </c>
      <c r="CS9" s="32">
        <v>-0.14000000000000001</v>
      </c>
      <c r="CT9" s="32">
        <v>-0.02</v>
      </c>
      <c r="CU9" s="32">
        <v>0</v>
      </c>
      <c r="CV9" s="32">
        <v>-0.06</v>
      </c>
      <c r="CW9" s="32">
        <v>0.09</v>
      </c>
      <c r="CX9" s="32">
        <v>0.05</v>
      </c>
      <c r="CY9" s="32">
        <v>0.14000000000000001</v>
      </c>
      <c r="CZ9" s="32">
        <v>0.02</v>
      </c>
      <c r="DA9" s="32">
        <v>0.06</v>
      </c>
      <c r="DB9" s="32">
        <v>-0.08</v>
      </c>
      <c r="DC9" s="32">
        <v>-0.09</v>
      </c>
      <c r="DD9" s="32">
        <v>0.03</v>
      </c>
      <c r="DE9" s="32">
        <v>-0.11</v>
      </c>
      <c r="DF9" s="32">
        <v>7.0000000000000007E-2</v>
      </c>
      <c r="DG9" s="32">
        <v>-7.0000000000000007E-2</v>
      </c>
      <c r="DH9" s="32">
        <v>-0.16</v>
      </c>
      <c r="DI9" s="32">
        <v>0.1</v>
      </c>
      <c r="DJ9" s="32">
        <v>0.14000000000000001</v>
      </c>
      <c r="DK9" s="32">
        <v>7.0000000000000007E-2</v>
      </c>
      <c r="DL9" s="32">
        <v>-0.11</v>
      </c>
      <c r="DM9" s="32">
        <v>0.16</v>
      </c>
      <c r="DN9" s="32">
        <v>0.16</v>
      </c>
      <c r="DO9" s="32">
        <v>-0.12</v>
      </c>
      <c r="DP9" s="32">
        <v>0.13</v>
      </c>
      <c r="DQ9" s="32">
        <v>-0.11</v>
      </c>
      <c r="DR9" s="32">
        <v>-0.09</v>
      </c>
      <c r="DS9" s="32">
        <v>0.04</v>
      </c>
      <c r="DT9" s="32">
        <v>-0.26</v>
      </c>
      <c r="DU9" s="32">
        <v>-0.12</v>
      </c>
      <c r="DV9" s="32">
        <v>-0.09</v>
      </c>
      <c r="DW9" s="32">
        <v>-0.04</v>
      </c>
      <c r="DX9" s="32">
        <v>-0.19</v>
      </c>
      <c r="DY9" s="32">
        <v>0</v>
      </c>
      <c r="DZ9" s="32">
        <v>-0.06</v>
      </c>
      <c r="EA9" s="32">
        <v>0.01</v>
      </c>
      <c r="EB9" s="32">
        <v>-0.06</v>
      </c>
      <c r="EC9" s="32">
        <v>-0.13</v>
      </c>
      <c r="ED9" s="32">
        <v>-0.03</v>
      </c>
      <c r="EE9" s="32">
        <v>-0.18</v>
      </c>
      <c r="EF9" s="32">
        <v>-7.0000000000000007E-2</v>
      </c>
      <c r="EG9" s="32">
        <v>-0.09</v>
      </c>
      <c r="EH9" s="32">
        <v>0.06</v>
      </c>
      <c r="EI9" s="32">
        <v>-0.2</v>
      </c>
      <c r="EJ9" s="32">
        <v>0.02</v>
      </c>
      <c r="EK9" s="32">
        <v>-0.05</v>
      </c>
      <c r="EL9" s="32">
        <v>-0.16</v>
      </c>
      <c r="EM9" s="32">
        <v>-0.08</v>
      </c>
      <c r="EN9" s="32">
        <v>0.08</v>
      </c>
      <c r="EO9" s="32">
        <v>0.09</v>
      </c>
    </row>
    <row r="10" spans="1:145" x14ac:dyDescent="0.25">
      <c r="A10" s="31" t="s">
        <v>86</v>
      </c>
      <c r="B10" s="32">
        <v>-0.11</v>
      </c>
      <c r="C10" s="32">
        <v>0.02</v>
      </c>
      <c r="D10" s="32">
        <v>0.12</v>
      </c>
      <c r="E10" s="32">
        <v>0.05</v>
      </c>
      <c r="F10" s="32">
        <v>-0.03</v>
      </c>
      <c r="G10" s="32">
        <v>1</v>
      </c>
      <c r="H10" s="32">
        <v>0.18</v>
      </c>
      <c r="I10" s="32">
        <v>0.01</v>
      </c>
      <c r="J10" s="32">
        <v>-0.01</v>
      </c>
      <c r="K10" s="32">
        <v>0.01</v>
      </c>
      <c r="L10" s="32">
        <v>-0.01</v>
      </c>
      <c r="M10" s="32">
        <v>0.05</v>
      </c>
      <c r="N10" s="32">
        <v>0.05</v>
      </c>
      <c r="O10" s="32">
        <v>0.12</v>
      </c>
      <c r="P10" s="32">
        <v>-0.11</v>
      </c>
      <c r="Q10" s="32">
        <v>0.05</v>
      </c>
      <c r="R10" s="32">
        <v>-0.03</v>
      </c>
      <c r="S10" s="32">
        <v>-0.05</v>
      </c>
      <c r="T10" s="32">
        <v>0.01</v>
      </c>
      <c r="U10" s="32">
        <v>0.08</v>
      </c>
      <c r="V10" s="32">
        <v>0.14000000000000001</v>
      </c>
      <c r="W10" s="32">
        <v>0.04</v>
      </c>
      <c r="X10" s="32">
        <v>-0.03</v>
      </c>
      <c r="Y10" s="32">
        <v>-0.05</v>
      </c>
      <c r="Z10" s="32">
        <v>0.22</v>
      </c>
      <c r="AA10" s="32">
        <v>0.08</v>
      </c>
      <c r="AB10" s="32">
        <v>-0.01</v>
      </c>
      <c r="AC10" s="32">
        <v>0.16</v>
      </c>
      <c r="AD10" s="32">
        <v>0.04</v>
      </c>
      <c r="AE10" s="32">
        <v>0.22</v>
      </c>
      <c r="AF10" s="32">
        <v>0.19</v>
      </c>
      <c r="AG10" s="32">
        <v>-0.08</v>
      </c>
      <c r="AH10" s="32">
        <v>-0.09</v>
      </c>
      <c r="AI10" s="32">
        <v>-0.06</v>
      </c>
      <c r="AJ10" s="32">
        <v>0.09</v>
      </c>
      <c r="AK10" s="32">
        <v>0.14000000000000001</v>
      </c>
      <c r="AL10" s="32">
        <v>-7.0000000000000007E-2</v>
      </c>
      <c r="AM10" s="32">
        <v>0.17</v>
      </c>
      <c r="AN10" s="32">
        <v>-0.03</v>
      </c>
      <c r="AO10" s="32">
        <v>0.02</v>
      </c>
      <c r="AP10" s="32">
        <v>0.05</v>
      </c>
      <c r="AQ10" s="32">
        <v>-0.02</v>
      </c>
      <c r="AR10" s="32">
        <v>0</v>
      </c>
      <c r="AS10" s="32">
        <v>0.16</v>
      </c>
      <c r="AT10" s="32">
        <v>-0.05</v>
      </c>
      <c r="AU10" s="32">
        <v>-0.02</v>
      </c>
      <c r="AV10" s="32">
        <v>0.05</v>
      </c>
      <c r="AW10" s="32">
        <v>0.11</v>
      </c>
      <c r="AX10" s="32">
        <v>0.05</v>
      </c>
      <c r="AY10" s="32">
        <v>0.03</v>
      </c>
      <c r="AZ10" s="32">
        <v>0.11</v>
      </c>
      <c r="BA10" s="32">
        <v>0.01</v>
      </c>
      <c r="BB10" s="32">
        <v>0.08</v>
      </c>
      <c r="BC10" s="32">
        <v>0.04</v>
      </c>
      <c r="BD10" s="32">
        <v>0.17</v>
      </c>
      <c r="BE10" s="32">
        <v>-0.02</v>
      </c>
      <c r="BF10" s="32">
        <v>0.22</v>
      </c>
      <c r="BG10" s="32">
        <v>-0.02</v>
      </c>
      <c r="BH10" s="32">
        <v>0.03</v>
      </c>
      <c r="BI10" s="32">
        <v>0.1</v>
      </c>
      <c r="BJ10" s="32">
        <v>0.06</v>
      </c>
      <c r="BK10" s="32">
        <v>0.17</v>
      </c>
      <c r="BL10" s="32">
        <v>0.08</v>
      </c>
      <c r="BM10" s="32">
        <v>-0.08</v>
      </c>
      <c r="BN10" s="32">
        <v>0.01</v>
      </c>
      <c r="BO10" s="32">
        <v>7.0000000000000007E-2</v>
      </c>
      <c r="BP10" s="32">
        <v>-0.03</v>
      </c>
      <c r="BQ10" s="32">
        <v>0.09</v>
      </c>
      <c r="BR10" s="32">
        <v>0</v>
      </c>
      <c r="BS10" s="32">
        <v>0</v>
      </c>
      <c r="BT10" s="32">
        <v>0.01</v>
      </c>
      <c r="BU10" s="32">
        <v>-0.01</v>
      </c>
      <c r="BV10" s="32">
        <v>0.02</v>
      </c>
      <c r="BW10" s="32">
        <v>0.09</v>
      </c>
      <c r="BX10" s="32">
        <v>0</v>
      </c>
      <c r="BY10" s="32">
        <v>0.03</v>
      </c>
      <c r="BZ10" s="32">
        <v>-0.09</v>
      </c>
      <c r="CA10" s="32">
        <v>0.13</v>
      </c>
      <c r="CB10" s="32">
        <v>-0.01</v>
      </c>
      <c r="CC10" s="32">
        <v>0.03</v>
      </c>
      <c r="CD10" s="32">
        <v>0.02</v>
      </c>
      <c r="CE10" s="32">
        <v>-0.02</v>
      </c>
      <c r="CF10" s="32">
        <v>0.02</v>
      </c>
      <c r="CG10" s="32">
        <v>0.05</v>
      </c>
      <c r="CH10" s="32">
        <v>0.17</v>
      </c>
      <c r="CI10" s="32">
        <v>-0.02</v>
      </c>
      <c r="CJ10" s="32">
        <v>7.0000000000000007E-2</v>
      </c>
      <c r="CK10" s="32">
        <v>-0.1</v>
      </c>
      <c r="CL10" s="32">
        <v>7.0000000000000007E-2</v>
      </c>
      <c r="CM10" s="32">
        <v>-0.02</v>
      </c>
      <c r="CN10" s="32">
        <v>0.13</v>
      </c>
      <c r="CO10" s="32">
        <v>-0.04</v>
      </c>
      <c r="CP10" s="32">
        <v>0.06</v>
      </c>
      <c r="CQ10" s="32">
        <v>-0.05</v>
      </c>
      <c r="CR10" s="32">
        <v>-0.01</v>
      </c>
      <c r="CS10" s="32">
        <v>0</v>
      </c>
      <c r="CT10" s="32">
        <v>0.15</v>
      </c>
      <c r="CU10" s="32">
        <v>-0.03</v>
      </c>
      <c r="CV10" s="32">
        <v>0.01</v>
      </c>
      <c r="CW10" s="32">
        <v>-0.02</v>
      </c>
      <c r="CX10" s="32">
        <v>0.08</v>
      </c>
      <c r="CY10" s="32">
        <v>0</v>
      </c>
      <c r="CZ10" s="32">
        <v>-0.11</v>
      </c>
      <c r="DA10" s="32">
        <v>-0.09</v>
      </c>
      <c r="DB10" s="32">
        <v>0.08</v>
      </c>
      <c r="DC10" s="32">
        <v>0.1</v>
      </c>
      <c r="DD10" s="32">
        <v>0.05</v>
      </c>
      <c r="DE10" s="32">
        <v>0.03</v>
      </c>
      <c r="DF10" s="32">
        <v>0.01</v>
      </c>
      <c r="DG10" s="32">
        <v>0.04</v>
      </c>
      <c r="DH10" s="32">
        <v>-0.03</v>
      </c>
      <c r="DI10" s="32">
        <v>0</v>
      </c>
      <c r="DJ10" s="32">
        <v>-0.04</v>
      </c>
      <c r="DK10" s="32">
        <v>-0.06</v>
      </c>
      <c r="DL10" s="32">
        <v>0.17</v>
      </c>
      <c r="DM10" s="32">
        <v>0.04</v>
      </c>
      <c r="DN10" s="32">
        <v>0.03</v>
      </c>
      <c r="DO10" s="32">
        <v>-0.04</v>
      </c>
      <c r="DP10" s="32">
        <v>0.01</v>
      </c>
      <c r="DQ10" s="32">
        <v>-0.18</v>
      </c>
      <c r="DR10" s="32">
        <v>7.0000000000000007E-2</v>
      </c>
      <c r="DS10" s="32">
        <v>-0.02</v>
      </c>
      <c r="DT10" s="32">
        <v>-0.04</v>
      </c>
      <c r="DU10" s="32">
        <v>0.04</v>
      </c>
      <c r="DV10" s="32">
        <v>0.04</v>
      </c>
      <c r="DW10" s="32">
        <v>-0.08</v>
      </c>
      <c r="DX10" s="32">
        <v>0.01</v>
      </c>
      <c r="DY10" s="32">
        <v>-0.04</v>
      </c>
      <c r="DZ10" s="32">
        <v>0.04</v>
      </c>
      <c r="EA10" s="32">
        <v>0.04</v>
      </c>
      <c r="EB10" s="32">
        <v>0.02</v>
      </c>
      <c r="EC10" s="32">
        <v>0.15</v>
      </c>
      <c r="ED10" s="32">
        <v>7.0000000000000007E-2</v>
      </c>
      <c r="EE10" s="32">
        <v>0.03</v>
      </c>
      <c r="EF10" s="32">
        <v>0.08</v>
      </c>
      <c r="EG10" s="32">
        <v>0.05</v>
      </c>
      <c r="EH10" s="32">
        <v>-7.0000000000000007E-2</v>
      </c>
      <c r="EI10" s="32">
        <v>0.01</v>
      </c>
      <c r="EJ10" s="32">
        <v>0.11</v>
      </c>
      <c r="EK10" s="32">
        <v>0.05</v>
      </c>
      <c r="EL10" s="32">
        <v>0.05</v>
      </c>
      <c r="EM10" s="32">
        <v>-0.04</v>
      </c>
      <c r="EN10" s="32">
        <v>0.03</v>
      </c>
      <c r="EO10" s="32">
        <v>0.08</v>
      </c>
    </row>
    <row r="11" spans="1:145" x14ac:dyDescent="0.25">
      <c r="A11" s="31" t="s">
        <v>87</v>
      </c>
      <c r="B11" s="32">
        <v>-0.02</v>
      </c>
      <c r="C11" s="32">
        <v>0.14000000000000001</v>
      </c>
      <c r="D11" s="32">
        <v>0.15</v>
      </c>
      <c r="E11" s="32">
        <v>0.22</v>
      </c>
      <c r="F11" s="32">
        <v>0.08</v>
      </c>
      <c r="G11" s="32">
        <v>0.18</v>
      </c>
      <c r="H11" s="32">
        <v>1</v>
      </c>
      <c r="I11" s="32">
        <v>0.09</v>
      </c>
      <c r="J11" s="32">
        <v>0</v>
      </c>
      <c r="K11" s="32">
        <v>0.1</v>
      </c>
      <c r="L11" s="32">
        <v>0.21</v>
      </c>
      <c r="M11" s="32">
        <v>0.17</v>
      </c>
      <c r="N11" s="32">
        <v>0.11</v>
      </c>
      <c r="O11" s="32">
        <v>0.21</v>
      </c>
      <c r="P11" s="32">
        <v>0.01</v>
      </c>
      <c r="Q11" s="32">
        <v>-0.02</v>
      </c>
      <c r="R11" s="32">
        <v>0.05</v>
      </c>
      <c r="S11" s="32">
        <v>0.25</v>
      </c>
      <c r="T11" s="32">
        <v>0.03</v>
      </c>
      <c r="U11" s="32">
        <v>0.3</v>
      </c>
      <c r="V11" s="32">
        <v>0.37</v>
      </c>
      <c r="W11" s="32">
        <v>0.15</v>
      </c>
      <c r="X11" s="32">
        <v>0.06</v>
      </c>
      <c r="Y11" s="32">
        <v>-0.09</v>
      </c>
      <c r="Z11" s="32">
        <v>0.28000000000000003</v>
      </c>
      <c r="AA11" s="32">
        <v>0.21</v>
      </c>
      <c r="AB11" s="32">
        <v>-0.1</v>
      </c>
      <c r="AC11" s="32">
        <v>0.23</v>
      </c>
      <c r="AD11" s="32">
        <v>0.22</v>
      </c>
      <c r="AE11" s="32">
        <v>0.21</v>
      </c>
      <c r="AF11" s="32">
        <v>0.26</v>
      </c>
      <c r="AG11" s="32">
        <v>-0.03</v>
      </c>
      <c r="AH11" s="32">
        <v>0</v>
      </c>
      <c r="AI11" s="32">
        <v>-0.12</v>
      </c>
      <c r="AJ11" s="32">
        <v>0.27</v>
      </c>
      <c r="AK11" s="32">
        <v>0.26</v>
      </c>
      <c r="AL11" s="32">
        <v>0.01</v>
      </c>
      <c r="AM11" s="32">
        <v>0.17</v>
      </c>
      <c r="AN11" s="32">
        <v>0.14000000000000001</v>
      </c>
      <c r="AO11" s="32">
        <v>0</v>
      </c>
      <c r="AP11" s="32">
        <v>0.02</v>
      </c>
      <c r="AQ11" s="32">
        <v>-0.09</v>
      </c>
      <c r="AR11" s="32">
        <v>-0.02</v>
      </c>
      <c r="AS11" s="32">
        <v>0.31</v>
      </c>
      <c r="AT11" s="32">
        <v>0</v>
      </c>
      <c r="AU11" s="32">
        <v>0.02</v>
      </c>
      <c r="AV11" s="32">
        <v>0.19</v>
      </c>
      <c r="AW11" s="32">
        <v>0.35</v>
      </c>
      <c r="AX11" s="32">
        <v>0.06</v>
      </c>
      <c r="AY11" s="32">
        <v>0</v>
      </c>
      <c r="AZ11" s="32">
        <v>0.28000000000000003</v>
      </c>
      <c r="BA11" s="32">
        <v>0.08</v>
      </c>
      <c r="BB11" s="32">
        <v>0.03</v>
      </c>
      <c r="BC11" s="32">
        <v>0.16</v>
      </c>
      <c r="BD11" s="32">
        <v>0.24</v>
      </c>
      <c r="BE11" s="32">
        <v>0.09</v>
      </c>
      <c r="BF11" s="32">
        <v>0.24</v>
      </c>
      <c r="BG11" s="32">
        <v>0.03</v>
      </c>
      <c r="BH11" s="32">
        <v>0.3</v>
      </c>
      <c r="BI11" s="32">
        <v>0.14000000000000001</v>
      </c>
      <c r="BJ11" s="32">
        <v>-0.08</v>
      </c>
      <c r="BK11" s="32">
        <v>0.19</v>
      </c>
      <c r="BL11" s="32">
        <v>0.13</v>
      </c>
      <c r="BM11" s="32">
        <v>0.05</v>
      </c>
      <c r="BN11" s="32">
        <v>-0.08</v>
      </c>
      <c r="BO11" s="32">
        <v>0.18</v>
      </c>
      <c r="BP11" s="32">
        <v>0.03</v>
      </c>
      <c r="BQ11" s="32">
        <v>0.27</v>
      </c>
      <c r="BR11" s="32">
        <v>0.12</v>
      </c>
      <c r="BS11" s="32">
        <v>-0.1</v>
      </c>
      <c r="BT11" s="32">
        <v>0.19</v>
      </c>
      <c r="BU11" s="32">
        <v>0.18</v>
      </c>
      <c r="BV11" s="32">
        <v>0.06</v>
      </c>
      <c r="BW11" s="32">
        <v>0.1</v>
      </c>
      <c r="BX11" s="32">
        <v>0.05</v>
      </c>
      <c r="BY11" s="32">
        <v>0.12</v>
      </c>
      <c r="BZ11" s="32">
        <v>0.13</v>
      </c>
      <c r="CA11" s="32">
        <v>0.28000000000000003</v>
      </c>
      <c r="CB11" s="32">
        <v>-0.1</v>
      </c>
      <c r="CC11" s="32">
        <v>-0.06</v>
      </c>
      <c r="CD11" s="32">
        <v>0.05</v>
      </c>
      <c r="CE11" s="32">
        <v>0.02</v>
      </c>
      <c r="CF11" s="32">
        <v>-0.13</v>
      </c>
      <c r="CG11" s="32">
        <v>0.11</v>
      </c>
      <c r="CH11" s="32">
        <v>0.26</v>
      </c>
      <c r="CI11" s="32">
        <v>-0.13</v>
      </c>
      <c r="CJ11" s="32">
        <v>-0.01</v>
      </c>
      <c r="CK11" s="32">
        <v>0.01</v>
      </c>
      <c r="CL11" s="32">
        <v>0.22</v>
      </c>
      <c r="CM11" s="32">
        <v>0.03</v>
      </c>
      <c r="CN11" s="32">
        <v>0.22</v>
      </c>
      <c r="CO11" s="32">
        <v>0.13</v>
      </c>
      <c r="CP11" s="32">
        <v>0.05</v>
      </c>
      <c r="CQ11" s="32">
        <v>0.08</v>
      </c>
      <c r="CR11" s="32">
        <v>0.11</v>
      </c>
      <c r="CS11" s="32">
        <v>0.11</v>
      </c>
      <c r="CT11" s="32">
        <v>0.15</v>
      </c>
      <c r="CU11" s="32">
        <v>0.04</v>
      </c>
      <c r="CV11" s="32">
        <v>0.02</v>
      </c>
      <c r="CW11" s="32">
        <v>7.0000000000000007E-2</v>
      </c>
      <c r="CX11" s="32">
        <v>0.06</v>
      </c>
      <c r="CY11" s="32">
        <v>0.04</v>
      </c>
      <c r="CZ11" s="32">
        <v>0.11</v>
      </c>
      <c r="DA11" s="32">
        <v>0.05</v>
      </c>
      <c r="DB11" s="32">
        <v>0.12</v>
      </c>
      <c r="DC11" s="32">
        <v>0.16</v>
      </c>
      <c r="DD11" s="32">
        <v>0.06</v>
      </c>
      <c r="DE11" s="32">
        <v>0.1</v>
      </c>
      <c r="DF11" s="32">
        <v>0.03</v>
      </c>
      <c r="DG11" s="32">
        <v>0.11</v>
      </c>
      <c r="DH11" s="32">
        <v>0.1</v>
      </c>
      <c r="DI11" s="32">
        <v>0.11</v>
      </c>
      <c r="DJ11" s="32">
        <v>0.06</v>
      </c>
      <c r="DK11" s="32">
        <v>0.09</v>
      </c>
      <c r="DL11" s="32">
        <v>0.22</v>
      </c>
      <c r="DM11" s="32">
        <v>0.14000000000000001</v>
      </c>
      <c r="DN11" s="32">
        <v>0.09</v>
      </c>
      <c r="DO11" s="32">
        <v>0.13</v>
      </c>
      <c r="DP11" s="32">
        <v>0.11</v>
      </c>
      <c r="DQ11" s="32">
        <v>0.13</v>
      </c>
      <c r="DR11" s="32">
        <v>0.03</v>
      </c>
      <c r="DS11" s="32">
        <v>0.01</v>
      </c>
      <c r="DT11" s="32">
        <v>0.02</v>
      </c>
      <c r="DU11" s="32">
        <v>0.05</v>
      </c>
      <c r="DV11" s="32">
        <v>0.02</v>
      </c>
      <c r="DW11" s="32">
        <v>0.03</v>
      </c>
      <c r="DX11" s="32">
        <v>0.1</v>
      </c>
      <c r="DY11" s="32">
        <v>-0.05</v>
      </c>
      <c r="DZ11" s="32">
        <v>0.04</v>
      </c>
      <c r="EA11" s="32">
        <v>0.1</v>
      </c>
      <c r="EB11" s="32">
        <v>-0.01</v>
      </c>
      <c r="EC11" s="32">
        <v>0.04</v>
      </c>
      <c r="ED11" s="32">
        <v>0.22</v>
      </c>
      <c r="EE11" s="32">
        <v>0.1</v>
      </c>
      <c r="EF11" s="32">
        <v>0</v>
      </c>
      <c r="EG11" s="32">
        <v>0.09</v>
      </c>
      <c r="EH11" s="32">
        <v>-0.04</v>
      </c>
      <c r="EI11" s="32">
        <v>0.03</v>
      </c>
      <c r="EJ11" s="32">
        <v>0.1</v>
      </c>
      <c r="EK11" s="32">
        <v>0.06</v>
      </c>
      <c r="EL11" s="32">
        <v>0.09</v>
      </c>
      <c r="EM11" s="32">
        <v>0.02</v>
      </c>
      <c r="EN11" s="32">
        <v>0.03</v>
      </c>
      <c r="EO11" s="32">
        <v>0.02</v>
      </c>
    </row>
    <row r="12" spans="1:145" x14ac:dyDescent="0.25">
      <c r="A12" s="31" t="s">
        <v>88</v>
      </c>
      <c r="B12" s="32">
        <v>0.46</v>
      </c>
      <c r="C12" s="32">
        <v>0.08</v>
      </c>
      <c r="D12" s="32">
        <v>-0.02</v>
      </c>
      <c r="E12" s="32">
        <v>0.16</v>
      </c>
      <c r="F12" s="32">
        <v>0.56999999999999995</v>
      </c>
      <c r="G12" s="32">
        <v>0.01</v>
      </c>
      <c r="H12" s="32">
        <v>0.09</v>
      </c>
      <c r="I12" s="32">
        <v>1</v>
      </c>
      <c r="J12" s="32">
        <v>0.42</v>
      </c>
      <c r="K12" s="32">
        <v>0.55000000000000004</v>
      </c>
      <c r="L12" s="32">
        <v>0.14000000000000001</v>
      </c>
      <c r="M12" s="32">
        <v>0.3</v>
      </c>
      <c r="N12" s="32">
        <v>0.37</v>
      </c>
      <c r="O12" s="32">
        <v>0.11</v>
      </c>
      <c r="P12" s="32">
        <v>0.48</v>
      </c>
      <c r="Q12" s="32">
        <v>-0.03</v>
      </c>
      <c r="R12" s="32">
        <v>0.54</v>
      </c>
      <c r="S12" s="32">
        <v>0.1</v>
      </c>
      <c r="T12" s="32">
        <v>0.15</v>
      </c>
      <c r="U12" s="32">
        <v>0.06</v>
      </c>
      <c r="V12" s="32">
        <v>0.11</v>
      </c>
      <c r="W12" s="32">
        <v>0.18</v>
      </c>
      <c r="X12" s="32">
        <v>0.16</v>
      </c>
      <c r="Y12" s="32">
        <v>0.4</v>
      </c>
      <c r="Z12" s="32">
        <v>0.11</v>
      </c>
      <c r="AA12" s="32">
        <v>0.21</v>
      </c>
      <c r="AB12" s="32">
        <v>0.41</v>
      </c>
      <c r="AC12" s="32">
        <v>0.03</v>
      </c>
      <c r="AD12" s="32">
        <v>7.0000000000000007E-2</v>
      </c>
      <c r="AE12" s="32">
        <v>0.05</v>
      </c>
      <c r="AF12" s="32">
        <v>-0.01</v>
      </c>
      <c r="AG12" s="32">
        <v>0.3</v>
      </c>
      <c r="AH12" s="32">
        <v>0.3</v>
      </c>
      <c r="AI12" s="32">
        <v>0.1</v>
      </c>
      <c r="AJ12" s="32">
        <v>0.04</v>
      </c>
      <c r="AK12" s="32">
        <v>0.05</v>
      </c>
      <c r="AL12" s="32">
        <v>0.28999999999999998</v>
      </c>
      <c r="AM12" s="32">
        <v>0.04</v>
      </c>
      <c r="AN12" s="32">
        <v>0.48</v>
      </c>
      <c r="AO12" s="32">
        <v>0.36</v>
      </c>
      <c r="AP12" s="32">
        <v>0.28999999999999998</v>
      </c>
      <c r="AQ12" s="32">
        <v>0.13</v>
      </c>
      <c r="AR12" s="32">
        <v>0.18</v>
      </c>
      <c r="AS12" s="32">
        <v>-0.01</v>
      </c>
      <c r="AT12" s="32">
        <v>0.23</v>
      </c>
      <c r="AU12" s="32">
        <v>0.41</v>
      </c>
      <c r="AV12" s="32">
        <v>0.13</v>
      </c>
      <c r="AW12" s="32">
        <v>0.03</v>
      </c>
      <c r="AX12" s="32">
        <v>0.41</v>
      </c>
      <c r="AY12" s="32">
        <v>0.37</v>
      </c>
      <c r="AZ12" s="32">
        <v>0.08</v>
      </c>
      <c r="BA12" s="32">
        <v>0.22</v>
      </c>
      <c r="BB12" s="32">
        <v>0.08</v>
      </c>
      <c r="BC12" s="32">
        <v>0.11</v>
      </c>
      <c r="BD12" s="32">
        <v>0.03</v>
      </c>
      <c r="BE12" s="32">
        <v>0.35</v>
      </c>
      <c r="BF12" s="32">
        <v>0.09</v>
      </c>
      <c r="BG12" s="32">
        <v>0.15</v>
      </c>
      <c r="BH12" s="32">
        <v>0.03</v>
      </c>
      <c r="BI12" s="32">
        <v>0.03</v>
      </c>
      <c r="BJ12" s="32">
        <v>0.01</v>
      </c>
      <c r="BK12" s="32">
        <v>0.01</v>
      </c>
      <c r="BL12" s="32">
        <v>0.12</v>
      </c>
      <c r="BM12" s="32">
        <v>0.33</v>
      </c>
      <c r="BN12" s="32">
        <v>0.13</v>
      </c>
      <c r="BO12" s="32">
        <v>0.2</v>
      </c>
      <c r="BP12" s="32">
        <v>0.11</v>
      </c>
      <c r="BQ12" s="32">
        <v>0.02</v>
      </c>
      <c r="BR12" s="32">
        <v>0.24</v>
      </c>
      <c r="BS12" s="32">
        <v>0.01</v>
      </c>
      <c r="BT12" s="32">
        <v>0.18</v>
      </c>
      <c r="BU12" s="32">
        <v>-0.06</v>
      </c>
      <c r="BV12" s="32">
        <v>0.14000000000000001</v>
      </c>
      <c r="BW12" s="32">
        <v>0.19</v>
      </c>
      <c r="BX12" s="32">
        <v>0.33</v>
      </c>
      <c r="BY12" s="32">
        <v>0.23</v>
      </c>
      <c r="BZ12" s="32">
        <v>0.2</v>
      </c>
      <c r="CA12" s="32">
        <v>0.05</v>
      </c>
      <c r="CB12" s="32">
        <v>0.01</v>
      </c>
      <c r="CC12" s="32">
        <v>0.11</v>
      </c>
      <c r="CD12" s="32">
        <v>0.22</v>
      </c>
      <c r="CE12" s="32">
        <v>-0.01</v>
      </c>
      <c r="CF12" s="32">
        <v>0.06</v>
      </c>
      <c r="CG12" s="32">
        <v>0.28999999999999998</v>
      </c>
      <c r="CH12" s="32">
        <v>0.02</v>
      </c>
      <c r="CI12" s="32">
        <v>0.11</v>
      </c>
      <c r="CJ12" s="32">
        <v>0.24</v>
      </c>
      <c r="CK12" s="32">
        <v>0.33</v>
      </c>
      <c r="CL12" s="32">
        <v>0.1</v>
      </c>
      <c r="CM12" s="32">
        <v>-0.15</v>
      </c>
      <c r="CN12" s="32">
        <v>-0.06</v>
      </c>
      <c r="CO12" s="32">
        <v>0.12</v>
      </c>
      <c r="CP12" s="32">
        <v>0.18</v>
      </c>
      <c r="CQ12" s="32">
        <v>0.22</v>
      </c>
      <c r="CR12" s="32">
        <v>-0.06</v>
      </c>
      <c r="CS12" s="32">
        <v>-0.03</v>
      </c>
      <c r="CT12" s="32">
        <v>0.06</v>
      </c>
      <c r="CU12" s="32">
        <v>7.0000000000000007E-2</v>
      </c>
      <c r="CV12" s="32">
        <v>0.06</v>
      </c>
      <c r="CW12" s="32">
        <v>0.24</v>
      </c>
      <c r="CX12" s="32">
        <v>0.16</v>
      </c>
      <c r="CY12" s="32">
        <v>0.24</v>
      </c>
      <c r="CZ12" s="32">
        <v>0.09</v>
      </c>
      <c r="DA12" s="32">
        <v>0.12</v>
      </c>
      <c r="DB12" s="32">
        <v>-0.03</v>
      </c>
      <c r="DC12" s="32">
        <v>0.03</v>
      </c>
      <c r="DD12" s="32">
        <v>0.17</v>
      </c>
      <c r="DE12" s="32">
        <v>-0.01</v>
      </c>
      <c r="DF12" s="32">
        <v>0.12</v>
      </c>
      <c r="DG12" s="32">
        <v>7.0000000000000007E-2</v>
      </c>
      <c r="DH12" s="32">
        <v>-7.0000000000000007E-2</v>
      </c>
      <c r="DI12" s="32">
        <v>0.23</v>
      </c>
      <c r="DJ12" s="32">
        <v>0.26</v>
      </c>
      <c r="DK12" s="32">
        <v>0.18</v>
      </c>
      <c r="DL12" s="32">
        <v>-0.04</v>
      </c>
      <c r="DM12" s="32">
        <v>0.28000000000000003</v>
      </c>
      <c r="DN12" s="32">
        <v>0.25</v>
      </c>
      <c r="DO12" s="32">
        <v>0.03</v>
      </c>
      <c r="DP12" s="32">
        <v>0.24</v>
      </c>
      <c r="DQ12" s="32">
        <v>-0.04</v>
      </c>
      <c r="DR12" s="32">
        <v>-0.05</v>
      </c>
      <c r="DS12" s="32">
        <v>0.06</v>
      </c>
      <c r="DT12" s="32">
        <v>-0.12</v>
      </c>
      <c r="DU12" s="32">
        <v>0</v>
      </c>
      <c r="DV12" s="32">
        <v>7.0000000000000007E-2</v>
      </c>
      <c r="DW12" s="32">
        <v>0.17</v>
      </c>
      <c r="DX12" s="32">
        <v>-0.16</v>
      </c>
      <c r="DY12" s="32">
        <v>0.12</v>
      </c>
      <c r="DZ12" s="32">
        <v>0</v>
      </c>
      <c r="EA12" s="32">
        <v>0.1</v>
      </c>
      <c r="EB12" s="32">
        <v>0.09</v>
      </c>
      <c r="EC12" s="32">
        <v>-0.08</v>
      </c>
      <c r="ED12" s="32">
        <v>0.1</v>
      </c>
      <c r="EE12" s="32">
        <v>-0.14000000000000001</v>
      </c>
      <c r="EF12" s="32">
        <v>-0.01</v>
      </c>
      <c r="EG12" s="32">
        <v>-0.16</v>
      </c>
      <c r="EH12" s="32">
        <v>0.14000000000000001</v>
      </c>
      <c r="EI12" s="32">
        <v>-0.23</v>
      </c>
      <c r="EJ12" s="32">
        <v>0.03</v>
      </c>
      <c r="EK12" s="32">
        <v>-0.01</v>
      </c>
      <c r="EL12" s="32">
        <v>-0.09</v>
      </c>
      <c r="EM12" s="32">
        <v>0</v>
      </c>
      <c r="EN12" s="32">
        <v>0.09</v>
      </c>
      <c r="EO12" s="32">
        <v>0.03</v>
      </c>
    </row>
    <row r="13" spans="1:145" x14ac:dyDescent="0.25">
      <c r="A13" s="31" t="s">
        <v>89</v>
      </c>
      <c r="B13" s="32">
        <v>0.32</v>
      </c>
      <c r="C13" s="32">
        <v>0.04</v>
      </c>
      <c r="D13" s="32">
        <v>-0.03</v>
      </c>
      <c r="E13" s="32">
        <v>0.05</v>
      </c>
      <c r="F13" s="32">
        <v>0.46</v>
      </c>
      <c r="G13" s="32">
        <v>-0.01</v>
      </c>
      <c r="H13" s="32">
        <v>0</v>
      </c>
      <c r="I13" s="32">
        <v>0.42</v>
      </c>
      <c r="J13" s="32">
        <v>1</v>
      </c>
      <c r="K13" s="32">
        <v>0.45</v>
      </c>
      <c r="L13" s="32">
        <v>0.09</v>
      </c>
      <c r="M13" s="32">
        <v>0.2</v>
      </c>
      <c r="N13" s="32">
        <v>0.42</v>
      </c>
      <c r="O13" s="32">
        <v>0.1</v>
      </c>
      <c r="P13" s="32">
        <v>0.41</v>
      </c>
      <c r="Q13" s="32">
        <v>0.01</v>
      </c>
      <c r="R13" s="32">
        <v>0.49</v>
      </c>
      <c r="S13" s="32">
        <v>0.14000000000000001</v>
      </c>
      <c r="T13" s="32">
        <v>0.13</v>
      </c>
      <c r="U13" s="32">
        <v>0.09</v>
      </c>
      <c r="V13" s="32">
        <v>-0.03</v>
      </c>
      <c r="W13" s="32">
        <v>0.15</v>
      </c>
      <c r="X13" s="32">
        <v>0.16</v>
      </c>
      <c r="Y13" s="32">
        <v>0.26</v>
      </c>
      <c r="Z13" s="32">
        <v>0.06</v>
      </c>
      <c r="AA13" s="32">
        <v>0.17</v>
      </c>
      <c r="AB13" s="32">
        <v>0.22</v>
      </c>
      <c r="AC13" s="32">
        <v>-0.15</v>
      </c>
      <c r="AD13" s="32">
        <v>0.11</v>
      </c>
      <c r="AE13" s="32">
        <v>-0.09</v>
      </c>
      <c r="AF13" s="32">
        <v>-0.01</v>
      </c>
      <c r="AG13" s="32">
        <v>0.3</v>
      </c>
      <c r="AH13" s="32">
        <v>0.28999999999999998</v>
      </c>
      <c r="AI13" s="32">
        <v>0.21</v>
      </c>
      <c r="AJ13" s="32">
        <v>0</v>
      </c>
      <c r="AK13" s="32">
        <v>0.08</v>
      </c>
      <c r="AL13" s="32">
        <v>0.2</v>
      </c>
      <c r="AM13" s="32">
        <v>0.09</v>
      </c>
      <c r="AN13" s="32">
        <v>0.28999999999999998</v>
      </c>
      <c r="AO13" s="32">
        <v>0.56000000000000005</v>
      </c>
      <c r="AP13" s="32">
        <v>0.12</v>
      </c>
      <c r="AQ13" s="32">
        <v>0.21</v>
      </c>
      <c r="AR13" s="32">
        <v>0.09</v>
      </c>
      <c r="AS13" s="32">
        <v>0.06</v>
      </c>
      <c r="AT13" s="32">
        <v>0.04</v>
      </c>
      <c r="AU13" s="32">
        <v>0.42</v>
      </c>
      <c r="AV13" s="32">
        <v>0.02</v>
      </c>
      <c r="AW13" s="32">
        <v>0.02</v>
      </c>
      <c r="AX13" s="32">
        <v>0.52</v>
      </c>
      <c r="AY13" s="32">
        <v>0.21</v>
      </c>
      <c r="AZ13" s="32">
        <v>-0.04</v>
      </c>
      <c r="BA13" s="32">
        <v>0.2</v>
      </c>
      <c r="BB13" s="32">
        <v>0.02</v>
      </c>
      <c r="BC13" s="32">
        <v>-0.01</v>
      </c>
      <c r="BD13" s="32">
        <v>0.04</v>
      </c>
      <c r="BE13" s="32">
        <v>0.56000000000000005</v>
      </c>
      <c r="BF13" s="32">
        <v>0.04</v>
      </c>
      <c r="BG13" s="32">
        <v>0.2</v>
      </c>
      <c r="BH13" s="32">
        <v>-0.04</v>
      </c>
      <c r="BI13" s="32">
        <v>-0.01</v>
      </c>
      <c r="BJ13" s="32">
        <v>-0.03</v>
      </c>
      <c r="BK13" s="32">
        <v>-0.06</v>
      </c>
      <c r="BL13" s="32">
        <v>0.17</v>
      </c>
      <c r="BM13" s="32">
        <v>0.2</v>
      </c>
      <c r="BN13" s="32">
        <v>0.21</v>
      </c>
      <c r="BO13" s="32">
        <v>0.14000000000000001</v>
      </c>
      <c r="BP13" s="32">
        <v>-0.14000000000000001</v>
      </c>
      <c r="BQ13" s="32">
        <v>-0.03</v>
      </c>
      <c r="BR13" s="32">
        <v>0.09</v>
      </c>
      <c r="BS13" s="32">
        <v>0.11</v>
      </c>
      <c r="BT13" s="32">
        <v>0.2</v>
      </c>
      <c r="BU13" s="32">
        <v>0.03</v>
      </c>
      <c r="BV13" s="32">
        <v>-0.02</v>
      </c>
      <c r="BW13" s="32">
        <v>0.15</v>
      </c>
      <c r="BX13" s="32">
        <v>0.51</v>
      </c>
      <c r="BY13" s="32">
        <v>0.08</v>
      </c>
      <c r="BZ13" s="32">
        <v>0.11</v>
      </c>
      <c r="CA13" s="32">
        <v>0.01</v>
      </c>
      <c r="CB13" s="32">
        <v>0.12</v>
      </c>
      <c r="CC13" s="32">
        <v>0.11</v>
      </c>
      <c r="CD13" s="32">
        <v>0.09</v>
      </c>
      <c r="CE13" s="32">
        <v>0.01</v>
      </c>
      <c r="CF13" s="32">
        <v>0.16</v>
      </c>
      <c r="CG13" s="32">
        <v>0.09</v>
      </c>
      <c r="CH13" s="32">
        <v>0</v>
      </c>
      <c r="CI13" s="32">
        <v>0.15</v>
      </c>
      <c r="CJ13" s="32">
        <v>0.2</v>
      </c>
      <c r="CK13" s="32">
        <v>0.21</v>
      </c>
      <c r="CL13" s="32">
        <v>0.12</v>
      </c>
      <c r="CM13" s="32">
        <v>-0.13</v>
      </c>
      <c r="CN13" s="32">
        <v>0.04</v>
      </c>
      <c r="CO13" s="32">
        <v>-7.0000000000000007E-2</v>
      </c>
      <c r="CP13" s="32">
        <v>0.11</v>
      </c>
      <c r="CQ13" s="32">
        <v>0.1</v>
      </c>
      <c r="CR13" s="32">
        <v>-0.11</v>
      </c>
      <c r="CS13" s="32">
        <v>0.04</v>
      </c>
      <c r="CT13" s="32">
        <v>0</v>
      </c>
      <c r="CU13" s="32">
        <v>0.01</v>
      </c>
      <c r="CV13" s="32">
        <v>-0.08</v>
      </c>
      <c r="CW13" s="32">
        <v>7.0000000000000007E-2</v>
      </c>
      <c r="CX13" s="32">
        <v>0.06</v>
      </c>
      <c r="CY13" s="32">
        <v>0.08</v>
      </c>
      <c r="CZ13" s="32">
        <v>0.04</v>
      </c>
      <c r="DA13" s="32">
        <v>0.01</v>
      </c>
      <c r="DB13" s="32">
        <v>-0.09</v>
      </c>
      <c r="DC13" s="32">
        <v>-0.06</v>
      </c>
      <c r="DD13" s="32">
        <v>0.01</v>
      </c>
      <c r="DE13" s="32">
        <v>-0.03</v>
      </c>
      <c r="DF13" s="32">
        <v>0</v>
      </c>
      <c r="DG13" s="32">
        <v>0.1</v>
      </c>
      <c r="DH13" s="32">
        <v>-0.15</v>
      </c>
      <c r="DI13" s="32">
        <v>0.04</v>
      </c>
      <c r="DJ13" s="32">
        <v>0.14000000000000001</v>
      </c>
      <c r="DK13" s="32">
        <v>7.0000000000000007E-2</v>
      </c>
      <c r="DL13" s="32">
        <v>-0.01</v>
      </c>
      <c r="DM13" s="32">
        <v>0.12</v>
      </c>
      <c r="DN13" s="32">
        <v>7.0000000000000007E-2</v>
      </c>
      <c r="DO13" s="32">
        <v>-7.0000000000000007E-2</v>
      </c>
      <c r="DP13" s="32">
        <v>0.15</v>
      </c>
      <c r="DQ13" s="32">
        <v>-0.03</v>
      </c>
      <c r="DR13" s="32">
        <v>0</v>
      </c>
      <c r="DS13" s="32">
        <v>0</v>
      </c>
      <c r="DT13" s="32">
        <v>-0.22</v>
      </c>
      <c r="DU13" s="32">
        <v>-0.11</v>
      </c>
      <c r="DV13" s="32">
        <v>-0.05</v>
      </c>
      <c r="DW13" s="32">
        <v>-0.01</v>
      </c>
      <c r="DX13" s="32">
        <v>-0.13</v>
      </c>
      <c r="DY13" s="32">
        <v>-0.13</v>
      </c>
      <c r="DZ13" s="32">
        <v>0</v>
      </c>
      <c r="EA13" s="32">
        <v>0.02</v>
      </c>
      <c r="EB13" s="32">
        <v>-7.0000000000000007E-2</v>
      </c>
      <c r="EC13" s="32">
        <v>0.03</v>
      </c>
      <c r="ED13" s="32">
        <v>-0.06</v>
      </c>
      <c r="EE13" s="32">
        <v>-0.15</v>
      </c>
      <c r="EF13" s="32">
        <v>0.05</v>
      </c>
      <c r="EG13" s="32">
        <v>-0.1</v>
      </c>
      <c r="EH13" s="32">
        <v>0.01</v>
      </c>
      <c r="EI13" s="32">
        <v>-0.18</v>
      </c>
      <c r="EJ13" s="32">
        <v>-0.04</v>
      </c>
      <c r="EK13" s="32">
        <v>-0.08</v>
      </c>
      <c r="EL13" s="32">
        <v>-7.0000000000000007E-2</v>
      </c>
      <c r="EM13" s="32">
        <v>-0.08</v>
      </c>
      <c r="EN13" s="32">
        <v>0.14000000000000001</v>
      </c>
      <c r="EO13" s="32">
        <v>-0.03</v>
      </c>
    </row>
    <row r="14" spans="1:145" x14ac:dyDescent="0.25">
      <c r="A14" s="31" t="s">
        <v>90</v>
      </c>
      <c r="B14" s="32">
        <v>0.44</v>
      </c>
      <c r="C14" s="32">
        <v>-0.08</v>
      </c>
      <c r="D14" s="32">
        <v>-0.05</v>
      </c>
      <c r="E14" s="32">
        <v>0.08</v>
      </c>
      <c r="F14" s="32">
        <v>0.57999999999999996</v>
      </c>
      <c r="G14" s="32">
        <v>0.01</v>
      </c>
      <c r="H14" s="32">
        <v>0.1</v>
      </c>
      <c r="I14" s="32">
        <v>0.55000000000000004</v>
      </c>
      <c r="J14" s="32">
        <v>0.45</v>
      </c>
      <c r="K14" s="32">
        <v>1</v>
      </c>
      <c r="L14" s="32">
        <v>0.09</v>
      </c>
      <c r="M14" s="32">
        <v>0.3</v>
      </c>
      <c r="N14" s="32">
        <v>0.35</v>
      </c>
      <c r="O14" s="32">
        <v>0.17</v>
      </c>
      <c r="P14" s="32">
        <v>0.41</v>
      </c>
      <c r="Q14" s="32">
        <v>-0.04</v>
      </c>
      <c r="R14" s="32">
        <v>0.59</v>
      </c>
      <c r="S14" s="32">
        <v>0.18</v>
      </c>
      <c r="T14" s="32">
        <v>0.13</v>
      </c>
      <c r="U14" s="32">
        <v>0.1</v>
      </c>
      <c r="V14" s="32">
        <v>0.15</v>
      </c>
      <c r="W14" s="32">
        <v>0.19</v>
      </c>
      <c r="X14" s="32">
        <v>0.13</v>
      </c>
      <c r="Y14" s="32">
        <v>0.3</v>
      </c>
      <c r="Z14" s="32">
        <v>0.14000000000000001</v>
      </c>
      <c r="AA14" s="32">
        <v>0.21</v>
      </c>
      <c r="AB14" s="32">
        <v>0.31</v>
      </c>
      <c r="AC14" s="32">
        <v>0.04</v>
      </c>
      <c r="AD14" s="32">
        <v>0.14000000000000001</v>
      </c>
      <c r="AE14" s="32">
        <v>0.04</v>
      </c>
      <c r="AF14" s="32">
        <v>-0.06</v>
      </c>
      <c r="AG14" s="32">
        <v>0.35</v>
      </c>
      <c r="AH14" s="32">
        <v>0.36</v>
      </c>
      <c r="AI14" s="32">
        <v>7.0000000000000007E-2</v>
      </c>
      <c r="AJ14" s="32">
        <v>0.04</v>
      </c>
      <c r="AK14" s="32">
        <v>0.02</v>
      </c>
      <c r="AL14" s="32">
        <v>0.28000000000000003</v>
      </c>
      <c r="AM14" s="32">
        <v>0.02</v>
      </c>
      <c r="AN14" s="32">
        <v>0.51</v>
      </c>
      <c r="AO14" s="32">
        <v>0.33</v>
      </c>
      <c r="AP14" s="32">
        <v>0.31</v>
      </c>
      <c r="AQ14" s="32">
        <v>7.0000000000000007E-2</v>
      </c>
      <c r="AR14" s="32">
        <v>0.13</v>
      </c>
      <c r="AS14" s="32">
        <v>0</v>
      </c>
      <c r="AT14" s="32">
        <v>0.17</v>
      </c>
      <c r="AU14" s="32">
        <v>0.43</v>
      </c>
      <c r="AV14" s="32">
        <v>0.08</v>
      </c>
      <c r="AW14" s="32">
        <v>0.03</v>
      </c>
      <c r="AX14" s="32">
        <v>0.4</v>
      </c>
      <c r="AY14" s="32">
        <v>0.28000000000000003</v>
      </c>
      <c r="AZ14" s="32">
        <v>0.05</v>
      </c>
      <c r="BA14" s="32">
        <v>0.3</v>
      </c>
      <c r="BB14" s="32">
        <v>0</v>
      </c>
      <c r="BC14" s="32">
        <v>0.02</v>
      </c>
      <c r="BD14" s="32">
        <v>0.1</v>
      </c>
      <c r="BE14" s="32">
        <v>0.41</v>
      </c>
      <c r="BF14" s="32">
        <v>0.1</v>
      </c>
      <c r="BG14" s="32">
        <v>0.14000000000000001</v>
      </c>
      <c r="BH14" s="32">
        <v>0.03</v>
      </c>
      <c r="BI14" s="32">
        <v>0.04</v>
      </c>
      <c r="BJ14" s="32">
        <v>-0.05</v>
      </c>
      <c r="BK14" s="32">
        <v>0.03</v>
      </c>
      <c r="BL14" s="32">
        <v>0.2</v>
      </c>
      <c r="BM14" s="32">
        <v>0.33</v>
      </c>
      <c r="BN14" s="32">
        <v>0.23</v>
      </c>
      <c r="BO14" s="32">
        <v>0.21</v>
      </c>
      <c r="BP14" s="32">
        <v>-0.04</v>
      </c>
      <c r="BQ14" s="32">
        <v>0.1</v>
      </c>
      <c r="BR14" s="32">
        <v>0.14000000000000001</v>
      </c>
      <c r="BS14" s="32">
        <v>-0.06</v>
      </c>
      <c r="BT14" s="32">
        <v>0.17</v>
      </c>
      <c r="BU14" s="32">
        <v>-0.04</v>
      </c>
      <c r="BV14" s="32">
        <v>0.14000000000000001</v>
      </c>
      <c r="BW14" s="32">
        <v>0.1</v>
      </c>
      <c r="BX14" s="32">
        <v>0.25</v>
      </c>
      <c r="BY14" s="32">
        <v>0.21</v>
      </c>
      <c r="BZ14" s="32">
        <v>0.17</v>
      </c>
      <c r="CA14" s="32">
        <v>0.14000000000000001</v>
      </c>
      <c r="CB14" s="32">
        <v>-0.02</v>
      </c>
      <c r="CC14" s="32">
        <v>0.15</v>
      </c>
      <c r="CD14" s="32">
        <v>0.12</v>
      </c>
      <c r="CE14" s="32">
        <v>-0.04</v>
      </c>
      <c r="CF14" s="32">
        <v>0.01</v>
      </c>
      <c r="CG14" s="32">
        <v>0.18</v>
      </c>
      <c r="CH14" s="32">
        <v>0.02</v>
      </c>
      <c r="CI14" s="32">
        <v>0</v>
      </c>
      <c r="CJ14" s="32">
        <v>0.17</v>
      </c>
      <c r="CK14" s="32">
        <v>0.34</v>
      </c>
      <c r="CL14" s="32">
        <v>0.16</v>
      </c>
      <c r="CM14" s="32">
        <v>-0.14000000000000001</v>
      </c>
      <c r="CN14" s="32">
        <v>-0.03</v>
      </c>
      <c r="CO14" s="32">
        <v>0.06</v>
      </c>
      <c r="CP14" s="32">
        <v>0.17</v>
      </c>
      <c r="CQ14" s="32">
        <v>0.19</v>
      </c>
      <c r="CR14" s="32">
        <v>-0.04</v>
      </c>
      <c r="CS14" s="32">
        <v>0.05</v>
      </c>
      <c r="CT14" s="32">
        <v>0.08</v>
      </c>
      <c r="CU14" s="32">
        <v>0.05</v>
      </c>
      <c r="CV14" s="32">
        <v>0.08</v>
      </c>
      <c r="CW14" s="32">
        <v>0.13</v>
      </c>
      <c r="CX14" s="32">
        <v>0.11</v>
      </c>
      <c r="CY14" s="32">
        <v>0.28999999999999998</v>
      </c>
      <c r="CZ14" s="32">
        <v>0.01</v>
      </c>
      <c r="DA14" s="32">
        <v>0.13</v>
      </c>
      <c r="DB14" s="32">
        <v>-0.02</v>
      </c>
      <c r="DC14" s="32">
        <v>0.13</v>
      </c>
      <c r="DD14" s="32">
        <v>0.11</v>
      </c>
      <c r="DE14" s="32">
        <v>-0.02</v>
      </c>
      <c r="DF14" s="32">
        <v>-0.03</v>
      </c>
      <c r="DG14" s="32">
        <v>0.04</v>
      </c>
      <c r="DH14" s="32">
        <v>-0.15</v>
      </c>
      <c r="DI14" s="32">
        <v>0.23</v>
      </c>
      <c r="DJ14" s="32">
        <v>0.27</v>
      </c>
      <c r="DK14" s="32">
        <v>0.2</v>
      </c>
      <c r="DL14" s="32">
        <v>0.02</v>
      </c>
      <c r="DM14" s="32">
        <v>0.33</v>
      </c>
      <c r="DN14" s="32">
        <v>0.19</v>
      </c>
      <c r="DO14" s="32">
        <v>0.01</v>
      </c>
      <c r="DP14" s="32">
        <v>0.28999999999999998</v>
      </c>
      <c r="DQ14" s="32">
        <v>-0.01</v>
      </c>
      <c r="DR14" s="32">
        <v>-0.11</v>
      </c>
      <c r="DS14" s="32">
        <v>7.0000000000000007E-2</v>
      </c>
      <c r="DT14" s="32">
        <v>-0.23</v>
      </c>
      <c r="DU14" s="32">
        <v>-0.06</v>
      </c>
      <c r="DV14" s="32">
        <v>-0.04</v>
      </c>
      <c r="DW14" s="32">
        <v>0.01</v>
      </c>
      <c r="DX14" s="32">
        <v>-0.17</v>
      </c>
      <c r="DY14" s="32">
        <v>0.01</v>
      </c>
      <c r="DZ14" s="32">
        <v>-0.09</v>
      </c>
      <c r="EA14" s="32">
        <v>0.11</v>
      </c>
      <c r="EB14" s="32">
        <v>-0.01</v>
      </c>
      <c r="EC14" s="32">
        <v>-0.14000000000000001</v>
      </c>
      <c r="ED14" s="32">
        <v>-7.0000000000000007E-2</v>
      </c>
      <c r="EE14" s="32">
        <v>-0.08</v>
      </c>
      <c r="EF14" s="32">
        <v>0.12</v>
      </c>
      <c r="EG14" s="32">
        <v>-0.08</v>
      </c>
      <c r="EH14" s="32">
        <v>0</v>
      </c>
      <c r="EI14" s="32">
        <v>-0.24</v>
      </c>
      <c r="EJ14" s="32">
        <v>0.01</v>
      </c>
      <c r="EK14" s="32">
        <v>-7.0000000000000007E-2</v>
      </c>
      <c r="EL14" s="32">
        <v>-0.1</v>
      </c>
      <c r="EM14" s="32">
        <v>-0.09</v>
      </c>
      <c r="EN14" s="32">
        <v>0.1</v>
      </c>
      <c r="EO14" s="32">
        <v>0.02</v>
      </c>
    </row>
    <row r="15" spans="1:145" x14ac:dyDescent="0.25">
      <c r="A15" s="31" t="s">
        <v>91</v>
      </c>
      <c r="B15" s="32">
        <v>7.0000000000000007E-2</v>
      </c>
      <c r="C15" s="32">
        <v>0.31</v>
      </c>
      <c r="D15" s="32">
        <v>0.11</v>
      </c>
      <c r="E15" s="32">
        <v>0.31</v>
      </c>
      <c r="F15" s="32">
        <v>0.16</v>
      </c>
      <c r="G15" s="32">
        <v>-0.01</v>
      </c>
      <c r="H15" s="32">
        <v>0.21</v>
      </c>
      <c r="I15" s="32">
        <v>0.14000000000000001</v>
      </c>
      <c r="J15" s="32">
        <v>0.09</v>
      </c>
      <c r="K15" s="32">
        <v>0.09</v>
      </c>
      <c r="L15" s="32">
        <v>1</v>
      </c>
      <c r="M15" s="32">
        <v>0.17</v>
      </c>
      <c r="N15" s="32">
        <v>0.14000000000000001</v>
      </c>
      <c r="O15" s="32">
        <v>0.37</v>
      </c>
      <c r="P15" s="32">
        <v>0.15</v>
      </c>
      <c r="Q15" s="32">
        <v>0.09</v>
      </c>
      <c r="R15" s="32">
        <v>0.1</v>
      </c>
      <c r="S15" s="32">
        <v>0.35</v>
      </c>
      <c r="T15" s="32">
        <v>0.03</v>
      </c>
      <c r="U15" s="32">
        <v>0.32</v>
      </c>
      <c r="V15" s="32">
        <v>0.3</v>
      </c>
      <c r="W15" s="32">
        <v>0.19</v>
      </c>
      <c r="X15" s="32">
        <v>0.05</v>
      </c>
      <c r="Y15" s="32">
        <v>0.17</v>
      </c>
      <c r="Z15" s="32">
        <v>0.3</v>
      </c>
      <c r="AA15" s="32">
        <v>0.31</v>
      </c>
      <c r="AB15" s="32">
        <v>0.12</v>
      </c>
      <c r="AC15" s="32">
        <v>0.12</v>
      </c>
      <c r="AD15" s="32">
        <v>0.22</v>
      </c>
      <c r="AE15" s="32">
        <v>0.25</v>
      </c>
      <c r="AF15" s="32">
        <v>0.28999999999999998</v>
      </c>
      <c r="AG15" s="32">
        <v>-0.02</v>
      </c>
      <c r="AH15" s="32">
        <v>0.01</v>
      </c>
      <c r="AI15" s="32">
        <v>-0.02</v>
      </c>
      <c r="AJ15" s="32">
        <v>0.23</v>
      </c>
      <c r="AK15" s="32">
        <v>0.27</v>
      </c>
      <c r="AL15" s="32">
        <v>0.11</v>
      </c>
      <c r="AM15" s="32">
        <v>0.16</v>
      </c>
      <c r="AN15" s="32">
        <v>0.14000000000000001</v>
      </c>
      <c r="AO15" s="32">
        <v>0.05</v>
      </c>
      <c r="AP15" s="32">
        <v>0.09</v>
      </c>
      <c r="AQ15" s="32">
        <v>-0.01</v>
      </c>
      <c r="AR15" s="32">
        <v>-0.01</v>
      </c>
      <c r="AS15" s="32">
        <v>0.2</v>
      </c>
      <c r="AT15" s="32">
        <v>0.04</v>
      </c>
      <c r="AU15" s="32">
        <v>0.1</v>
      </c>
      <c r="AV15" s="32">
        <v>0.3</v>
      </c>
      <c r="AW15" s="32">
        <v>0.16</v>
      </c>
      <c r="AX15" s="32">
        <v>0.15</v>
      </c>
      <c r="AY15" s="32">
        <v>0.27</v>
      </c>
      <c r="AZ15" s="32">
        <v>0.26</v>
      </c>
      <c r="BA15" s="32">
        <v>0.25</v>
      </c>
      <c r="BB15" s="32">
        <v>0.05</v>
      </c>
      <c r="BC15" s="32">
        <v>0.12</v>
      </c>
      <c r="BD15" s="32">
        <v>0.22</v>
      </c>
      <c r="BE15" s="32">
        <v>0.11</v>
      </c>
      <c r="BF15" s="32">
        <v>0.17</v>
      </c>
      <c r="BG15" s="32">
        <v>0.01</v>
      </c>
      <c r="BH15" s="32">
        <v>0.26</v>
      </c>
      <c r="BI15" s="32">
        <v>0.18</v>
      </c>
      <c r="BJ15" s="32">
        <v>0.02</v>
      </c>
      <c r="BK15" s="32">
        <v>0.2</v>
      </c>
      <c r="BL15" s="32">
        <v>0.09</v>
      </c>
      <c r="BM15" s="32">
        <v>0.13</v>
      </c>
      <c r="BN15" s="32">
        <v>0.1</v>
      </c>
      <c r="BO15" s="32">
        <v>0.09</v>
      </c>
      <c r="BP15" s="32">
        <v>0.18</v>
      </c>
      <c r="BQ15" s="32">
        <v>0.23</v>
      </c>
      <c r="BR15" s="32">
        <v>0.1</v>
      </c>
      <c r="BS15" s="32">
        <v>-7.0000000000000007E-2</v>
      </c>
      <c r="BT15" s="32">
        <v>0.13</v>
      </c>
      <c r="BU15" s="32">
        <v>0.08</v>
      </c>
      <c r="BV15" s="32">
        <v>0.12</v>
      </c>
      <c r="BW15" s="32">
        <v>0.15</v>
      </c>
      <c r="BX15" s="32">
        <v>-0.04</v>
      </c>
      <c r="BY15" s="32">
        <v>0.05</v>
      </c>
      <c r="BZ15" s="32">
        <v>0.15</v>
      </c>
      <c r="CA15" s="32">
        <v>0.19</v>
      </c>
      <c r="CB15" s="32">
        <v>-0.08</v>
      </c>
      <c r="CC15" s="32">
        <v>0</v>
      </c>
      <c r="CD15" s="32">
        <v>0.15</v>
      </c>
      <c r="CE15" s="32">
        <v>0.06</v>
      </c>
      <c r="CF15" s="32">
        <v>0</v>
      </c>
      <c r="CG15" s="32">
        <v>0.1</v>
      </c>
      <c r="CH15" s="32">
        <v>0.17</v>
      </c>
      <c r="CI15" s="32">
        <v>-0.02</v>
      </c>
      <c r="CJ15" s="32">
        <v>-0.02</v>
      </c>
      <c r="CK15" s="32">
        <v>0.03</v>
      </c>
      <c r="CL15" s="32">
        <v>0.05</v>
      </c>
      <c r="CM15" s="32">
        <v>0.05</v>
      </c>
      <c r="CN15" s="32">
        <v>0.16</v>
      </c>
      <c r="CO15" s="32">
        <v>0.09</v>
      </c>
      <c r="CP15" s="32">
        <v>0.05</v>
      </c>
      <c r="CQ15" s="32">
        <v>0.13</v>
      </c>
      <c r="CR15" s="32">
        <v>0.13</v>
      </c>
      <c r="CS15" s="32">
        <v>0.08</v>
      </c>
      <c r="CT15" s="32">
        <v>0.1</v>
      </c>
      <c r="CU15" s="32">
        <v>0.11</v>
      </c>
      <c r="CV15" s="32">
        <v>0</v>
      </c>
      <c r="CW15" s="32">
        <v>0.15</v>
      </c>
      <c r="CX15" s="32">
        <v>7.0000000000000007E-2</v>
      </c>
      <c r="CY15" s="32">
        <v>0.09</v>
      </c>
      <c r="CZ15" s="32">
        <v>0.14000000000000001</v>
      </c>
      <c r="DA15" s="32">
        <v>0.11</v>
      </c>
      <c r="DB15" s="32">
        <v>0.13</v>
      </c>
      <c r="DC15" s="32">
        <v>0.15</v>
      </c>
      <c r="DD15" s="32">
        <v>0.06</v>
      </c>
      <c r="DE15" s="32">
        <v>0.09</v>
      </c>
      <c r="DF15" s="32">
        <v>7.0000000000000007E-2</v>
      </c>
      <c r="DG15" s="32">
        <v>0.12</v>
      </c>
      <c r="DH15" s="32">
        <v>0.09</v>
      </c>
      <c r="DI15" s="32">
        <v>0.14000000000000001</v>
      </c>
      <c r="DJ15" s="32">
        <v>0.08</v>
      </c>
      <c r="DK15" s="32">
        <v>0.15</v>
      </c>
      <c r="DL15" s="32">
        <v>0.16</v>
      </c>
      <c r="DM15" s="32">
        <v>0.15</v>
      </c>
      <c r="DN15" s="32">
        <v>0.21</v>
      </c>
      <c r="DO15" s="32">
        <v>0.15</v>
      </c>
      <c r="DP15" s="32">
        <v>0.1</v>
      </c>
      <c r="DQ15" s="32">
        <v>0.11</v>
      </c>
      <c r="DR15" s="32">
        <v>0.04</v>
      </c>
      <c r="DS15" s="32">
        <v>0.04</v>
      </c>
      <c r="DT15" s="32">
        <v>0.03</v>
      </c>
      <c r="DU15" s="32">
        <v>-0.02</v>
      </c>
      <c r="DV15" s="32">
        <v>7.0000000000000007E-2</v>
      </c>
      <c r="DW15" s="32">
        <v>-0.01</v>
      </c>
      <c r="DX15" s="32">
        <v>0.12</v>
      </c>
      <c r="DY15" s="32">
        <v>7.0000000000000007E-2</v>
      </c>
      <c r="DZ15" s="32">
        <v>0.11</v>
      </c>
      <c r="EA15" s="32">
        <v>0.12</v>
      </c>
      <c r="EB15" s="32">
        <v>0.03</v>
      </c>
      <c r="EC15" s="32">
        <v>0.03</v>
      </c>
      <c r="ED15" s="32">
        <v>7.0000000000000007E-2</v>
      </c>
      <c r="EE15" s="32">
        <v>0.11</v>
      </c>
      <c r="EF15" s="32">
        <v>7.0000000000000007E-2</v>
      </c>
      <c r="EG15" s="32">
        <v>0.2</v>
      </c>
      <c r="EH15" s="32">
        <v>0</v>
      </c>
      <c r="EI15" s="32">
        <v>0.08</v>
      </c>
      <c r="EJ15" s="32">
        <v>0.15</v>
      </c>
      <c r="EK15" s="32">
        <v>0.11</v>
      </c>
      <c r="EL15" s="32">
        <v>0.14000000000000001</v>
      </c>
      <c r="EM15" s="32">
        <v>0.02</v>
      </c>
      <c r="EN15" s="32">
        <v>0</v>
      </c>
      <c r="EO15" s="32">
        <v>0.04</v>
      </c>
    </row>
    <row r="16" spans="1:145" x14ac:dyDescent="0.25">
      <c r="A16" s="31" t="s">
        <v>92</v>
      </c>
      <c r="B16" s="32">
        <v>0.25</v>
      </c>
      <c r="C16" s="32">
        <v>7.0000000000000007E-2</v>
      </c>
      <c r="D16" s="32">
        <v>-7.0000000000000007E-2</v>
      </c>
      <c r="E16" s="32">
        <v>0.19</v>
      </c>
      <c r="F16" s="32">
        <v>0.28999999999999998</v>
      </c>
      <c r="G16" s="32">
        <v>0.05</v>
      </c>
      <c r="H16" s="32">
        <v>0.17</v>
      </c>
      <c r="I16" s="32">
        <v>0.3</v>
      </c>
      <c r="J16" s="32">
        <v>0.2</v>
      </c>
      <c r="K16" s="32">
        <v>0.3</v>
      </c>
      <c r="L16" s="32">
        <v>0.17</v>
      </c>
      <c r="M16" s="32">
        <v>1</v>
      </c>
      <c r="N16" s="32">
        <v>0.28999999999999998</v>
      </c>
      <c r="O16" s="32">
        <v>0.22</v>
      </c>
      <c r="P16" s="32">
        <v>0.2</v>
      </c>
      <c r="Q16" s="32">
        <v>0</v>
      </c>
      <c r="R16" s="32">
        <v>0.3</v>
      </c>
      <c r="S16" s="32">
        <v>0.12</v>
      </c>
      <c r="T16" s="32">
        <v>0.36</v>
      </c>
      <c r="U16" s="32">
        <v>0.28999999999999998</v>
      </c>
      <c r="V16" s="32">
        <v>0.28999999999999998</v>
      </c>
      <c r="W16" s="32">
        <v>0.16</v>
      </c>
      <c r="X16" s="32">
        <v>0.34</v>
      </c>
      <c r="Y16" s="32">
        <v>0.23</v>
      </c>
      <c r="Z16" s="32">
        <v>0.28999999999999998</v>
      </c>
      <c r="AA16" s="32">
        <v>0.21</v>
      </c>
      <c r="AB16" s="32">
        <v>0.24</v>
      </c>
      <c r="AC16" s="32">
        <v>0.1</v>
      </c>
      <c r="AD16" s="32">
        <v>0.16</v>
      </c>
      <c r="AE16" s="32">
        <v>0.24</v>
      </c>
      <c r="AF16" s="32">
        <v>0.12</v>
      </c>
      <c r="AG16" s="32">
        <v>0.03</v>
      </c>
      <c r="AH16" s="32">
        <v>0.05</v>
      </c>
      <c r="AI16" s="32">
        <v>-7.0000000000000007E-2</v>
      </c>
      <c r="AJ16" s="32">
        <v>0.02</v>
      </c>
      <c r="AK16" s="32">
        <v>0.23</v>
      </c>
      <c r="AL16" s="32">
        <v>0.26</v>
      </c>
      <c r="AM16" s="32">
        <v>0.2</v>
      </c>
      <c r="AN16" s="32">
        <v>0.53</v>
      </c>
      <c r="AO16" s="32">
        <v>0.16</v>
      </c>
      <c r="AP16" s="32">
        <v>0.26</v>
      </c>
      <c r="AQ16" s="32">
        <v>-0.12</v>
      </c>
      <c r="AR16" s="32">
        <v>0.24</v>
      </c>
      <c r="AS16" s="32">
        <v>0.23</v>
      </c>
      <c r="AT16" s="32">
        <v>0.37</v>
      </c>
      <c r="AU16" s="32">
        <v>0.24</v>
      </c>
      <c r="AV16" s="32">
        <v>0.18</v>
      </c>
      <c r="AW16" s="32">
        <v>0.24</v>
      </c>
      <c r="AX16" s="32">
        <v>0.27</v>
      </c>
      <c r="AY16" s="32">
        <v>0.37</v>
      </c>
      <c r="AZ16" s="32">
        <v>0.27</v>
      </c>
      <c r="BA16" s="32">
        <v>0.37</v>
      </c>
      <c r="BB16" s="32">
        <v>0.33</v>
      </c>
      <c r="BC16" s="32">
        <v>0.14000000000000001</v>
      </c>
      <c r="BD16" s="32">
        <v>0.17</v>
      </c>
      <c r="BE16" s="32">
        <v>0.28999999999999998</v>
      </c>
      <c r="BF16" s="32">
        <v>0.27</v>
      </c>
      <c r="BG16" s="32">
        <v>0.33</v>
      </c>
      <c r="BH16" s="32">
        <v>0.16</v>
      </c>
      <c r="BI16" s="32">
        <v>0.13</v>
      </c>
      <c r="BJ16" s="32">
        <v>-0.11</v>
      </c>
      <c r="BK16" s="32">
        <v>0.18</v>
      </c>
      <c r="BL16" s="32">
        <v>0.37</v>
      </c>
      <c r="BM16" s="32">
        <v>0.32</v>
      </c>
      <c r="BN16" s="32">
        <v>0.03</v>
      </c>
      <c r="BO16" s="32">
        <v>0.32</v>
      </c>
      <c r="BP16" s="32">
        <v>0.16</v>
      </c>
      <c r="BQ16" s="32">
        <v>0.33</v>
      </c>
      <c r="BR16" s="32">
        <v>0.35</v>
      </c>
      <c r="BS16" s="32">
        <v>-0.09</v>
      </c>
      <c r="BT16" s="32">
        <v>0.35</v>
      </c>
      <c r="BU16" s="32">
        <v>0.13</v>
      </c>
      <c r="BV16" s="32">
        <v>0.33</v>
      </c>
      <c r="BW16" s="32">
        <v>0.27</v>
      </c>
      <c r="BX16" s="32">
        <v>0.14000000000000001</v>
      </c>
      <c r="BY16" s="32">
        <v>0.4</v>
      </c>
      <c r="BZ16" s="32">
        <v>0.41</v>
      </c>
      <c r="CA16" s="32">
        <v>0.23</v>
      </c>
      <c r="CB16" s="32">
        <v>-0.04</v>
      </c>
      <c r="CC16" s="32">
        <v>7.0000000000000007E-2</v>
      </c>
      <c r="CD16" s="32">
        <v>0.28000000000000003</v>
      </c>
      <c r="CE16" s="32">
        <v>0.1</v>
      </c>
      <c r="CF16" s="32">
        <v>-0.09</v>
      </c>
      <c r="CG16" s="32">
        <v>0.35</v>
      </c>
      <c r="CH16" s="32">
        <v>0.34</v>
      </c>
      <c r="CI16" s="32">
        <v>-0.12</v>
      </c>
      <c r="CJ16" s="32">
        <v>0.08</v>
      </c>
      <c r="CK16" s="32">
        <v>0.31</v>
      </c>
      <c r="CL16" s="32">
        <v>0.33</v>
      </c>
      <c r="CM16" s="32">
        <v>0.22</v>
      </c>
      <c r="CN16" s="32">
        <v>0.03</v>
      </c>
      <c r="CO16" s="32">
        <v>0.1</v>
      </c>
      <c r="CP16" s="32">
        <v>0.14000000000000001</v>
      </c>
      <c r="CQ16" s="32">
        <v>0.43</v>
      </c>
      <c r="CR16" s="32">
        <v>0.31</v>
      </c>
      <c r="CS16" s="32">
        <v>0.28000000000000003</v>
      </c>
      <c r="CT16" s="32">
        <v>0.26</v>
      </c>
      <c r="CU16" s="32">
        <v>0.15</v>
      </c>
      <c r="CV16" s="32">
        <v>0.27</v>
      </c>
      <c r="CW16" s="32">
        <v>0.3</v>
      </c>
      <c r="CX16" s="32">
        <v>0.35</v>
      </c>
      <c r="CY16" s="32">
        <v>0.42</v>
      </c>
      <c r="CZ16" s="32">
        <v>0.11</v>
      </c>
      <c r="DA16" s="32">
        <v>0.16</v>
      </c>
      <c r="DB16" s="32">
        <v>0.3</v>
      </c>
      <c r="DC16" s="32">
        <v>0.32</v>
      </c>
      <c r="DD16" s="32">
        <v>0.31</v>
      </c>
      <c r="DE16" s="32">
        <v>0.35</v>
      </c>
      <c r="DF16" s="32">
        <v>0.1</v>
      </c>
      <c r="DG16" s="32">
        <v>0.36</v>
      </c>
      <c r="DH16" s="32">
        <v>0.18</v>
      </c>
      <c r="DI16" s="32">
        <v>0.41</v>
      </c>
      <c r="DJ16" s="32">
        <v>0.37</v>
      </c>
      <c r="DK16" s="32">
        <v>0.44</v>
      </c>
      <c r="DL16" s="32">
        <v>0.19</v>
      </c>
      <c r="DM16" s="32">
        <v>0.45</v>
      </c>
      <c r="DN16" s="32">
        <v>0.32</v>
      </c>
      <c r="DO16" s="32">
        <v>0.26</v>
      </c>
      <c r="DP16" s="32">
        <v>0.39</v>
      </c>
      <c r="DQ16" s="32">
        <v>0.26</v>
      </c>
      <c r="DR16" s="32">
        <v>0.22</v>
      </c>
      <c r="DS16" s="32">
        <v>0.12</v>
      </c>
      <c r="DT16" s="32">
        <v>0.14000000000000001</v>
      </c>
      <c r="DU16" s="32">
        <v>0.3</v>
      </c>
      <c r="DV16" s="32">
        <v>0.16</v>
      </c>
      <c r="DW16" s="32">
        <v>0.23</v>
      </c>
      <c r="DX16" s="32">
        <v>0.25</v>
      </c>
      <c r="DY16" s="32">
        <v>0.36</v>
      </c>
      <c r="DZ16" s="32">
        <v>0.1</v>
      </c>
      <c r="EA16" s="32">
        <v>0.21</v>
      </c>
      <c r="EB16" s="32">
        <v>0.36</v>
      </c>
      <c r="EC16" s="32">
        <v>0.05</v>
      </c>
      <c r="ED16" s="32">
        <v>0.28999999999999998</v>
      </c>
      <c r="EE16" s="32">
        <v>0.22</v>
      </c>
      <c r="EF16" s="32">
        <v>0.25</v>
      </c>
      <c r="EG16" s="32">
        <v>0.23</v>
      </c>
      <c r="EH16" s="32">
        <v>0.14000000000000001</v>
      </c>
      <c r="EI16" s="32">
        <v>0.18</v>
      </c>
      <c r="EJ16" s="32">
        <v>0.32</v>
      </c>
      <c r="EK16" s="32">
        <v>0.28000000000000003</v>
      </c>
      <c r="EL16" s="32">
        <v>0.32</v>
      </c>
      <c r="EM16" s="32">
        <v>0.18</v>
      </c>
      <c r="EN16" s="32">
        <v>0.21</v>
      </c>
      <c r="EO16" s="32">
        <v>0.11</v>
      </c>
    </row>
    <row r="17" spans="1:145" x14ac:dyDescent="0.25">
      <c r="A17" s="31" t="s">
        <v>93</v>
      </c>
      <c r="B17" s="32">
        <v>0.33</v>
      </c>
      <c r="C17" s="32">
        <v>-0.01</v>
      </c>
      <c r="D17" s="32">
        <v>0.18</v>
      </c>
      <c r="E17" s="32">
        <v>0.18</v>
      </c>
      <c r="F17" s="32">
        <v>0.3</v>
      </c>
      <c r="G17" s="32">
        <v>0.05</v>
      </c>
      <c r="H17" s="32">
        <v>0.11</v>
      </c>
      <c r="I17" s="32">
        <v>0.37</v>
      </c>
      <c r="J17" s="32">
        <v>0.42</v>
      </c>
      <c r="K17" s="32">
        <v>0.35</v>
      </c>
      <c r="L17" s="32">
        <v>0.14000000000000001</v>
      </c>
      <c r="M17" s="32">
        <v>0.28999999999999998</v>
      </c>
      <c r="N17" s="32">
        <v>1</v>
      </c>
      <c r="O17" s="32">
        <v>7.0000000000000007E-2</v>
      </c>
      <c r="P17" s="32">
        <v>0.23</v>
      </c>
      <c r="Q17" s="32">
        <v>-0.04</v>
      </c>
      <c r="R17" s="32">
        <v>0.32</v>
      </c>
      <c r="S17" s="32">
        <v>0.11</v>
      </c>
      <c r="T17" s="32">
        <v>0.23</v>
      </c>
      <c r="U17" s="32">
        <v>0.13</v>
      </c>
      <c r="V17" s="32">
        <v>0.02</v>
      </c>
      <c r="W17" s="32">
        <v>7.0000000000000007E-2</v>
      </c>
      <c r="X17" s="32">
        <v>0.23</v>
      </c>
      <c r="Y17" s="32">
        <v>0.26</v>
      </c>
      <c r="Z17" s="32">
        <v>0.12</v>
      </c>
      <c r="AA17" s="32">
        <v>0.18</v>
      </c>
      <c r="AB17" s="32">
        <v>0.27</v>
      </c>
      <c r="AC17" s="32">
        <v>0.03</v>
      </c>
      <c r="AD17" s="32">
        <v>0.02</v>
      </c>
      <c r="AE17" s="32">
        <v>0</v>
      </c>
      <c r="AF17" s="32">
        <v>-0.01</v>
      </c>
      <c r="AG17" s="32">
        <v>0.19</v>
      </c>
      <c r="AH17" s="32">
        <v>0.25</v>
      </c>
      <c r="AI17" s="32">
        <v>0.12</v>
      </c>
      <c r="AJ17" s="32">
        <v>0.15</v>
      </c>
      <c r="AK17" s="32">
        <v>0.04</v>
      </c>
      <c r="AL17" s="32">
        <v>0.31</v>
      </c>
      <c r="AM17" s="32">
        <v>0.11</v>
      </c>
      <c r="AN17" s="32">
        <v>0.35</v>
      </c>
      <c r="AO17" s="32">
        <v>0.42</v>
      </c>
      <c r="AP17" s="32">
        <v>0.39</v>
      </c>
      <c r="AQ17" s="32">
        <v>0.09</v>
      </c>
      <c r="AR17" s="32">
        <v>0.2</v>
      </c>
      <c r="AS17" s="32">
        <v>0.05</v>
      </c>
      <c r="AT17" s="32">
        <v>0.24</v>
      </c>
      <c r="AU17" s="32">
        <v>0.22</v>
      </c>
      <c r="AV17" s="32">
        <v>0.16</v>
      </c>
      <c r="AW17" s="32">
        <v>0.06</v>
      </c>
      <c r="AX17" s="32">
        <v>0.63</v>
      </c>
      <c r="AY17" s="32">
        <v>0.28000000000000003</v>
      </c>
      <c r="AZ17" s="32">
        <v>0.12</v>
      </c>
      <c r="BA17" s="32">
        <v>0.28999999999999998</v>
      </c>
      <c r="BB17" s="32">
        <v>0.19</v>
      </c>
      <c r="BC17" s="32">
        <v>0.06</v>
      </c>
      <c r="BD17" s="32">
        <v>0.08</v>
      </c>
      <c r="BE17" s="32">
        <v>0.51</v>
      </c>
      <c r="BF17" s="32">
        <v>0.17</v>
      </c>
      <c r="BG17" s="32">
        <v>0.35</v>
      </c>
      <c r="BH17" s="32">
        <v>0.15</v>
      </c>
      <c r="BI17" s="32">
        <v>0.06</v>
      </c>
      <c r="BJ17" s="32">
        <v>-0.02</v>
      </c>
      <c r="BK17" s="32">
        <v>0.02</v>
      </c>
      <c r="BL17" s="32">
        <v>0.2</v>
      </c>
      <c r="BM17" s="32">
        <v>0.24</v>
      </c>
      <c r="BN17" s="32">
        <v>7.0000000000000007E-2</v>
      </c>
      <c r="BO17" s="32">
        <v>0.18</v>
      </c>
      <c r="BP17" s="32">
        <v>7.0000000000000007E-2</v>
      </c>
      <c r="BQ17" s="32">
        <v>0.04</v>
      </c>
      <c r="BR17" s="32">
        <v>0.27</v>
      </c>
      <c r="BS17" s="32">
        <v>0.04</v>
      </c>
      <c r="BT17" s="32">
        <v>0.2</v>
      </c>
      <c r="BU17" s="32">
        <v>0.04</v>
      </c>
      <c r="BV17" s="32">
        <v>0.16</v>
      </c>
      <c r="BW17" s="32">
        <v>0.2</v>
      </c>
      <c r="BX17" s="32">
        <v>0.45</v>
      </c>
      <c r="BY17" s="32">
        <v>0.25</v>
      </c>
      <c r="BZ17" s="32">
        <v>0.22</v>
      </c>
      <c r="CA17" s="32">
        <v>0.05</v>
      </c>
      <c r="CB17" s="32">
        <v>0.08</v>
      </c>
      <c r="CC17" s="32">
        <v>0.06</v>
      </c>
      <c r="CD17" s="32">
        <v>0.24</v>
      </c>
      <c r="CE17" s="32">
        <v>0.05</v>
      </c>
      <c r="CF17" s="32">
        <v>0.08</v>
      </c>
      <c r="CG17" s="32">
        <v>0.3</v>
      </c>
      <c r="CH17" s="32">
        <v>0.1</v>
      </c>
      <c r="CI17" s="32">
        <v>0.08</v>
      </c>
      <c r="CJ17" s="32">
        <v>0.25</v>
      </c>
      <c r="CK17" s="32">
        <v>0.3</v>
      </c>
      <c r="CL17" s="32">
        <v>0.27</v>
      </c>
      <c r="CM17" s="32">
        <v>-0.01</v>
      </c>
      <c r="CN17" s="32">
        <v>0.14000000000000001</v>
      </c>
      <c r="CO17" s="32">
        <v>0.06</v>
      </c>
      <c r="CP17" s="32">
        <v>0.19</v>
      </c>
      <c r="CQ17" s="32">
        <v>0.28999999999999998</v>
      </c>
      <c r="CR17" s="32">
        <v>0.03</v>
      </c>
      <c r="CS17" s="32">
        <v>0.09</v>
      </c>
      <c r="CT17" s="32">
        <v>0.2</v>
      </c>
      <c r="CU17" s="32">
        <v>0.13</v>
      </c>
      <c r="CV17" s="32">
        <v>0.06</v>
      </c>
      <c r="CW17" s="32">
        <v>0.19</v>
      </c>
      <c r="CX17" s="32">
        <v>0.16</v>
      </c>
      <c r="CY17" s="32">
        <v>0.25</v>
      </c>
      <c r="CZ17" s="32">
        <v>0.2</v>
      </c>
      <c r="DA17" s="32">
        <v>0.36</v>
      </c>
      <c r="DB17" s="32">
        <v>0.13</v>
      </c>
      <c r="DC17" s="32">
        <v>0.11</v>
      </c>
      <c r="DD17" s="32">
        <v>0.25</v>
      </c>
      <c r="DE17" s="32">
        <v>0.1</v>
      </c>
      <c r="DF17" s="32">
        <v>0.19</v>
      </c>
      <c r="DG17" s="32">
        <v>0.2</v>
      </c>
      <c r="DH17" s="32">
        <v>-0.02</v>
      </c>
      <c r="DI17" s="32">
        <v>0.22</v>
      </c>
      <c r="DJ17" s="32">
        <v>0.28999999999999998</v>
      </c>
      <c r="DK17" s="32">
        <v>0.23</v>
      </c>
      <c r="DL17" s="32">
        <v>0.04</v>
      </c>
      <c r="DM17" s="32">
        <v>0.35</v>
      </c>
      <c r="DN17" s="32">
        <v>0.18</v>
      </c>
      <c r="DO17" s="32">
        <v>0.2</v>
      </c>
      <c r="DP17" s="32">
        <v>0.3</v>
      </c>
      <c r="DQ17" s="32">
        <v>0.06</v>
      </c>
      <c r="DR17" s="32">
        <v>0.14000000000000001</v>
      </c>
      <c r="DS17" s="32">
        <v>0.06</v>
      </c>
      <c r="DT17" s="32">
        <v>0</v>
      </c>
      <c r="DU17" s="32">
        <v>0.12</v>
      </c>
      <c r="DV17" s="32">
        <v>0.09</v>
      </c>
      <c r="DW17" s="32">
        <v>0.14000000000000001</v>
      </c>
      <c r="DX17" s="32">
        <v>-0.01</v>
      </c>
      <c r="DY17" s="32">
        <v>0.11</v>
      </c>
      <c r="DZ17" s="32">
        <v>0.12</v>
      </c>
      <c r="EA17" s="32">
        <v>0.22</v>
      </c>
      <c r="EB17" s="32">
        <v>0.17</v>
      </c>
      <c r="EC17" s="32">
        <v>-0.06</v>
      </c>
      <c r="ED17" s="32">
        <v>0.23</v>
      </c>
      <c r="EE17" s="32">
        <v>-0.04</v>
      </c>
      <c r="EF17" s="32">
        <v>0.15</v>
      </c>
      <c r="EG17" s="32">
        <v>0.02</v>
      </c>
      <c r="EH17" s="32">
        <v>0.11</v>
      </c>
      <c r="EI17" s="32">
        <v>-0.04</v>
      </c>
      <c r="EJ17" s="32">
        <v>0.25</v>
      </c>
      <c r="EK17" s="32">
        <v>0.11</v>
      </c>
      <c r="EL17" s="32">
        <v>0.02</v>
      </c>
      <c r="EM17" s="32">
        <v>0.08</v>
      </c>
      <c r="EN17" s="32">
        <v>0.28999999999999998</v>
      </c>
      <c r="EO17" s="32">
        <v>0.03</v>
      </c>
    </row>
    <row r="18" spans="1:145" x14ac:dyDescent="0.25">
      <c r="A18" s="31" t="s">
        <v>94</v>
      </c>
      <c r="B18" s="32">
        <v>0.14000000000000001</v>
      </c>
      <c r="C18" s="32">
        <v>0.18</v>
      </c>
      <c r="D18" s="32">
        <v>0.03</v>
      </c>
      <c r="E18" s="32">
        <v>0.36</v>
      </c>
      <c r="F18" s="32">
        <v>7.0000000000000007E-2</v>
      </c>
      <c r="G18" s="32">
        <v>0.12</v>
      </c>
      <c r="H18" s="32">
        <v>0.21</v>
      </c>
      <c r="I18" s="32">
        <v>0.11</v>
      </c>
      <c r="J18" s="32">
        <v>0.1</v>
      </c>
      <c r="K18" s="32">
        <v>0.17</v>
      </c>
      <c r="L18" s="32">
        <v>0.37</v>
      </c>
      <c r="M18" s="32">
        <v>0.22</v>
      </c>
      <c r="N18" s="32">
        <v>7.0000000000000007E-2</v>
      </c>
      <c r="O18" s="32">
        <v>1</v>
      </c>
      <c r="P18" s="32">
        <v>0.13</v>
      </c>
      <c r="Q18" s="32">
        <v>0.1</v>
      </c>
      <c r="R18" s="32">
        <v>0.12</v>
      </c>
      <c r="S18" s="32">
        <v>0.25</v>
      </c>
      <c r="T18" s="32">
        <v>0.06</v>
      </c>
      <c r="U18" s="32">
        <v>0.43</v>
      </c>
      <c r="V18" s="32">
        <v>0.42</v>
      </c>
      <c r="W18" s="32">
        <v>0.33</v>
      </c>
      <c r="X18" s="32">
        <v>0.19</v>
      </c>
      <c r="Y18" s="32">
        <v>0.05</v>
      </c>
      <c r="Z18" s="32">
        <v>0.38</v>
      </c>
      <c r="AA18" s="32">
        <v>0.37</v>
      </c>
      <c r="AB18" s="32">
        <v>0.03</v>
      </c>
      <c r="AC18" s="32">
        <v>0.32</v>
      </c>
      <c r="AD18" s="32">
        <v>0.28999999999999998</v>
      </c>
      <c r="AE18" s="32">
        <v>0.32</v>
      </c>
      <c r="AF18" s="32">
        <v>0.44</v>
      </c>
      <c r="AG18" s="32">
        <v>0.05</v>
      </c>
      <c r="AH18" s="32">
        <v>7.0000000000000007E-2</v>
      </c>
      <c r="AI18" s="32">
        <v>-0.04</v>
      </c>
      <c r="AJ18" s="32">
        <v>0.26</v>
      </c>
      <c r="AK18" s="32">
        <v>0.46</v>
      </c>
      <c r="AL18" s="32">
        <v>0.11</v>
      </c>
      <c r="AM18" s="32">
        <v>0.27</v>
      </c>
      <c r="AN18" s="32">
        <v>0.13</v>
      </c>
      <c r="AO18" s="32">
        <v>-0.01</v>
      </c>
      <c r="AP18" s="32">
        <v>0.14000000000000001</v>
      </c>
      <c r="AQ18" s="32">
        <v>-0.02</v>
      </c>
      <c r="AR18" s="32">
        <v>7.0000000000000007E-2</v>
      </c>
      <c r="AS18" s="32">
        <v>0.25</v>
      </c>
      <c r="AT18" s="32">
        <v>0.02</v>
      </c>
      <c r="AU18" s="32">
        <v>0.09</v>
      </c>
      <c r="AV18" s="32">
        <v>0.34</v>
      </c>
      <c r="AW18" s="32">
        <v>0.26</v>
      </c>
      <c r="AX18" s="32">
        <v>0.09</v>
      </c>
      <c r="AY18" s="32">
        <v>0.01</v>
      </c>
      <c r="AZ18" s="32">
        <v>0.27</v>
      </c>
      <c r="BA18" s="32">
        <v>0.22</v>
      </c>
      <c r="BB18" s="32">
        <v>0.08</v>
      </c>
      <c r="BC18" s="32">
        <v>0.28000000000000003</v>
      </c>
      <c r="BD18" s="32">
        <v>0.34</v>
      </c>
      <c r="BE18" s="32">
        <v>0.11</v>
      </c>
      <c r="BF18" s="32">
        <v>0.26</v>
      </c>
      <c r="BG18" s="32">
        <v>-0.12</v>
      </c>
      <c r="BH18" s="32">
        <v>0.18</v>
      </c>
      <c r="BI18" s="32">
        <v>0.25</v>
      </c>
      <c r="BJ18" s="32">
        <v>0.01</v>
      </c>
      <c r="BK18" s="32">
        <v>0.24</v>
      </c>
      <c r="BL18" s="32">
        <v>0.16</v>
      </c>
      <c r="BM18" s="32">
        <v>0.05</v>
      </c>
      <c r="BN18" s="32">
        <v>0.12</v>
      </c>
      <c r="BO18" s="32">
        <v>7.0000000000000007E-2</v>
      </c>
      <c r="BP18" s="32">
        <v>0.01</v>
      </c>
      <c r="BQ18" s="32">
        <v>0.35</v>
      </c>
      <c r="BR18" s="32">
        <v>0.05</v>
      </c>
      <c r="BS18" s="32">
        <v>-7.0000000000000007E-2</v>
      </c>
      <c r="BT18" s="32">
        <v>0.19</v>
      </c>
      <c r="BU18" s="32">
        <v>0.18</v>
      </c>
      <c r="BV18" s="32">
        <v>0.11</v>
      </c>
      <c r="BW18" s="32">
        <v>0.03</v>
      </c>
      <c r="BX18" s="32">
        <v>-0.03</v>
      </c>
      <c r="BY18" s="32">
        <v>0.08</v>
      </c>
      <c r="BZ18" s="32">
        <v>0.18</v>
      </c>
      <c r="CA18" s="32">
        <v>0.34</v>
      </c>
      <c r="CB18" s="32">
        <v>0</v>
      </c>
      <c r="CC18" s="32">
        <v>0.04</v>
      </c>
      <c r="CD18" s="32">
        <v>0.03</v>
      </c>
      <c r="CE18" s="32">
        <v>-0.04</v>
      </c>
      <c r="CF18" s="32">
        <v>-0.02</v>
      </c>
      <c r="CG18" s="32">
        <v>0.02</v>
      </c>
      <c r="CH18" s="32">
        <v>0.36</v>
      </c>
      <c r="CI18" s="32">
        <v>-0.05</v>
      </c>
      <c r="CJ18" s="32">
        <v>-0.03</v>
      </c>
      <c r="CK18" s="32">
        <v>-0.05</v>
      </c>
      <c r="CL18" s="32">
        <v>0.04</v>
      </c>
      <c r="CM18" s="32">
        <v>-0.04</v>
      </c>
      <c r="CN18" s="32">
        <v>0.22</v>
      </c>
      <c r="CO18" s="32">
        <v>0.05</v>
      </c>
      <c r="CP18" s="32">
        <v>0.03</v>
      </c>
      <c r="CQ18" s="32">
        <v>0.11</v>
      </c>
      <c r="CR18" s="32">
        <v>0.05</v>
      </c>
      <c r="CS18" s="32">
        <v>0.12</v>
      </c>
      <c r="CT18" s="32">
        <v>0.15</v>
      </c>
      <c r="CU18" s="32">
        <v>0.01</v>
      </c>
      <c r="CV18" s="32">
        <v>0.03</v>
      </c>
      <c r="CW18" s="32">
        <v>7.0000000000000007E-2</v>
      </c>
      <c r="CX18" s="32">
        <v>0.06</v>
      </c>
      <c r="CY18" s="32">
        <v>0.13</v>
      </c>
      <c r="CZ18" s="32">
        <v>-0.01</v>
      </c>
      <c r="DA18" s="32">
        <v>-0.14000000000000001</v>
      </c>
      <c r="DB18" s="32">
        <v>0.12</v>
      </c>
      <c r="DC18" s="32">
        <v>0.21</v>
      </c>
      <c r="DD18" s="32">
        <v>0.02</v>
      </c>
      <c r="DE18" s="32">
        <v>0.11</v>
      </c>
      <c r="DF18" s="32">
        <v>-0.05</v>
      </c>
      <c r="DG18" s="32">
        <v>0.21</v>
      </c>
      <c r="DH18" s="32">
        <v>0.02</v>
      </c>
      <c r="DI18" s="32">
        <v>0.19</v>
      </c>
      <c r="DJ18" s="32">
        <v>0.06</v>
      </c>
      <c r="DK18" s="32">
        <v>0.14000000000000001</v>
      </c>
      <c r="DL18" s="32">
        <v>0.27</v>
      </c>
      <c r="DM18" s="32">
        <v>0.17</v>
      </c>
      <c r="DN18" s="32">
        <v>0.05</v>
      </c>
      <c r="DO18" s="32">
        <v>0.12</v>
      </c>
      <c r="DP18" s="32">
        <v>0.1</v>
      </c>
      <c r="DQ18" s="32">
        <v>0.08</v>
      </c>
      <c r="DR18" s="32">
        <v>0.09</v>
      </c>
      <c r="DS18" s="32">
        <v>-0.08</v>
      </c>
      <c r="DT18" s="32">
        <v>-0.01</v>
      </c>
      <c r="DU18" s="32">
        <v>0.08</v>
      </c>
      <c r="DV18" s="32">
        <v>0.02</v>
      </c>
      <c r="DW18" s="32">
        <v>-0.04</v>
      </c>
      <c r="DX18" s="32">
        <v>0.04</v>
      </c>
      <c r="DY18" s="32">
        <v>0.03</v>
      </c>
      <c r="DZ18" s="32">
        <v>-0.09</v>
      </c>
      <c r="EA18" s="32">
        <v>0.05</v>
      </c>
      <c r="EB18" s="32">
        <v>0.01</v>
      </c>
      <c r="EC18" s="32">
        <v>0.02</v>
      </c>
      <c r="ED18" s="32">
        <v>0.09</v>
      </c>
      <c r="EE18" s="32">
        <v>0.1</v>
      </c>
      <c r="EF18" s="32">
        <v>7.0000000000000007E-2</v>
      </c>
      <c r="EG18" s="32">
        <v>0.11</v>
      </c>
      <c r="EH18" s="32">
        <v>-0.12</v>
      </c>
      <c r="EI18" s="32">
        <v>0.01</v>
      </c>
      <c r="EJ18" s="32">
        <v>0.09</v>
      </c>
      <c r="EK18" s="32">
        <v>0.08</v>
      </c>
      <c r="EL18" s="32">
        <v>0.17</v>
      </c>
      <c r="EM18" s="32">
        <v>0.03</v>
      </c>
      <c r="EN18" s="32">
        <v>-0.01</v>
      </c>
      <c r="EO18" s="32">
        <v>0.02</v>
      </c>
    </row>
    <row r="19" spans="1:145" x14ac:dyDescent="0.25">
      <c r="A19" s="31" t="s">
        <v>95</v>
      </c>
      <c r="B19" s="32">
        <v>0.38</v>
      </c>
      <c r="C19" s="32">
        <v>7.0000000000000007E-2</v>
      </c>
      <c r="D19" s="32">
        <v>0</v>
      </c>
      <c r="E19" s="32">
        <v>0.15</v>
      </c>
      <c r="F19" s="32">
        <v>0.48</v>
      </c>
      <c r="G19" s="32">
        <v>-0.11</v>
      </c>
      <c r="H19" s="32">
        <v>0.01</v>
      </c>
      <c r="I19" s="32">
        <v>0.48</v>
      </c>
      <c r="J19" s="32">
        <v>0.41</v>
      </c>
      <c r="K19" s="32">
        <v>0.41</v>
      </c>
      <c r="L19" s="32">
        <v>0.15</v>
      </c>
      <c r="M19" s="32">
        <v>0.2</v>
      </c>
      <c r="N19" s="32">
        <v>0.23</v>
      </c>
      <c r="O19" s="32">
        <v>0.13</v>
      </c>
      <c r="P19" s="32">
        <v>1</v>
      </c>
      <c r="Q19" s="32">
        <v>0.14000000000000001</v>
      </c>
      <c r="R19" s="32">
        <v>0.48</v>
      </c>
      <c r="S19" s="32">
        <v>0.1</v>
      </c>
      <c r="T19" s="32">
        <v>0.1</v>
      </c>
      <c r="U19" s="32">
        <v>0.12</v>
      </c>
      <c r="V19" s="32">
        <v>0.02</v>
      </c>
      <c r="W19" s="32">
        <v>0.19</v>
      </c>
      <c r="X19" s="32">
        <v>0.09</v>
      </c>
      <c r="Y19" s="32">
        <v>0.38</v>
      </c>
      <c r="Z19" s="32">
        <v>7.0000000000000007E-2</v>
      </c>
      <c r="AA19" s="32">
        <v>0.19</v>
      </c>
      <c r="AB19" s="32">
        <v>0.34</v>
      </c>
      <c r="AC19" s="32">
        <v>0.01</v>
      </c>
      <c r="AD19" s="32">
        <v>0.11</v>
      </c>
      <c r="AE19" s="32">
        <v>0.03</v>
      </c>
      <c r="AF19" s="32">
        <v>0.01</v>
      </c>
      <c r="AG19" s="32">
        <v>0.31</v>
      </c>
      <c r="AH19" s="32">
        <v>0.28999999999999998</v>
      </c>
      <c r="AI19" s="32">
        <v>0.26</v>
      </c>
      <c r="AJ19" s="32">
        <v>-0.03</v>
      </c>
      <c r="AK19" s="32">
        <v>0.02</v>
      </c>
      <c r="AL19" s="32">
        <v>0.24</v>
      </c>
      <c r="AM19" s="32">
        <v>7.0000000000000007E-2</v>
      </c>
      <c r="AN19" s="32">
        <v>0.35</v>
      </c>
      <c r="AO19" s="32">
        <v>0.33</v>
      </c>
      <c r="AP19" s="32">
        <v>0.17</v>
      </c>
      <c r="AQ19" s="32">
        <v>0.27</v>
      </c>
      <c r="AR19" s="32">
        <v>0.1</v>
      </c>
      <c r="AS19" s="32">
        <v>0.04</v>
      </c>
      <c r="AT19" s="32">
        <v>0.11</v>
      </c>
      <c r="AU19" s="32">
        <v>0.66</v>
      </c>
      <c r="AV19" s="32">
        <v>0.18</v>
      </c>
      <c r="AW19" s="32">
        <v>0.12</v>
      </c>
      <c r="AX19" s="32">
        <v>0.32</v>
      </c>
      <c r="AY19" s="32">
        <v>0.31</v>
      </c>
      <c r="AZ19" s="32">
        <v>7.0000000000000007E-2</v>
      </c>
      <c r="BA19" s="32">
        <v>0.16</v>
      </c>
      <c r="BB19" s="32">
        <v>0</v>
      </c>
      <c r="BC19" s="32">
        <v>0.05</v>
      </c>
      <c r="BD19" s="32">
        <v>0.04</v>
      </c>
      <c r="BE19" s="32">
        <v>0.28999999999999998</v>
      </c>
      <c r="BF19" s="32">
        <v>0.08</v>
      </c>
      <c r="BG19" s="32">
        <v>7.0000000000000007E-2</v>
      </c>
      <c r="BH19" s="32">
        <v>-0.03</v>
      </c>
      <c r="BI19" s="32">
        <v>-0.02</v>
      </c>
      <c r="BJ19" s="32">
        <v>-0.06</v>
      </c>
      <c r="BK19" s="32">
        <v>7.0000000000000007E-2</v>
      </c>
      <c r="BL19" s="32">
        <v>-0.02</v>
      </c>
      <c r="BM19" s="32">
        <v>0.41</v>
      </c>
      <c r="BN19" s="32">
        <v>0.25</v>
      </c>
      <c r="BO19" s="32">
        <v>0.15</v>
      </c>
      <c r="BP19" s="32">
        <v>0.06</v>
      </c>
      <c r="BQ19" s="32">
        <v>-0.01</v>
      </c>
      <c r="BR19" s="32">
        <v>0.15</v>
      </c>
      <c r="BS19" s="32">
        <v>0.17</v>
      </c>
      <c r="BT19" s="32">
        <v>0.02</v>
      </c>
      <c r="BU19" s="32">
        <v>0.04</v>
      </c>
      <c r="BV19" s="32">
        <v>0.11</v>
      </c>
      <c r="BW19" s="32">
        <v>0.17</v>
      </c>
      <c r="BX19" s="32">
        <v>0.23</v>
      </c>
      <c r="BY19" s="32">
        <v>0.13</v>
      </c>
      <c r="BZ19" s="32">
        <v>0.18</v>
      </c>
      <c r="CA19" s="32">
        <v>0.11</v>
      </c>
      <c r="CB19" s="32">
        <v>7.0000000000000007E-2</v>
      </c>
      <c r="CC19" s="32">
        <v>0.21</v>
      </c>
      <c r="CD19" s="32">
        <v>0.19</v>
      </c>
      <c r="CE19" s="32">
        <v>0.09</v>
      </c>
      <c r="CF19" s="32">
        <v>0.21</v>
      </c>
      <c r="CG19" s="32">
        <v>0.16</v>
      </c>
      <c r="CH19" s="32">
        <v>-0.03</v>
      </c>
      <c r="CI19" s="32">
        <v>0.22</v>
      </c>
      <c r="CJ19" s="32">
        <v>0.23</v>
      </c>
      <c r="CK19" s="32">
        <v>0.25</v>
      </c>
      <c r="CL19" s="32">
        <v>0.05</v>
      </c>
      <c r="CM19" s="32">
        <v>-0.14000000000000001</v>
      </c>
      <c r="CN19" s="32">
        <v>0.05</v>
      </c>
      <c r="CO19" s="32">
        <v>0.03</v>
      </c>
      <c r="CP19" s="32">
        <v>0.08</v>
      </c>
      <c r="CQ19" s="32">
        <v>0.09</v>
      </c>
      <c r="CR19" s="32">
        <v>-0.05</v>
      </c>
      <c r="CS19" s="32">
        <v>0.04</v>
      </c>
      <c r="CT19" s="32">
        <v>0.08</v>
      </c>
      <c r="CU19" s="32">
        <v>0.05</v>
      </c>
      <c r="CV19" s="32">
        <v>-0.04</v>
      </c>
      <c r="CW19" s="32">
        <v>0.16</v>
      </c>
      <c r="CX19" s="32">
        <v>0.06</v>
      </c>
      <c r="CY19" s="32">
        <v>0.06</v>
      </c>
      <c r="CZ19" s="32">
        <v>0.13</v>
      </c>
      <c r="DA19" s="32">
        <v>0.11</v>
      </c>
      <c r="DB19" s="32">
        <v>-7.0000000000000007E-2</v>
      </c>
      <c r="DC19" s="32">
        <v>-0.1</v>
      </c>
      <c r="DD19" s="32">
        <v>0.08</v>
      </c>
      <c r="DE19" s="32">
        <v>-0.09</v>
      </c>
      <c r="DF19" s="32">
        <v>0.09</v>
      </c>
      <c r="DG19" s="32">
        <v>-0.06</v>
      </c>
      <c r="DH19" s="32">
        <v>-0.12</v>
      </c>
      <c r="DI19" s="32">
        <v>0.05</v>
      </c>
      <c r="DJ19" s="32">
        <v>0.08</v>
      </c>
      <c r="DK19" s="32">
        <v>0.05</v>
      </c>
      <c r="DL19" s="32">
        <v>-0.04</v>
      </c>
      <c r="DM19" s="32">
        <v>0.1</v>
      </c>
      <c r="DN19" s="32">
        <v>0.16</v>
      </c>
      <c r="DO19" s="32">
        <v>-0.04</v>
      </c>
      <c r="DP19" s="32">
        <v>0.04</v>
      </c>
      <c r="DQ19" s="32">
        <v>-0.04</v>
      </c>
      <c r="DR19" s="32">
        <v>-0.04</v>
      </c>
      <c r="DS19" s="32">
        <v>0.06</v>
      </c>
      <c r="DT19" s="32">
        <v>-0.17</v>
      </c>
      <c r="DU19" s="32">
        <v>-0.09</v>
      </c>
      <c r="DV19" s="32">
        <v>0.04</v>
      </c>
      <c r="DW19" s="32">
        <v>0.03</v>
      </c>
      <c r="DX19" s="32">
        <v>-0.09</v>
      </c>
      <c r="DY19" s="32">
        <v>0.02</v>
      </c>
      <c r="DZ19" s="32">
        <v>0.01</v>
      </c>
      <c r="EA19" s="32">
        <v>-7.0000000000000007E-2</v>
      </c>
      <c r="EB19" s="32">
        <v>0</v>
      </c>
      <c r="EC19" s="32">
        <v>-0.14000000000000001</v>
      </c>
      <c r="ED19" s="32">
        <v>-0.04</v>
      </c>
      <c r="EE19" s="32">
        <v>-0.1</v>
      </c>
      <c r="EF19" s="32">
        <v>-7.0000000000000007E-2</v>
      </c>
      <c r="EG19" s="32">
        <v>-0.06</v>
      </c>
      <c r="EH19" s="32">
        <v>0.08</v>
      </c>
      <c r="EI19" s="32">
        <v>-0.2</v>
      </c>
      <c r="EJ19" s="32">
        <v>0.01</v>
      </c>
      <c r="EK19" s="32">
        <v>-0.04</v>
      </c>
      <c r="EL19" s="32">
        <v>-0.09</v>
      </c>
      <c r="EM19" s="32">
        <v>-0.17</v>
      </c>
      <c r="EN19" s="32">
        <v>0.02</v>
      </c>
      <c r="EO19" s="32">
        <v>0.02</v>
      </c>
    </row>
    <row r="20" spans="1:145" x14ac:dyDescent="0.25">
      <c r="A20" s="31" t="s">
        <v>96</v>
      </c>
      <c r="B20" s="32">
        <v>0.03</v>
      </c>
      <c r="C20" s="32">
        <v>0</v>
      </c>
      <c r="D20" s="32">
        <v>0.02</v>
      </c>
      <c r="E20" s="32">
        <v>7.0000000000000007E-2</v>
      </c>
      <c r="F20" s="32">
        <v>-0.11</v>
      </c>
      <c r="G20" s="32">
        <v>0.05</v>
      </c>
      <c r="H20" s="32">
        <v>-0.02</v>
      </c>
      <c r="I20" s="32">
        <v>-0.03</v>
      </c>
      <c r="J20" s="32">
        <v>0.01</v>
      </c>
      <c r="K20" s="32">
        <v>-0.04</v>
      </c>
      <c r="L20" s="32">
        <v>0.09</v>
      </c>
      <c r="M20" s="32">
        <v>0</v>
      </c>
      <c r="N20" s="32">
        <v>-0.04</v>
      </c>
      <c r="O20" s="32">
        <v>0.1</v>
      </c>
      <c r="P20" s="32">
        <v>0.14000000000000001</v>
      </c>
      <c r="Q20" s="32">
        <v>1</v>
      </c>
      <c r="R20" s="32">
        <v>-0.04</v>
      </c>
      <c r="S20" s="32">
        <v>0.1</v>
      </c>
      <c r="T20" s="32">
        <v>7.0000000000000007E-2</v>
      </c>
      <c r="U20" s="32">
        <v>-0.05</v>
      </c>
      <c r="V20" s="32">
        <v>-0.02</v>
      </c>
      <c r="W20" s="32">
        <v>0.02</v>
      </c>
      <c r="X20" s="32">
        <v>0.03</v>
      </c>
      <c r="Y20" s="32">
        <v>0.05</v>
      </c>
      <c r="Z20" s="32">
        <v>0.12</v>
      </c>
      <c r="AA20" s="32">
        <v>0</v>
      </c>
      <c r="AB20" s="32">
        <v>0</v>
      </c>
      <c r="AC20" s="32">
        <v>0.01</v>
      </c>
      <c r="AD20" s="32">
        <v>0.03</v>
      </c>
      <c r="AE20" s="32">
        <v>7.0000000000000007E-2</v>
      </c>
      <c r="AF20" s="32">
        <v>0.05</v>
      </c>
      <c r="AG20" s="32">
        <v>0.01</v>
      </c>
      <c r="AH20" s="32">
        <v>0.01</v>
      </c>
      <c r="AI20" s="32">
        <v>0</v>
      </c>
      <c r="AJ20" s="32">
        <v>0.02</v>
      </c>
      <c r="AK20" s="32">
        <v>-0.02</v>
      </c>
      <c r="AL20" s="32">
        <v>0.1</v>
      </c>
      <c r="AM20" s="32">
        <v>0.06</v>
      </c>
      <c r="AN20" s="32">
        <v>0.08</v>
      </c>
      <c r="AO20" s="32">
        <v>0</v>
      </c>
      <c r="AP20" s="32">
        <v>0.09</v>
      </c>
      <c r="AQ20" s="32">
        <v>-0.05</v>
      </c>
      <c r="AR20" s="32">
        <v>0.03</v>
      </c>
      <c r="AS20" s="32">
        <v>0.02</v>
      </c>
      <c r="AT20" s="32">
        <v>-7.0000000000000007E-2</v>
      </c>
      <c r="AU20" s="32">
        <v>0.01</v>
      </c>
      <c r="AV20" s="32">
        <v>0.05</v>
      </c>
      <c r="AW20" s="32">
        <v>0.13</v>
      </c>
      <c r="AX20" s="32">
        <v>-0.01</v>
      </c>
      <c r="AY20" s="32">
        <v>-7.0000000000000007E-2</v>
      </c>
      <c r="AZ20" s="32">
        <v>0.1</v>
      </c>
      <c r="BA20" s="32">
        <v>0.03</v>
      </c>
      <c r="BB20" s="32">
        <v>0.05</v>
      </c>
      <c r="BC20" s="32">
        <v>-0.09</v>
      </c>
      <c r="BD20" s="32">
        <v>0.05</v>
      </c>
      <c r="BE20" s="32">
        <v>-0.08</v>
      </c>
      <c r="BF20" s="32">
        <v>7.0000000000000007E-2</v>
      </c>
      <c r="BG20" s="32">
        <v>0.03</v>
      </c>
      <c r="BH20" s="32">
        <v>-0.05</v>
      </c>
      <c r="BI20" s="32">
        <v>7.0000000000000007E-2</v>
      </c>
      <c r="BJ20" s="32">
        <v>-0.01</v>
      </c>
      <c r="BK20" s="32">
        <v>0.17</v>
      </c>
      <c r="BL20" s="32">
        <v>0.04</v>
      </c>
      <c r="BM20" s="32">
        <v>0.01</v>
      </c>
      <c r="BN20" s="32">
        <v>0.03</v>
      </c>
      <c r="BO20" s="32">
        <v>7.0000000000000007E-2</v>
      </c>
      <c r="BP20" s="32">
        <v>-0.02</v>
      </c>
      <c r="BQ20" s="32">
        <v>0.11</v>
      </c>
      <c r="BR20" s="32">
        <v>0.05</v>
      </c>
      <c r="BS20" s="32">
        <v>-0.05</v>
      </c>
      <c r="BT20" s="32">
        <v>0.02</v>
      </c>
      <c r="BU20" s="32">
        <v>-0.02</v>
      </c>
      <c r="BV20" s="32">
        <v>0.02</v>
      </c>
      <c r="BW20" s="32">
        <v>0.04</v>
      </c>
      <c r="BX20" s="32">
        <v>0.08</v>
      </c>
      <c r="BY20" s="32">
        <v>-7.0000000000000007E-2</v>
      </c>
      <c r="BZ20" s="32">
        <v>0.03</v>
      </c>
      <c r="CA20" s="32">
        <v>-0.06</v>
      </c>
      <c r="CB20" s="32">
        <v>-0.02</v>
      </c>
      <c r="CC20" s="32">
        <v>0.06</v>
      </c>
      <c r="CD20" s="32">
        <v>0.04</v>
      </c>
      <c r="CE20" s="32">
        <v>0.02</v>
      </c>
      <c r="CF20" s="32">
        <v>-0.06</v>
      </c>
      <c r="CG20" s="32">
        <v>0.01</v>
      </c>
      <c r="CH20" s="32">
        <v>0.11</v>
      </c>
      <c r="CI20" s="32">
        <v>-0.05</v>
      </c>
      <c r="CJ20" s="32">
        <v>0.03</v>
      </c>
      <c r="CK20" s="32">
        <v>0</v>
      </c>
      <c r="CL20" s="32">
        <v>-0.01</v>
      </c>
      <c r="CM20" s="32">
        <v>7.0000000000000007E-2</v>
      </c>
      <c r="CN20" s="32">
        <v>0.08</v>
      </c>
      <c r="CO20" s="32">
        <v>-0.05</v>
      </c>
      <c r="CP20" s="32">
        <v>0.11</v>
      </c>
      <c r="CQ20" s="32">
        <v>0.02</v>
      </c>
      <c r="CR20" s="32">
        <v>0.09</v>
      </c>
      <c r="CS20" s="32">
        <v>0.09</v>
      </c>
      <c r="CT20" s="32">
        <v>0.1</v>
      </c>
      <c r="CU20" s="32">
        <v>0.1</v>
      </c>
      <c r="CV20" s="32">
        <v>-0.1</v>
      </c>
      <c r="CW20" s="32">
        <v>0.19</v>
      </c>
      <c r="CX20" s="32">
        <v>0.11</v>
      </c>
      <c r="CY20" s="32">
        <v>0.01</v>
      </c>
      <c r="CZ20" s="32">
        <v>0</v>
      </c>
      <c r="DA20" s="32">
        <v>0</v>
      </c>
      <c r="DB20" s="32">
        <v>7.0000000000000007E-2</v>
      </c>
      <c r="DC20" s="32">
        <v>0.09</v>
      </c>
      <c r="DD20" s="32">
        <v>0.06</v>
      </c>
      <c r="DE20" s="32">
        <v>0.06</v>
      </c>
      <c r="DF20" s="32">
        <v>-0.06</v>
      </c>
      <c r="DG20" s="32">
        <v>7.0000000000000007E-2</v>
      </c>
      <c r="DH20" s="32">
        <v>0.12</v>
      </c>
      <c r="DI20" s="32">
        <v>7.0000000000000007E-2</v>
      </c>
      <c r="DJ20" s="32">
        <v>-0.01</v>
      </c>
      <c r="DK20" s="32">
        <v>0.04</v>
      </c>
      <c r="DL20" s="32">
        <v>0.04</v>
      </c>
      <c r="DM20" s="32">
        <v>-0.01</v>
      </c>
      <c r="DN20" s="32">
        <v>-0.11</v>
      </c>
      <c r="DO20" s="32">
        <v>0.09</v>
      </c>
      <c r="DP20" s="32">
        <v>-0.02</v>
      </c>
      <c r="DQ20" s="32">
        <v>0.04</v>
      </c>
      <c r="DR20" s="32">
        <v>0.15</v>
      </c>
      <c r="DS20" s="32">
        <v>0.01</v>
      </c>
      <c r="DT20" s="32">
        <v>-0.1</v>
      </c>
      <c r="DU20" s="32">
        <v>0</v>
      </c>
      <c r="DV20" s="32">
        <v>-0.02</v>
      </c>
      <c r="DW20" s="32">
        <v>-0.04</v>
      </c>
      <c r="DX20" s="32">
        <v>0.04</v>
      </c>
      <c r="DY20" s="32">
        <v>0.04</v>
      </c>
      <c r="DZ20" s="32">
        <v>0.05</v>
      </c>
      <c r="EA20" s="32">
        <v>0.05</v>
      </c>
      <c r="EB20" s="32">
        <v>0.04</v>
      </c>
      <c r="EC20" s="32">
        <v>0.05</v>
      </c>
      <c r="ED20" s="32">
        <v>-0.09</v>
      </c>
      <c r="EE20" s="32">
        <v>0.06</v>
      </c>
      <c r="EF20" s="32">
        <v>7.0000000000000007E-2</v>
      </c>
      <c r="EG20" s="32">
        <v>0.1</v>
      </c>
      <c r="EH20" s="32">
        <v>0.02</v>
      </c>
      <c r="EI20" s="32">
        <v>0.01</v>
      </c>
      <c r="EJ20" s="32">
        <v>-0.02</v>
      </c>
      <c r="EK20" s="32">
        <v>0.01</v>
      </c>
      <c r="EL20" s="32">
        <v>0.03</v>
      </c>
      <c r="EM20" s="32">
        <v>0</v>
      </c>
      <c r="EN20" s="32">
        <v>-7.0000000000000007E-2</v>
      </c>
      <c r="EO20" s="32">
        <v>0.02</v>
      </c>
    </row>
    <row r="21" spans="1:145" x14ac:dyDescent="0.25">
      <c r="A21" s="31" t="s">
        <v>97</v>
      </c>
      <c r="B21" s="32">
        <v>0.37</v>
      </c>
      <c r="C21" s="32">
        <v>0.03</v>
      </c>
      <c r="D21" s="32">
        <v>-0.16</v>
      </c>
      <c r="E21" s="32">
        <v>0.09</v>
      </c>
      <c r="F21" s="32">
        <v>0.65</v>
      </c>
      <c r="G21" s="32">
        <v>-0.03</v>
      </c>
      <c r="H21" s="32">
        <v>0.05</v>
      </c>
      <c r="I21" s="32">
        <v>0.54</v>
      </c>
      <c r="J21" s="32">
        <v>0.49</v>
      </c>
      <c r="K21" s="32">
        <v>0.59</v>
      </c>
      <c r="L21" s="32">
        <v>0.1</v>
      </c>
      <c r="M21" s="32">
        <v>0.3</v>
      </c>
      <c r="N21" s="32">
        <v>0.32</v>
      </c>
      <c r="O21" s="32">
        <v>0.12</v>
      </c>
      <c r="P21" s="32">
        <v>0.48</v>
      </c>
      <c r="Q21" s="32">
        <v>-0.04</v>
      </c>
      <c r="R21" s="32">
        <v>1</v>
      </c>
      <c r="S21" s="32">
        <v>0.1</v>
      </c>
      <c r="T21" s="32">
        <v>0.13</v>
      </c>
      <c r="U21" s="32">
        <v>7.0000000000000007E-2</v>
      </c>
      <c r="V21" s="32">
        <v>0.09</v>
      </c>
      <c r="W21" s="32">
        <v>0.17</v>
      </c>
      <c r="X21" s="32">
        <v>0.12</v>
      </c>
      <c r="Y21" s="32">
        <v>0.22</v>
      </c>
      <c r="Z21" s="32">
        <v>0.14000000000000001</v>
      </c>
      <c r="AA21" s="32">
        <v>0.23</v>
      </c>
      <c r="AB21" s="32">
        <v>0.21</v>
      </c>
      <c r="AC21" s="32">
        <v>0.04</v>
      </c>
      <c r="AD21" s="32">
        <v>7.0000000000000007E-2</v>
      </c>
      <c r="AE21" s="32">
        <v>0.02</v>
      </c>
      <c r="AF21" s="32">
        <v>-0.03</v>
      </c>
      <c r="AG21" s="32">
        <v>0.38</v>
      </c>
      <c r="AH21" s="32">
        <v>0.44</v>
      </c>
      <c r="AI21" s="32">
        <v>0.26</v>
      </c>
      <c r="AJ21" s="32">
        <v>-0.12</v>
      </c>
      <c r="AK21" s="32">
        <v>7.0000000000000007E-2</v>
      </c>
      <c r="AL21" s="32">
        <v>0.3</v>
      </c>
      <c r="AM21" s="32">
        <v>0.1</v>
      </c>
      <c r="AN21" s="32">
        <v>0.42</v>
      </c>
      <c r="AO21" s="32">
        <v>0.28999999999999998</v>
      </c>
      <c r="AP21" s="32">
        <v>0.35</v>
      </c>
      <c r="AQ21" s="32">
        <v>0.24</v>
      </c>
      <c r="AR21" s="32">
        <v>0.15</v>
      </c>
      <c r="AS21" s="32">
        <v>0.02</v>
      </c>
      <c r="AT21" s="32">
        <v>0.11</v>
      </c>
      <c r="AU21" s="32">
        <v>0.44</v>
      </c>
      <c r="AV21" s="32">
        <v>0.15</v>
      </c>
      <c r="AW21" s="32">
        <v>0.04</v>
      </c>
      <c r="AX21" s="32">
        <v>0.38</v>
      </c>
      <c r="AY21" s="32">
        <v>0.31</v>
      </c>
      <c r="AZ21" s="32">
        <v>0.01</v>
      </c>
      <c r="BA21" s="32">
        <v>0.28999999999999998</v>
      </c>
      <c r="BB21" s="32">
        <v>-0.01</v>
      </c>
      <c r="BC21" s="32">
        <v>0.05</v>
      </c>
      <c r="BD21" s="32">
        <v>0.05</v>
      </c>
      <c r="BE21" s="32">
        <v>0.37</v>
      </c>
      <c r="BF21" s="32">
        <v>7.0000000000000007E-2</v>
      </c>
      <c r="BG21" s="32">
        <v>0.14000000000000001</v>
      </c>
      <c r="BH21" s="32">
        <v>7.0000000000000007E-2</v>
      </c>
      <c r="BI21" s="32">
        <v>0.06</v>
      </c>
      <c r="BJ21" s="32">
        <v>-0.1</v>
      </c>
      <c r="BK21" s="32">
        <v>0.03</v>
      </c>
      <c r="BL21" s="32">
        <v>0.13</v>
      </c>
      <c r="BM21" s="32">
        <v>0.42</v>
      </c>
      <c r="BN21" s="32">
        <v>0.17</v>
      </c>
      <c r="BO21" s="32">
        <v>0.12</v>
      </c>
      <c r="BP21" s="32">
        <v>0.01</v>
      </c>
      <c r="BQ21" s="32">
        <v>0.01</v>
      </c>
      <c r="BR21" s="32">
        <v>0.21</v>
      </c>
      <c r="BS21" s="32">
        <v>0.14000000000000001</v>
      </c>
      <c r="BT21" s="32">
        <v>0.09</v>
      </c>
      <c r="BU21" s="32">
        <v>0.01</v>
      </c>
      <c r="BV21" s="32">
        <v>0.04</v>
      </c>
      <c r="BW21" s="32">
        <v>0.23</v>
      </c>
      <c r="BX21" s="32">
        <v>0.22</v>
      </c>
      <c r="BY21" s="32">
        <v>0.24</v>
      </c>
      <c r="BZ21" s="32">
        <v>0.15</v>
      </c>
      <c r="CA21" s="32">
        <v>0.02</v>
      </c>
      <c r="CB21" s="32">
        <v>7.0000000000000007E-2</v>
      </c>
      <c r="CC21" s="32">
        <v>0.04</v>
      </c>
      <c r="CD21" s="32">
        <v>0.15</v>
      </c>
      <c r="CE21" s="32">
        <v>0.01</v>
      </c>
      <c r="CF21" s="32">
        <v>0.19</v>
      </c>
      <c r="CG21" s="32">
        <v>0.14000000000000001</v>
      </c>
      <c r="CH21" s="32">
        <v>0.03</v>
      </c>
      <c r="CI21" s="32">
        <v>0.18</v>
      </c>
      <c r="CJ21" s="32">
        <v>0.3</v>
      </c>
      <c r="CK21" s="32">
        <v>0.34</v>
      </c>
      <c r="CL21" s="32">
        <v>0.11</v>
      </c>
      <c r="CM21" s="32">
        <v>-0.18</v>
      </c>
      <c r="CN21" s="32">
        <v>-0.1</v>
      </c>
      <c r="CO21" s="32">
        <v>0.05</v>
      </c>
      <c r="CP21" s="32">
        <v>0.16</v>
      </c>
      <c r="CQ21" s="32">
        <v>0.12</v>
      </c>
      <c r="CR21" s="32">
        <v>-0.11</v>
      </c>
      <c r="CS21" s="32">
        <v>-0.04</v>
      </c>
      <c r="CT21" s="32">
        <v>0.01</v>
      </c>
      <c r="CU21" s="32">
        <v>0.05</v>
      </c>
      <c r="CV21" s="32">
        <v>0.02</v>
      </c>
      <c r="CW21" s="32">
        <v>0.13</v>
      </c>
      <c r="CX21" s="32">
        <v>0.05</v>
      </c>
      <c r="CY21" s="32">
        <v>0.13</v>
      </c>
      <c r="CZ21" s="32">
        <v>0.11</v>
      </c>
      <c r="DA21" s="32">
        <v>0.03</v>
      </c>
      <c r="DB21" s="32">
        <v>-0.04</v>
      </c>
      <c r="DC21" s="32">
        <v>-0.03</v>
      </c>
      <c r="DD21" s="32">
        <v>0.06</v>
      </c>
      <c r="DE21" s="32">
        <v>-0.06</v>
      </c>
      <c r="DF21" s="32">
        <v>0.06</v>
      </c>
      <c r="DG21" s="32">
        <v>0.02</v>
      </c>
      <c r="DH21" s="32">
        <v>-0.14000000000000001</v>
      </c>
      <c r="DI21" s="32">
        <v>0.12</v>
      </c>
      <c r="DJ21" s="32">
        <v>0.15</v>
      </c>
      <c r="DK21" s="32">
        <v>0.1</v>
      </c>
      <c r="DL21" s="32">
        <v>-0.05</v>
      </c>
      <c r="DM21" s="32">
        <v>0.18</v>
      </c>
      <c r="DN21" s="32">
        <v>0.16</v>
      </c>
      <c r="DO21" s="32">
        <v>0.03</v>
      </c>
      <c r="DP21" s="32">
        <v>0.12</v>
      </c>
      <c r="DQ21" s="32">
        <v>0.03</v>
      </c>
      <c r="DR21" s="32">
        <v>-0.06</v>
      </c>
      <c r="DS21" s="32">
        <v>0.05</v>
      </c>
      <c r="DT21" s="32">
        <v>-0.14000000000000001</v>
      </c>
      <c r="DU21" s="32">
        <v>-7.0000000000000007E-2</v>
      </c>
      <c r="DV21" s="32">
        <v>0.01</v>
      </c>
      <c r="DW21" s="32">
        <v>0.02</v>
      </c>
      <c r="DX21" s="32">
        <v>-0.23</v>
      </c>
      <c r="DY21" s="32">
        <v>0.01</v>
      </c>
      <c r="DZ21" s="32">
        <v>-0.05</v>
      </c>
      <c r="EA21" s="32">
        <v>0.01</v>
      </c>
      <c r="EB21" s="32">
        <v>-0.02</v>
      </c>
      <c r="EC21" s="32">
        <v>-0.12</v>
      </c>
      <c r="ED21" s="32">
        <v>-0.01</v>
      </c>
      <c r="EE21" s="32">
        <v>-0.14000000000000001</v>
      </c>
      <c r="EF21" s="32">
        <v>7.0000000000000007E-2</v>
      </c>
      <c r="EG21" s="32">
        <v>-0.11</v>
      </c>
      <c r="EH21" s="32">
        <v>0.02</v>
      </c>
      <c r="EI21" s="32">
        <v>-0.27</v>
      </c>
      <c r="EJ21" s="32">
        <v>0.06</v>
      </c>
      <c r="EK21" s="32">
        <v>-0.02</v>
      </c>
      <c r="EL21" s="32">
        <v>-0.14000000000000001</v>
      </c>
      <c r="EM21" s="32">
        <v>-7.0000000000000007E-2</v>
      </c>
      <c r="EN21" s="32">
        <v>0.1</v>
      </c>
      <c r="EO21" s="32">
        <v>0.03</v>
      </c>
    </row>
    <row r="22" spans="1:145" x14ac:dyDescent="0.25">
      <c r="A22" s="31" t="s">
        <v>98</v>
      </c>
      <c r="B22" s="32">
        <v>0</v>
      </c>
      <c r="C22" s="32">
        <v>0.06</v>
      </c>
      <c r="D22" s="32">
        <v>0.11</v>
      </c>
      <c r="E22" s="32">
        <v>0.24</v>
      </c>
      <c r="F22" s="32">
        <v>0.1</v>
      </c>
      <c r="G22" s="32">
        <v>-0.05</v>
      </c>
      <c r="H22" s="32">
        <v>0.25</v>
      </c>
      <c r="I22" s="32">
        <v>0.1</v>
      </c>
      <c r="J22" s="32">
        <v>0.14000000000000001</v>
      </c>
      <c r="K22" s="32">
        <v>0.18</v>
      </c>
      <c r="L22" s="32">
        <v>0.35</v>
      </c>
      <c r="M22" s="32">
        <v>0.12</v>
      </c>
      <c r="N22" s="32">
        <v>0.11</v>
      </c>
      <c r="O22" s="32">
        <v>0.25</v>
      </c>
      <c r="P22" s="32">
        <v>0.1</v>
      </c>
      <c r="Q22" s="32">
        <v>0.1</v>
      </c>
      <c r="R22" s="32">
        <v>0.1</v>
      </c>
      <c r="S22" s="32">
        <v>1</v>
      </c>
      <c r="T22" s="32">
        <v>-0.02</v>
      </c>
      <c r="U22" s="32">
        <v>0.35</v>
      </c>
      <c r="V22" s="32">
        <v>0.23</v>
      </c>
      <c r="W22" s="32">
        <v>0.22</v>
      </c>
      <c r="X22" s="32">
        <v>0.01</v>
      </c>
      <c r="Y22" s="32">
        <v>0.15</v>
      </c>
      <c r="Z22" s="32">
        <v>0.27</v>
      </c>
      <c r="AA22" s="32">
        <v>0.22</v>
      </c>
      <c r="AB22" s="32">
        <v>0.08</v>
      </c>
      <c r="AC22" s="32">
        <v>0.11</v>
      </c>
      <c r="AD22" s="32">
        <v>0.28000000000000003</v>
      </c>
      <c r="AE22" s="32">
        <v>0.23</v>
      </c>
      <c r="AF22" s="32">
        <v>0.3</v>
      </c>
      <c r="AG22" s="32">
        <v>0.11</v>
      </c>
      <c r="AH22" s="32">
        <v>0.08</v>
      </c>
      <c r="AI22" s="32">
        <v>-0.1</v>
      </c>
      <c r="AJ22" s="32">
        <v>0.17</v>
      </c>
      <c r="AK22" s="32">
        <v>0.21</v>
      </c>
      <c r="AL22" s="32">
        <v>0.03</v>
      </c>
      <c r="AM22" s="32">
        <v>0.15</v>
      </c>
      <c r="AN22" s="32">
        <v>0.18</v>
      </c>
      <c r="AO22" s="32">
        <v>0.1</v>
      </c>
      <c r="AP22" s="32">
        <v>0.1</v>
      </c>
      <c r="AQ22" s="32">
        <v>-0.14000000000000001</v>
      </c>
      <c r="AR22" s="32">
        <v>0.01</v>
      </c>
      <c r="AS22" s="32">
        <v>0.21</v>
      </c>
      <c r="AT22" s="32">
        <v>0.02</v>
      </c>
      <c r="AU22" s="32">
        <v>0.08</v>
      </c>
      <c r="AV22" s="32">
        <v>0.28999999999999998</v>
      </c>
      <c r="AW22" s="32">
        <v>0.32</v>
      </c>
      <c r="AX22" s="32">
        <v>0.16</v>
      </c>
      <c r="AY22" s="32">
        <v>0.04</v>
      </c>
      <c r="AZ22" s="32">
        <v>0.28000000000000003</v>
      </c>
      <c r="BA22" s="32">
        <v>0.12</v>
      </c>
      <c r="BB22" s="32">
        <v>-0.03</v>
      </c>
      <c r="BC22" s="32">
        <v>0.19</v>
      </c>
      <c r="BD22" s="32">
        <v>0.33</v>
      </c>
      <c r="BE22" s="32">
        <v>0.16</v>
      </c>
      <c r="BF22" s="32">
        <v>0.22</v>
      </c>
      <c r="BG22" s="32">
        <v>7.0000000000000007E-2</v>
      </c>
      <c r="BH22" s="32">
        <v>0.24</v>
      </c>
      <c r="BI22" s="32">
        <v>0.18</v>
      </c>
      <c r="BJ22" s="32">
        <v>0.1</v>
      </c>
      <c r="BK22" s="32">
        <v>0.22</v>
      </c>
      <c r="BL22" s="32">
        <v>7.0000000000000007E-2</v>
      </c>
      <c r="BM22" s="32">
        <v>0.11</v>
      </c>
      <c r="BN22" s="32">
        <v>0.11</v>
      </c>
      <c r="BO22" s="32">
        <v>0.13</v>
      </c>
      <c r="BP22" s="32">
        <v>0.1</v>
      </c>
      <c r="BQ22" s="32">
        <v>0.3</v>
      </c>
      <c r="BR22" s="32">
        <v>0.09</v>
      </c>
      <c r="BS22" s="32">
        <v>-0.13</v>
      </c>
      <c r="BT22" s="32">
        <v>0.17</v>
      </c>
      <c r="BU22" s="32">
        <v>0.2</v>
      </c>
      <c r="BV22" s="32">
        <v>7.0000000000000007E-2</v>
      </c>
      <c r="BW22" s="32">
        <v>0.1</v>
      </c>
      <c r="BX22" s="32">
        <v>0.17</v>
      </c>
      <c r="BY22" s="32">
        <v>-0.01</v>
      </c>
      <c r="BZ22" s="32">
        <v>0.11</v>
      </c>
      <c r="CA22" s="32">
        <v>0.23</v>
      </c>
      <c r="CB22" s="32">
        <v>-0.09</v>
      </c>
      <c r="CC22" s="32">
        <v>0.11</v>
      </c>
      <c r="CD22" s="32">
        <v>0.11</v>
      </c>
      <c r="CE22" s="32">
        <v>-0.03</v>
      </c>
      <c r="CF22" s="32">
        <v>-0.1</v>
      </c>
      <c r="CG22" s="32">
        <v>0.14000000000000001</v>
      </c>
      <c r="CH22" s="32">
        <v>0.15</v>
      </c>
      <c r="CI22" s="32">
        <v>-0.16</v>
      </c>
      <c r="CJ22" s="32">
        <v>0.08</v>
      </c>
      <c r="CK22" s="32">
        <v>0.09</v>
      </c>
      <c r="CL22" s="32">
        <v>-0.04</v>
      </c>
      <c r="CM22" s="32">
        <v>-0.01</v>
      </c>
      <c r="CN22" s="32">
        <v>0.06</v>
      </c>
      <c r="CO22" s="32">
        <v>0.14000000000000001</v>
      </c>
      <c r="CP22" s="32">
        <v>-0.01</v>
      </c>
      <c r="CQ22" s="32">
        <v>0.08</v>
      </c>
      <c r="CR22" s="32">
        <v>0.01</v>
      </c>
      <c r="CS22" s="32">
        <v>0.03</v>
      </c>
      <c r="CT22" s="32">
        <v>0.05</v>
      </c>
      <c r="CU22" s="32">
        <v>0.05</v>
      </c>
      <c r="CV22" s="32">
        <v>0.05</v>
      </c>
      <c r="CW22" s="32">
        <v>0.15</v>
      </c>
      <c r="CX22" s="32">
        <v>0.12</v>
      </c>
      <c r="CY22" s="32">
        <v>0.04</v>
      </c>
      <c r="CZ22" s="32">
        <v>0.11</v>
      </c>
      <c r="DA22" s="32">
        <v>0.1</v>
      </c>
      <c r="DB22" s="32">
        <v>0.03</v>
      </c>
      <c r="DC22" s="32">
        <v>0.09</v>
      </c>
      <c r="DD22" s="32">
        <v>0.13</v>
      </c>
      <c r="DE22" s="32">
        <v>-0.04</v>
      </c>
      <c r="DF22" s="32">
        <v>-0.04</v>
      </c>
      <c r="DG22" s="32">
        <v>0.14000000000000001</v>
      </c>
      <c r="DH22" s="32">
        <v>-0.01</v>
      </c>
      <c r="DI22" s="32">
        <v>0.11</v>
      </c>
      <c r="DJ22" s="32">
        <v>0.06</v>
      </c>
      <c r="DK22" s="32">
        <v>0.11</v>
      </c>
      <c r="DL22" s="32">
        <v>0.17</v>
      </c>
      <c r="DM22" s="32">
        <v>0.09</v>
      </c>
      <c r="DN22" s="32">
        <v>-0.01</v>
      </c>
      <c r="DO22" s="32">
        <v>0.09</v>
      </c>
      <c r="DP22" s="32">
        <v>0.05</v>
      </c>
      <c r="DQ22" s="32">
        <v>0.09</v>
      </c>
      <c r="DR22" s="32">
        <v>-0.08</v>
      </c>
      <c r="DS22" s="32">
        <v>0.02</v>
      </c>
      <c r="DT22" s="32">
        <v>-0.02</v>
      </c>
      <c r="DU22" s="32">
        <v>0.06</v>
      </c>
      <c r="DV22" s="32">
        <v>0.01</v>
      </c>
      <c r="DW22" s="32">
        <v>0.06</v>
      </c>
      <c r="DX22" s="32">
        <v>-7.0000000000000007E-2</v>
      </c>
      <c r="DY22" s="32">
        <v>0.04</v>
      </c>
      <c r="DZ22" s="32">
        <v>0.06</v>
      </c>
      <c r="EA22" s="32">
        <v>0.06</v>
      </c>
      <c r="EB22" s="32">
        <v>0</v>
      </c>
      <c r="EC22" s="32">
        <v>0.09</v>
      </c>
      <c r="ED22" s="32">
        <v>0.05</v>
      </c>
      <c r="EE22" s="32">
        <v>0.04</v>
      </c>
      <c r="EF22" s="32">
        <v>0.01</v>
      </c>
      <c r="EG22" s="32">
        <v>0.1</v>
      </c>
      <c r="EH22" s="32">
        <v>-0.08</v>
      </c>
      <c r="EI22" s="32">
        <v>0</v>
      </c>
      <c r="EJ22" s="32">
        <v>7.0000000000000007E-2</v>
      </c>
      <c r="EK22" s="32">
        <v>-0.05</v>
      </c>
      <c r="EL22" s="32">
        <v>0.01</v>
      </c>
      <c r="EM22" s="32">
        <v>0.03</v>
      </c>
      <c r="EN22" s="32">
        <v>7.0000000000000007E-2</v>
      </c>
      <c r="EO22" s="32">
        <v>-0.06</v>
      </c>
    </row>
    <row r="23" spans="1:145" x14ac:dyDescent="0.25">
      <c r="A23" s="31" t="s">
        <v>99</v>
      </c>
      <c r="B23" s="32">
        <v>0.25</v>
      </c>
      <c r="C23" s="32">
        <v>-0.01</v>
      </c>
      <c r="D23" s="32">
        <v>0.06</v>
      </c>
      <c r="E23" s="32">
        <v>0.13</v>
      </c>
      <c r="F23" s="32">
        <v>0.05</v>
      </c>
      <c r="G23" s="32">
        <v>0.01</v>
      </c>
      <c r="H23" s="32">
        <v>0.03</v>
      </c>
      <c r="I23" s="32">
        <v>0.15</v>
      </c>
      <c r="J23" s="32">
        <v>0.13</v>
      </c>
      <c r="K23" s="32">
        <v>0.13</v>
      </c>
      <c r="L23" s="32">
        <v>0.03</v>
      </c>
      <c r="M23" s="32">
        <v>0.36</v>
      </c>
      <c r="N23" s="32">
        <v>0.23</v>
      </c>
      <c r="O23" s="32">
        <v>0.06</v>
      </c>
      <c r="P23" s="32">
        <v>0.1</v>
      </c>
      <c r="Q23" s="32">
        <v>7.0000000000000007E-2</v>
      </c>
      <c r="R23" s="32">
        <v>0.13</v>
      </c>
      <c r="S23" s="32">
        <v>-0.02</v>
      </c>
      <c r="T23" s="32">
        <v>1</v>
      </c>
      <c r="U23" s="32">
        <v>0.15</v>
      </c>
      <c r="V23" s="32">
        <v>0.02</v>
      </c>
      <c r="W23" s="32">
        <v>0.09</v>
      </c>
      <c r="X23" s="32">
        <v>0.79</v>
      </c>
      <c r="Y23" s="32">
        <v>0.37</v>
      </c>
      <c r="Z23" s="32">
        <v>7.0000000000000007E-2</v>
      </c>
      <c r="AA23" s="32">
        <v>0.13</v>
      </c>
      <c r="AB23" s="32">
        <v>0.4</v>
      </c>
      <c r="AC23" s="32">
        <v>0.05</v>
      </c>
      <c r="AD23" s="32">
        <v>-0.05</v>
      </c>
      <c r="AE23" s="32">
        <v>0.17</v>
      </c>
      <c r="AF23" s="32">
        <v>0.08</v>
      </c>
      <c r="AG23" s="32">
        <v>7.0000000000000007E-2</v>
      </c>
      <c r="AH23" s="32">
        <v>0.08</v>
      </c>
      <c r="AI23" s="32">
        <v>0.04</v>
      </c>
      <c r="AJ23" s="32">
        <v>-0.05</v>
      </c>
      <c r="AK23" s="32">
        <v>0.15</v>
      </c>
      <c r="AL23" s="32">
        <v>0.31</v>
      </c>
      <c r="AM23" s="32">
        <v>0.2</v>
      </c>
      <c r="AN23" s="32">
        <v>0.28999999999999998</v>
      </c>
      <c r="AO23" s="32">
        <v>0.14000000000000001</v>
      </c>
      <c r="AP23" s="32">
        <v>0.26</v>
      </c>
      <c r="AQ23" s="32">
        <v>-0.01</v>
      </c>
      <c r="AR23" s="32">
        <v>0.81</v>
      </c>
      <c r="AS23" s="32">
        <v>0.1</v>
      </c>
      <c r="AT23" s="32">
        <v>0.62</v>
      </c>
      <c r="AU23" s="32">
        <v>0.08</v>
      </c>
      <c r="AV23" s="32">
        <v>0.14000000000000001</v>
      </c>
      <c r="AW23" s="32">
        <v>0.08</v>
      </c>
      <c r="AX23" s="32">
        <v>0.24</v>
      </c>
      <c r="AY23" s="32">
        <v>0.26</v>
      </c>
      <c r="AZ23" s="32">
        <v>0.14000000000000001</v>
      </c>
      <c r="BA23" s="32">
        <v>0.33</v>
      </c>
      <c r="BB23" s="32">
        <v>0.74</v>
      </c>
      <c r="BC23" s="32">
        <v>0.05</v>
      </c>
      <c r="BD23" s="32">
        <v>0.08</v>
      </c>
      <c r="BE23" s="32">
        <v>0.17</v>
      </c>
      <c r="BF23" s="32">
        <v>0.16</v>
      </c>
      <c r="BG23" s="32">
        <v>0.31</v>
      </c>
      <c r="BH23" s="32">
        <v>0.1</v>
      </c>
      <c r="BI23" s="32">
        <v>0.14000000000000001</v>
      </c>
      <c r="BJ23" s="32">
        <v>0.04</v>
      </c>
      <c r="BK23" s="32">
        <v>0.19</v>
      </c>
      <c r="BL23" s="32">
        <v>0.31</v>
      </c>
      <c r="BM23" s="32">
        <v>0.22</v>
      </c>
      <c r="BN23" s="32">
        <v>0.14000000000000001</v>
      </c>
      <c r="BO23" s="32">
        <v>0.24</v>
      </c>
      <c r="BP23" s="32">
        <v>0.15</v>
      </c>
      <c r="BQ23" s="32">
        <v>0.27</v>
      </c>
      <c r="BR23" s="32">
        <v>0.38</v>
      </c>
      <c r="BS23" s="32">
        <v>-0.01</v>
      </c>
      <c r="BT23" s="32">
        <v>0.46</v>
      </c>
      <c r="BU23" s="32">
        <v>0.17</v>
      </c>
      <c r="BV23" s="32">
        <v>0.25</v>
      </c>
      <c r="BW23" s="32">
        <v>0.22</v>
      </c>
      <c r="BX23" s="32">
        <v>0.14000000000000001</v>
      </c>
      <c r="BY23" s="32">
        <v>0.28999999999999998</v>
      </c>
      <c r="BZ23" s="32">
        <v>0.32</v>
      </c>
      <c r="CA23" s="32">
        <v>0.04</v>
      </c>
      <c r="CB23" s="32">
        <v>0.01</v>
      </c>
      <c r="CC23" s="32">
        <v>0.16</v>
      </c>
      <c r="CD23" s="32">
        <v>0.25</v>
      </c>
      <c r="CE23" s="32">
        <v>0.28000000000000003</v>
      </c>
      <c r="CF23" s="32">
        <v>0.01</v>
      </c>
      <c r="CG23" s="32">
        <v>0.38</v>
      </c>
      <c r="CH23" s="32">
        <v>0.19</v>
      </c>
      <c r="CI23" s="32">
        <v>-0.03</v>
      </c>
      <c r="CJ23" s="32">
        <v>0.09</v>
      </c>
      <c r="CK23" s="32">
        <v>0.22</v>
      </c>
      <c r="CL23" s="32">
        <v>0.22</v>
      </c>
      <c r="CM23" s="32">
        <v>0.17</v>
      </c>
      <c r="CN23" s="32">
        <v>7.0000000000000007E-2</v>
      </c>
      <c r="CO23" s="32">
        <v>0.08</v>
      </c>
      <c r="CP23" s="32">
        <v>0.14000000000000001</v>
      </c>
      <c r="CQ23" s="32">
        <v>0.47</v>
      </c>
      <c r="CR23" s="32">
        <v>0.19</v>
      </c>
      <c r="CS23" s="32">
        <v>0.33</v>
      </c>
      <c r="CT23" s="32">
        <v>0.25</v>
      </c>
      <c r="CU23" s="32">
        <v>0.13</v>
      </c>
      <c r="CV23" s="32">
        <v>0.22</v>
      </c>
      <c r="CW23" s="32">
        <v>0.25</v>
      </c>
      <c r="CX23" s="32">
        <v>0.36</v>
      </c>
      <c r="CY23" s="32">
        <v>0.43</v>
      </c>
      <c r="CZ23" s="32">
        <v>0.16</v>
      </c>
      <c r="DA23" s="32">
        <v>0.14000000000000001</v>
      </c>
      <c r="DB23" s="32">
        <v>0.19</v>
      </c>
      <c r="DC23" s="32">
        <v>0.32</v>
      </c>
      <c r="DD23" s="32">
        <v>0.26</v>
      </c>
      <c r="DE23" s="32">
        <v>0.23</v>
      </c>
      <c r="DF23" s="32">
        <v>0.08</v>
      </c>
      <c r="DG23" s="32">
        <v>0.17</v>
      </c>
      <c r="DH23" s="32">
        <v>0.17</v>
      </c>
      <c r="DI23" s="32">
        <v>0.39</v>
      </c>
      <c r="DJ23" s="32">
        <v>0.4</v>
      </c>
      <c r="DK23" s="32">
        <v>0.44</v>
      </c>
      <c r="DL23" s="32">
        <v>0.02</v>
      </c>
      <c r="DM23" s="32">
        <v>0.45</v>
      </c>
      <c r="DN23" s="32">
        <v>0.22</v>
      </c>
      <c r="DO23" s="32">
        <v>0.24</v>
      </c>
      <c r="DP23" s="32">
        <v>0.37</v>
      </c>
      <c r="DQ23" s="32">
        <v>0.13</v>
      </c>
      <c r="DR23" s="32">
        <v>0.22</v>
      </c>
      <c r="DS23" s="32">
        <v>0.25</v>
      </c>
      <c r="DT23" s="32">
        <v>0.15</v>
      </c>
      <c r="DU23" s="32">
        <v>0.32</v>
      </c>
      <c r="DV23" s="32">
        <v>0.11</v>
      </c>
      <c r="DW23" s="32">
        <v>0.23</v>
      </c>
      <c r="DX23" s="32">
        <v>0.21</v>
      </c>
      <c r="DY23" s="32">
        <v>0.35</v>
      </c>
      <c r="DZ23" s="32">
        <v>0.11</v>
      </c>
      <c r="EA23" s="32">
        <v>0.13</v>
      </c>
      <c r="EB23" s="32">
        <v>0.38</v>
      </c>
      <c r="EC23" s="32">
        <v>0.05</v>
      </c>
      <c r="ED23" s="32">
        <v>0.19</v>
      </c>
      <c r="EE23" s="32">
        <v>0.16</v>
      </c>
      <c r="EF23" s="32">
        <v>0.28000000000000003</v>
      </c>
      <c r="EG23" s="32">
        <v>0.14000000000000001</v>
      </c>
      <c r="EH23" s="32">
        <v>0.13</v>
      </c>
      <c r="EI23" s="32">
        <v>7.0000000000000007E-2</v>
      </c>
      <c r="EJ23" s="32">
        <v>0.2</v>
      </c>
      <c r="EK23" s="32">
        <v>0.2</v>
      </c>
      <c r="EL23" s="32">
        <v>0.22</v>
      </c>
      <c r="EM23" s="32">
        <v>7.0000000000000007E-2</v>
      </c>
      <c r="EN23" s="32">
        <v>7.0000000000000007E-2</v>
      </c>
      <c r="EO23" s="32">
        <v>0.06</v>
      </c>
    </row>
    <row r="24" spans="1:145" x14ac:dyDescent="0.25">
      <c r="A24" s="31" t="s">
        <v>100</v>
      </c>
      <c r="B24" s="32">
        <v>7.0000000000000007E-2</v>
      </c>
      <c r="C24" s="32">
        <v>0.13</v>
      </c>
      <c r="D24" s="32">
        <v>0.12</v>
      </c>
      <c r="E24" s="32">
        <v>0.31</v>
      </c>
      <c r="F24" s="32">
        <v>0.06</v>
      </c>
      <c r="G24" s="32">
        <v>0.08</v>
      </c>
      <c r="H24" s="32">
        <v>0.3</v>
      </c>
      <c r="I24" s="32">
        <v>0.06</v>
      </c>
      <c r="J24" s="32">
        <v>0.09</v>
      </c>
      <c r="K24" s="32">
        <v>0.1</v>
      </c>
      <c r="L24" s="32">
        <v>0.32</v>
      </c>
      <c r="M24" s="32">
        <v>0.28999999999999998</v>
      </c>
      <c r="N24" s="32">
        <v>0.13</v>
      </c>
      <c r="O24" s="32">
        <v>0.43</v>
      </c>
      <c r="P24" s="32">
        <v>0.12</v>
      </c>
      <c r="Q24" s="32">
        <v>-0.05</v>
      </c>
      <c r="R24" s="32">
        <v>7.0000000000000007E-2</v>
      </c>
      <c r="S24" s="32">
        <v>0.35</v>
      </c>
      <c r="T24" s="32">
        <v>0.15</v>
      </c>
      <c r="U24" s="32">
        <v>1</v>
      </c>
      <c r="V24" s="32">
        <v>0.3</v>
      </c>
      <c r="W24" s="32">
        <v>0.28000000000000003</v>
      </c>
      <c r="X24" s="32">
        <v>0.21</v>
      </c>
      <c r="Y24" s="32">
        <v>0.05</v>
      </c>
      <c r="Z24" s="32">
        <v>0.3</v>
      </c>
      <c r="AA24" s="32">
        <v>0.28999999999999998</v>
      </c>
      <c r="AB24" s="32">
        <v>0.04</v>
      </c>
      <c r="AC24" s="32">
        <v>0.25</v>
      </c>
      <c r="AD24" s="32">
        <v>0.27</v>
      </c>
      <c r="AE24" s="32">
        <v>0.33</v>
      </c>
      <c r="AF24" s="32">
        <v>0.42</v>
      </c>
      <c r="AG24" s="32">
        <v>7.0000000000000007E-2</v>
      </c>
      <c r="AH24" s="32">
        <v>0.09</v>
      </c>
      <c r="AI24" s="32">
        <v>-0.09</v>
      </c>
      <c r="AJ24" s="32">
        <v>0.31</v>
      </c>
      <c r="AK24" s="32">
        <v>0.54</v>
      </c>
      <c r="AL24" s="32">
        <v>0.11</v>
      </c>
      <c r="AM24" s="32">
        <v>0.28999999999999998</v>
      </c>
      <c r="AN24" s="32">
        <v>0.23</v>
      </c>
      <c r="AO24" s="32">
        <v>0.09</v>
      </c>
      <c r="AP24" s="32">
        <v>0.19</v>
      </c>
      <c r="AQ24" s="32">
        <v>-0.12</v>
      </c>
      <c r="AR24" s="32">
        <v>0.11</v>
      </c>
      <c r="AS24" s="32">
        <v>0.48</v>
      </c>
      <c r="AT24" s="32">
        <v>0.09</v>
      </c>
      <c r="AU24" s="32">
        <v>0.08</v>
      </c>
      <c r="AV24" s="32">
        <v>0.37</v>
      </c>
      <c r="AW24" s="32">
        <v>0.35</v>
      </c>
      <c r="AX24" s="32">
        <v>0.15</v>
      </c>
      <c r="AY24" s="32">
        <v>0.03</v>
      </c>
      <c r="AZ24" s="32">
        <v>0.28999999999999998</v>
      </c>
      <c r="BA24" s="32">
        <v>0.22</v>
      </c>
      <c r="BB24" s="32">
        <v>0.18</v>
      </c>
      <c r="BC24" s="32">
        <v>0.18</v>
      </c>
      <c r="BD24" s="32">
        <v>0.5</v>
      </c>
      <c r="BE24" s="32">
        <v>0.22</v>
      </c>
      <c r="BF24" s="32">
        <v>0.32</v>
      </c>
      <c r="BG24" s="32">
        <v>0.06</v>
      </c>
      <c r="BH24" s="32">
        <v>0.35</v>
      </c>
      <c r="BI24" s="32">
        <v>0.14000000000000001</v>
      </c>
      <c r="BJ24" s="32">
        <v>0.08</v>
      </c>
      <c r="BK24" s="32">
        <v>0.24</v>
      </c>
      <c r="BL24" s="32">
        <v>0.19</v>
      </c>
      <c r="BM24" s="32">
        <v>0.16</v>
      </c>
      <c r="BN24" s="32">
        <v>0.05</v>
      </c>
      <c r="BO24" s="32">
        <v>0.16</v>
      </c>
      <c r="BP24" s="32">
        <v>0.13</v>
      </c>
      <c r="BQ24" s="32">
        <v>0.34</v>
      </c>
      <c r="BR24" s="32">
        <v>0.13</v>
      </c>
      <c r="BS24" s="32">
        <v>-0.1</v>
      </c>
      <c r="BT24" s="32">
        <v>0.2</v>
      </c>
      <c r="BU24" s="32">
        <v>0.28999999999999998</v>
      </c>
      <c r="BV24" s="32">
        <v>0.17</v>
      </c>
      <c r="BW24" s="32">
        <v>0.14000000000000001</v>
      </c>
      <c r="BX24" s="32">
        <v>0.06</v>
      </c>
      <c r="BY24" s="32">
        <v>0.14000000000000001</v>
      </c>
      <c r="BZ24" s="32">
        <v>0.2</v>
      </c>
      <c r="CA24" s="32">
        <v>0.45</v>
      </c>
      <c r="CB24" s="32">
        <v>0.02</v>
      </c>
      <c r="CC24" s="32">
        <v>7.0000000000000007E-2</v>
      </c>
      <c r="CD24" s="32">
        <v>0.1</v>
      </c>
      <c r="CE24" s="32">
        <v>0.1</v>
      </c>
      <c r="CF24" s="32">
        <v>-0.09</v>
      </c>
      <c r="CG24" s="32">
        <v>0.12</v>
      </c>
      <c r="CH24" s="32">
        <v>0.41</v>
      </c>
      <c r="CI24" s="32">
        <v>-0.08</v>
      </c>
      <c r="CJ24" s="32">
        <v>0.13</v>
      </c>
      <c r="CK24" s="32">
        <v>0.12</v>
      </c>
      <c r="CL24" s="32">
        <v>0.14000000000000001</v>
      </c>
      <c r="CM24" s="32">
        <v>0.13</v>
      </c>
      <c r="CN24" s="32">
        <v>0.34</v>
      </c>
      <c r="CO24" s="32">
        <v>0.21</v>
      </c>
      <c r="CP24" s="32">
        <v>0.08</v>
      </c>
      <c r="CQ24" s="32">
        <v>0.17</v>
      </c>
      <c r="CR24" s="32">
        <v>0.18</v>
      </c>
      <c r="CS24" s="32">
        <v>0.19</v>
      </c>
      <c r="CT24" s="32">
        <v>0.28000000000000003</v>
      </c>
      <c r="CU24" s="32">
        <v>0.12</v>
      </c>
      <c r="CV24" s="32">
        <v>0.14000000000000001</v>
      </c>
      <c r="CW24" s="32">
        <v>0.2</v>
      </c>
      <c r="CX24" s="32">
        <v>0.21</v>
      </c>
      <c r="CY24" s="32">
        <v>0.1</v>
      </c>
      <c r="CZ24" s="32">
        <v>0.17</v>
      </c>
      <c r="DA24" s="32">
        <v>0.02</v>
      </c>
      <c r="DB24" s="32">
        <v>0.27</v>
      </c>
      <c r="DC24" s="32">
        <v>0.2</v>
      </c>
      <c r="DD24" s="32">
        <v>0.16</v>
      </c>
      <c r="DE24" s="32">
        <v>0.22</v>
      </c>
      <c r="DF24" s="32">
        <v>0.06</v>
      </c>
      <c r="DG24" s="32">
        <v>0.2</v>
      </c>
      <c r="DH24" s="32">
        <v>0.12</v>
      </c>
      <c r="DI24" s="32">
        <v>0.15</v>
      </c>
      <c r="DJ24" s="32">
        <v>7.0000000000000007E-2</v>
      </c>
      <c r="DK24" s="32">
        <v>0.15</v>
      </c>
      <c r="DL24" s="32">
        <v>0.31</v>
      </c>
      <c r="DM24" s="32">
        <v>0.16</v>
      </c>
      <c r="DN24" s="32">
        <v>0.06</v>
      </c>
      <c r="DO24" s="32">
        <v>0.1</v>
      </c>
      <c r="DP24" s="32">
        <v>0.13</v>
      </c>
      <c r="DQ24" s="32">
        <v>0.12</v>
      </c>
      <c r="DR24" s="32">
        <v>0.15</v>
      </c>
      <c r="DS24" s="32">
        <v>0.02</v>
      </c>
      <c r="DT24" s="32">
        <v>0.13</v>
      </c>
      <c r="DU24" s="32">
        <v>0.22</v>
      </c>
      <c r="DV24" s="32">
        <v>0.12</v>
      </c>
      <c r="DW24" s="32">
        <v>0.11</v>
      </c>
      <c r="DX24" s="32">
        <v>0.13</v>
      </c>
      <c r="DY24" s="32">
        <v>0.14000000000000001</v>
      </c>
      <c r="DZ24" s="32">
        <v>7.0000000000000007E-2</v>
      </c>
      <c r="EA24" s="32">
        <v>0.1</v>
      </c>
      <c r="EB24" s="32">
        <v>0.19</v>
      </c>
      <c r="EC24" s="32">
        <v>0.12</v>
      </c>
      <c r="ED24" s="32">
        <v>0.21</v>
      </c>
      <c r="EE24" s="32">
        <v>0.13</v>
      </c>
      <c r="EF24" s="32">
        <v>0.08</v>
      </c>
      <c r="EG24" s="32">
        <v>0.09</v>
      </c>
      <c r="EH24" s="32">
        <v>-0.03</v>
      </c>
      <c r="EI24" s="32">
        <v>0.02</v>
      </c>
      <c r="EJ24" s="32">
        <v>0.2</v>
      </c>
      <c r="EK24" s="32">
        <v>0.14000000000000001</v>
      </c>
      <c r="EL24" s="32">
        <v>0.21</v>
      </c>
      <c r="EM24" s="32">
        <v>0.09</v>
      </c>
      <c r="EN24" s="32">
        <v>0.19</v>
      </c>
      <c r="EO24" s="32">
        <v>0.08</v>
      </c>
    </row>
    <row r="25" spans="1:145" x14ac:dyDescent="0.25">
      <c r="A25" s="31" t="s">
        <v>101</v>
      </c>
      <c r="B25" s="32">
        <v>0.03</v>
      </c>
      <c r="C25" s="32">
        <v>0.16</v>
      </c>
      <c r="D25" s="32">
        <v>0.04</v>
      </c>
      <c r="E25" s="32">
        <v>0.31</v>
      </c>
      <c r="F25" s="32">
        <v>0.04</v>
      </c>
      <c r="G25" s="32">
        <v>0.14000000000000001</v>
      </c>
      <c r="H25" s="32">
        <v>0.37</v>
      </c>
      <c r="I25" s="32">
        <v>0.11</v>
      </c>
      <c r="J25" s="32">
        <v>-0.03</v>
      </c>
      <c r="K25" s="32">
        <v>0.15</v>
      </c>
      <c r="L25" s="32">
        <v>0.3</v>
      </c>
      <c r="M25" s="32">
        <v>0.28999999999999998</v>
      </c>
      <c r="N25" s="32">
        <v>0.02</v>
      </c>
      <c r="O25" s="32">
        <v>0.42</v>
      </c>
      <c r="P25" s="32">
        <v>0.02</v>
      </c>
      <c r="Q25" s="32">
        <v>-0.02</v>
      </c>
      <c r="R25" s="32">
        <v>0.09</v>
      </c>
      <c r="S25" s="32">
        <v>0.23</v>
      </c>
      <c r="T25" s="32">
        <v>0.02</v>
      </c>
      <c r="U25" s="32">
        <v>0.3</v>
      </c>
      <c r="V25" s="32">
        <v>1</v>
      </c>
      <c r="W25" s="32">
        <v>0.19</v>
      </c>
      <c r="X25" s="32">
        <v>0.04</v>
      </c>
      <c r="Y25" s="32">
        <v>7.0000000000000007E-2</v>
      </c>
      <c r="Z25" s="32">
        <v>0.33</v>
      </c>
      <c r="AA25" s="32">
        <v>0.26</v>
      </c>
      <c r="AB25" s="32">
        <v>0.03</v>
      </c>
      <c r="AC25" s="32">
        <v>0.28999999999999998</v>
      </c>
      <c r="AD25" s="32">
        <v>0.28000000000000003</v>
      </c>
      <c r="AE25" s="32">
        <v>0.26</v>
      </c>
      <c r="AF25" s="32">
        <v>0.42</v>
      </c>
      <c r="AG25" s="32">
        <v>0</v>
      </c>
      <c r="AH25" s="32">
        <v>-0.09</v>
      </c>
      <c r="AI25" s="32">
        <v>-0.18</v>
      </c>
      <c r="AJ25" s="32">
        <v>0.19</v>
      </c>
      <c r="AK25" s="32">
        <v>0.38</v>
      </c>
      <c r="AL25" s="32">
        <v>0.04</v>
      </c>
      <c r="AM25" s="32">
        <v>0.16</v>
      </c>
      <c r="AN25" s="32">
        <v>0.17</v>
      </c>
      <c r="AO25" s="32">
        <v>-0.03</v>
      </c>
      <c r="AP25" s="32">
        <v>0.13</v>
      </c>
      <c r="AQ25" s="32">
        <v>-0.08</v>
      </c>
      <c r="AR25" s="32">
        <v>-0.05</v>
      </c>
      <c r="AS25" s="32">
        <v>0.3</v>
      </c>
      <c r="AT25" s="32">
        <v>0.04</v>
      </c>
      <c r="AU25" s="32">
        <v>0.02</v>
      </c>
      <c r="AV25" s="32">
        <v>0.25</v>
      </c>
      <c r="AW25" s="32">
        <v>0.35</v>
      </c>
      <c r="AX25" s="32">
        <v>0.03</v>
      </c>
      <c r="AY25" s="32">
        <v>0.08</v>
      </c>
      <c r="AZ25" s="32">
        <v>0.27</v>
      </c>
      <c r="BA25" s="32">
        <v>0.09</v>
      </c>
      <c r="BB25" s="32">
        <v>0.04</v>
      </c>
      <c r="BC25" s="32">
        <v>0.13</v>
      </c>
      <c r="BD25" s="32">
        <v>0.23</v>
      </c>
      <c r="BE25" s="32">
        <v>0.03</v>
      </c>
      <c r="BF25" s="32">
        <v>0.28000000000000003</v>
      </c>
      <c r="BG25" s="32">
        <v>-0.03</v>
      </c>
      <c r="BH25" s="32">
        <v>0.24</v>
      </c>
      <c r="BI25" s="32">
        <v>0.23</v>
      </c>
      <c r="BJ25" s="32">
        <v>0</v>
      </c>
      <c r="BK25" s="32">
        <v>0.18</v>
      </c>
      <c r="BL25" s="32">
        <v>0.15</v>
      </c>
      <c r="BM25" s="32">
        <v>0.12</v>
      </c>
      <c r="BN25" s="32">
        <v>0.01</v>
      </c>
      <c r="BO25" s="32">
        <v>-0.04</v>
      </c>
      <c r="BP25" s="32">
        <v>0.03</v>
      </c>
      <c r="BQ25" s="32">
        <v>0.28000000000000003</v>
      </c>
      <c r="BR25" s="32">
        <v>0.09</v>
      </c>
      <c r="BS25" s="32">
        <v>-0.09</v>
      </c>
      <c r="BT25" s="32">
        <v>0.06</v>
      </c>
      <c r="BU25" s="32">
        <v>0.11</v>
      </c>
      <c r="BV25" s="32">
        <v>0.05</v>
      </c>
      <c r="BW25" s="32">
        <v>0.04</v>
      </c>
      <c r="BX25" s="32">
        <v>-0.09</v>
      </c>
      <c r="BY25" s="32">
        <v>0.15</v>
      </c>
      <c r="BZ25" s="32">
        <v>0.08</v>
      </c>
      <c r="CA25" s="32">
        <v>0.44</v>
      </c>
      <c r="CB25" s="32">
        <v>-0.12</v>
      </c>
      <c r="CC25" s="32">
        <v>-0.03</v>
      </c>
      <c r="CD25" s="32">
        <v>0</v>
      </c>
      <c r="CE25" s="32">
        <v>0.05</v>
      </c>
      <c r="CF25" s="32">
        <v>-0.1</v>
      </c>
      <c r="CG25" s="32">
        <v>0</v>
      </c>
      <c r="CH25" s="32">
        <v>0.39</v>
      </c>
      <c r="CI25" s="32">
        <v>-0.14000000000000001</v>
      </c>
      <c r="CJ25" s="32">
        <v>-0.05</v>
      </c>
      <c r="CK25" s="32">
        <v>0.1</v>
      </c>
      <c r="CL25" s="32">
        <v>0.1</v>
      </c>
      <c r="CM25" s="32">
        <v>-0.02</v>
      </c>
      <c r="CN25" s="32">
        <v>0.19</v>
      </c>
      <c r="CO25" s="32">
        <v>0.18</v>
      </c>
      <c r="CP25" s="32">
        <v>-0.11</v>
      </c>
      <c r="CQ25" s="32">
        <v>0.09</v>
      </c>
      <c r="CR25" s="32">
        <v>7.0000000000000007E-2</v>
      </c>
      <c r="CS25" s="32">
        <v>0.02</v>
      </c>
      <c r="CT25" s="32">
        <v>0.19</v>
      </c>
      <c r="CU25" s="32">
        <v>7.0000000000000007E-2</v>
      </c>
      <c r="CV25" s="32">
        <v>0.13</v>
      </c>
      <c r="CW25" s="32">
        <v>7.0000000000000007E-2</v>
      </c>
      <c r="CX25" s="32">
        <v>0.02</v>
      </c>
      <c r="CY25" s="32">
        <v>0.12</v>
      </c>
      <c r="CZ25" s="32">
        <v>-0.03</v>
      </c>
      <c r="DA25" s="32">
        <v>0</v>
      </c>
      <c r="DB25" s="32">
        <v>0.13</v>
      </c>
      <c r="DC25" s="32">
        <v>0.22</v>
      </c>
      <c r="DD25" s="32">
        <v>0.16</v>
      </c>
      <c r="DE25" s="32">
        <v>0.15</v>
      </c>
      <c r="DF25" s="32">
        <v>-0.05</v>
      </c>
      <c r="DG25" s="32">
        <v>0.24</v>
      </c>
      <c r="DH25" s="32">
        <v>0</v>
      </c>
      <c r="DI25" s="32">
        <v>0.1</v>
      </c>
      <c r="DJ25" s="32">
        <v>0.1</v>
      </c>
      <c r="DK25" s="32">
        <v>0.11</v>
      </c>
      <c r="DL25" s="32">
        <v>0.33</v>
      </c>
      <c r="DM25" s="32">
        <v>0.2</v>
      </c>
      <c r="DN25" s="32">
        <v>0.16</v>
      </c>
      <c r="DO25" s="32">
        <v>0.08</v>
      </c>
      <c r="DP25" s="32">
        <v>0.09</v>
      </c>
      <c r="DQ25" s="32">
        <v>0.06</v>
      </c>
      <c r="DR25" s="32">
        <v>0.05</v>
      </c>
      <c r="DS25" s="32">
        <v>-7.0000000000000007E-2</v>
      </c>
      <c r="DT25" s="32">
        <v>0.02</v>
      </c>
      <c r="DU25" s="32">
        <v>0.05</v>
      </c>
      <c r="DV25" s="32">
        <v>0</v>
      </c>
      <c r="DW25" s="32">
        <v>-0.03</v>
      </c>
      <c r="DX25" s="32">
        <v>0.03</v>
      </c>
      <c r="DY25" s="32">
        <v>0.1</v>
      </c>
      <c r="DZ25" s="32">
        <v>-0.1</v>
      </c>
      <c r="EA25" s="32">
        <v>0.06</v>
      </c>
      <c r="EB25" s="32">
        <v>0.05</v>
      </c>
      <c r="EC25" s="32">
        <v>0.16</v>
      </c>
      <c r="ED25" s="32">
        <v>0.16</v>
      </c>
      <c r="EE25" s="32">
        <v>0.04</v>
      </c>
      <c r="EF25" s="32">
        <v>7.0000000000000007E-2</v>
      </c>
      <c r="EG25" s="32">
        <v>0</v>
      </c>
      <c r="EH25" s="32">
        <v>-0.08</v>
      </c>
      <c r="EI25" s="32">
        <v>-0.02</v>
      </c>
      <c r="EJ25" s="32">
        <v>0.06</v>
      </c>
      <c r="EK25" s="32">
        <v>0.04</v>
      </c>
      <c r="EL25" s="32">
        <v>0.11</v>
      </c>
      <c r="EM25" s="32">
        <v>-0.1</v>
      </c>
      <c r="EN25" s="32">
        <v>-0.01</v>
      </c>
      <c r="EO25" s="32">
        <v>0</v>
      </c>
    </row>
    <row r="26" spans="1:145" x14ac:dyDescent="0.25">
      <c r="A26" s="31" t="s">
        <v>102</v>
      </c>
      <c r="B26" s="32">
        <v>0.02</v>
      </c>
      <c r="C26" s="32">
        <v>0.14000000000000001</v>
      </c>
      <c r="D26" s="32">
        <v>-0.04</v>
      </c>
      <c r="E26" s="32">
        <v>0.27</v>
      </c>
      <c r="F26" s="32">
        <v>0.13</v>
      </c>
      <c r="G26" s="32">
        <v>0.04</v>
      </c>
      <c r="H26" s="32">
        <v>0.15</v>
      </c>
      <c r="I26" s="32">
        <v>0.18</v>
      </c>
      <c r="J26" s="32">
        <v>0.15</v>
      </c>
      <c r="K26" s="32">
        <v>0.19</v>
      </c>
      <c r="L26" s="32">
        <v>0.19</v>
      </c>
      <c r="M26" s="32">
        <v>0.16</v>
      </c>
      <c r="N26" s="32">
        <v>7.0000000000000007E-2</v>
      </c>
      <c r="O26" s="32">
        <v>0.33</v>
      </c>
      <c r="P26" s="32">
        <v>0.19</v>
      </c>
      <c r="Q26" s="32">
        <v>0.02</v>
      </c>
      <c r="R26" s="32">
        <v>0.17</v>
      </c>
      <c r="S26" s="32">
        <v>0.22</v>
      </c>
      <c r="T26" s="32">
        <v>0.09</v>
      </c>
      <c r="U26" s="32">
        <v>0.28000000000000003</v>
      </c>
      <c r="V26" s="32">
        <v>0.19</v>
      </c>
      <c r="W26" s="32">
        <v>1</v>
      </c>
      <c r="X26" s="32">
        <v>0.12</v>
      </c>
      <c r="Y26" s="32">
        <v>0.03</v>
      </c>
      <c r="Z26" s="32">
        <v>0.22</v>
      </c>
      <c r="AA26" s="32">
        <v>0.46</v>
      </c>
      <c r="AB26" s="32">
        <v>0.03</v>
      </c>
      <c r="AC26" s="32">
        <v>0.14000000000000001</v>
      </c>
      <c r="AD26" s="32">
        <v>0.36</v>
      </c>
      <c r="AE26" s="32">
        <v>0.15</v>
      </c>
      <c r="AF26" s="32">
        <v>0.33</v>
      </c>
      <c r="AG26" s="32">
        <v>0.08</v>
      </c>
      <c r="AH26" s="32">
        <v>0.1</v>
      </c>
      <c r="AI26" s="32">
        <v>0.03</v>
      </c>
      <c r="AJ26" s="32">
        <v>0.13</v>
      </c>
      <c r="AK26" s="32">
        <v>0.32</v>
      </c>
      <c r="AL26" s="32">
        <v>0.02</v>
      </c>
      <c r="AM26" s="32">
        <v>0.12</v>
      </c>
      <c r="AN26" s="32">
        <v>7.0000000000000007E-2</v>
      </c>
      <c r="AO26" s="32">
        <v>0.1</v>
      </c>
      <c r="AP26" s="32">
        <v>0.1</v>
      </c>
      <c r="AQ26" s="32">
        <v>0.05</v>
      </c>
      <c r="AR26" s="32">
        <v>0.1</v>
      </c>
      <c r="AS26" s="32">
        <v>0.22</v>
      </c>
      <c r="AT26" s="32">
        <v>0.11</v>
      </c>
      <c r="AU26" s="32">
        <v>0.14000000000000001</v>
      </c>
      <c r="AV26" s="32">
        <v>0.38</v>
      </c>
      <c r="AW26" s="32">
        <v>0.24</v>
      </c>
      <c r="AX26" s="32">
        <v>0.14000000000000001</v>
      </c>
      <c r="AY26" s="32">
        <v>0.15</v>
      </c>
      <c r="AZ26" s="32">
        <v>0.13</v>
      </c>
      <c r="BA26" s="32">
        <v>0.06</v>
      </c>
      <c r="BB26" s="32">
        <v>0.09</v>
      </c>
      <c r="BC26" s="32">
        <v>0.11</v>
      </c>
      <c r="BD26" s="32">
        <v>0.26</v>
      </c>
      <c r="BE26" s="32">
        <v>0.1</v>
      </c>
      <c r="BF26" s="32">
        <v>0.22</v>
      </c>
      <c r="BG26" s="32">
        <v>-0.1</v>
      </c>
      <c r="BH26" s="32">
        <v>0.17</v>
      </c>
      <c r="BI26" s="32">
        <v>0.06</v>
      </c>
      <c r="BJ26" s="32">
        <v>0.01</v>
      </c>
      <c r="BK26" s="32">
        <v>0.16</v>
      </c>
      <c r="BL26" s="32">
        <v>0.05</v>
      </c>
      <c r="BM26" s="32">
        <v>0.08</v>
      </c>
      <c r="BN26" s="32">
        <v>0.17</v>
      </c>
      <c r="BO26" s="32">
        <v>0.13</v>
      </c>
      <c r="BP26" s="32">
        <v>0.05</v>
      </c>
      <c r="BQ26" s="32">
        <v>0.31</v>
      </c>
      <c r="BR26" s="32">
        <v>0.08</v>
      </c>
      <c r="BS26" s="32">
        <v>-0.04</v>
      </c>
      <c r="BT26" s="32">
        <v>0.06</v>
      </c>
      <c r="BU26" s="32">
        <v>0.14000000000000001</v>
      </c>
      <c r="BV26" s="32">
        <v>0.02</v>
      </c>
      <c r="BW26" s="32">
        <v>0.12</v>
      </c>
      <c r="BX26" s="32">
        <v>0.03</v>
      </c>
      <c r="BY26" s="32">
        <v>0.02</v>
      </c>
      <c r="BZ26" s="32">
        <v>0.11</v>
      </c>
      <c r="CA26" s="32">
        <v>0.18</v>
      </c>
      <c r="CB26" s="32">
        <v>0.02</v>
      </c>
      <c r="CC26" s="32">
        <v>0.15</v>
      </c>
      <c r="CD26" s="32">
        <v>0.02</v>
      </c>
      <c r="CE26" s="32">
        <v>0.06</v>
      </c>
      <c r="CF26" s="32">
        <v>-0.01</v>
      </c>
      <c r="CG26" s="32">
        <v>-0.03</v>
      </c>
      <c r="CH26" s="32">
        <v>0.25</v>
      </c>
      <c r="CI26" s="32">
        <v>-0.03</v>
      </c>
      <c r="CJ26" s="32">
        <v>0.02</v>
      </c>
      <c r="CK26" s="32">
        <v>0.02</v>
      </c>
      <c r="CL26" s="32">
        <v>-7.0000000000000007E-2</v>
      </c>
      <c r="CM26" s="32">
        <v>-0.12</v>
      </c>
      <c r="CN26" s="32">
        <v>0.14000000000000001</v>
      </c>
      <c r="CO26" s="32">
        <v>0.13</v>
      </c>
      <c r="CP26" s="32">
        <v>0.12</v>
      </c>
      <c r="CQ26" s="32">
        <v>7.0000000000000007E-2</v>
      </c>
      <c r="CR26" s="32">
        <v>0.02</v>
      </c>
      <c r="CS26" s="32">
        <v>0.16</v>
      </c>
      <c r="CT26" s="32">
        <v>0.14000000000000001</v>
      </c>
      <c r="CU26" s="32">
        <v>0.01</v>
      </c>
      <c r="CV26" s="32">
        <v>-0.04</v>
      </c>
      <c r="CW26" s="32">
        <v>0.08</v>
      </c>
      <c r="CX26" s="32">
        <v>0.19</v>
      </c>
      <c r="CY26" s="32">
        <v>0.05</v>
      </c>
      <c r="CZ26" s="32">
        <v>-0.04</v>
      </c>
      <c r="DA26" s="32">
        <v>-0.12</v>
      </c>
      <c r="DB26" s="32">
        <v>0.16</v>
      </c>
      <c r="DC26" s="32">
        <v>0.14000000000000001</v>
      </c>
      <c r="DD26" s="32">
        <v>-0.04</v>
      </c>
      <c r="DE26" s="32">
        <v>0.13</v>
      </c>
      <c r="DF26" s="32">
        <v>-0.13</v>
      </c>
      <c r="DG26" s="32">
        <v>0.13</v>
      </c>
      <c r="DH26" s="32">
        <v>-0.02</v>
      </c>
      <c r="DI26" s="32">
        <v>0.11</v>
      </c>
      <c r="DJ26" s="32">
        <v>-0.03</v>
      </c>
      <c r="DK26" s="32">
        <v>0.08</v>
      </c>
      <c r="DL26" s="32">
        <v>0.08</v>
      </c>
      <c r="DM26" s="32">
        <v>0.08</v>
      </c>
      <c r="DN26" s="32">
        <v>0.04</v>
      </c>
      <c r="DO26" s="32">
        <v>0.09</v>
      </c>
      <c r="DP26" s="32">
        <v>-0.03</v>
      </c>
      <c r="DQ26" s="32">
        <v>0.03</v>
      </c>
      <c r="DR26" s="32">
        <v>0.09</v>
      </c>
      <c r="DS26" s="32">
        <v>0.02</v>
      </c>
      <c r="DT26" s="32">
        <v>-0.06</v>
      </c>
      <c r="DU26" s="32">
        <v>0.14000000000000001</v>
      </c>
      <c r="DV26" s="32">
        <v>0.08</v>
      </c>
      <c r="DW26" s="32">
        <v>0.03</v>
      </c>
      <c r="DX26" s="32">
        <v>0.1</v>
      </c>
      <c r="DY26" s="32">
        <v>0.06</v>
      </c>
      <c r="DZ26" s="32">
        <v>0.02</v>
      </c>
      <c r="EA26" s="32">
        <v>0.06</v>
      </c>
      <c r="EB26" s="32">
        <v>0.04</v>
      </c>
      <c r="EC26" s="32">
        <v>-0.02</v>
      </c>
      <c r="ED26" s="32">
        <v>0.14000000000000001</v>
      </c>
      <c r="EE26" s="32">
        <v>0.06</v>
      </c>
      <c r="EF26" s="32">
        <v>0.05</v>
      </c>
      <c r="EG26" s="32">
        <v>0.09</v>
      </c>
      <c r="EH26" s="32">
        <v>-0.03</v>
      </c>
      <c r="EI26" s="32">
        <v>0.02</v>
      </c>
      <c r="EJ26" s="32">
        <v>0</v>
      </c>
      <c r="EK26" s="32">
        <v>0.12</v>
      </c>
      <c r="EL26" s="32">
        <v>0.12</v>
      </c>
      <c r="EM26" s="32">
        <v>0.01</v>
      </c>
      <c r="EN26" s="32">
        <v>0.11</v>
      </c>
      <c r="EO26" s="32">
        <v>-0.01</v>
      </c>
    </row>
    <row r="27" spans="1:145" x14ac:dyDescent="0.25">
      <c r="A27" s="31" t="s">
        <v>103</v>
      </c>
      <c r="B27" s="32">
        <v>0.33</v>
      </c>
      <c r="C27" s="32">
        <v>0.03</v>
      </c>
      <c r="D27" s="32">
        <v>0.02</v>
      </c>
      <c r="E27" s="32">
        <v>0.14000000000000001</v>
      </c>
      <c r="F27" s="32">
        <v>0.03</v>
      </c>
      <c r="G27" s="32">
        <v>-0.03</v>
      </c>
      <c r="H27" s="32">
        <v>0.06</v>
      </c>
      <c r="I27" s="32">
        <v>0.16</v>
      </c>
      <c r="J27" s="32">
        <v>0.16</v>
      </c>
      <c r="K27" s="32">
        <v>0.13</v>
      </c>
      <c r="L27" s="32">
        <v>0.05</v>
      </c>
      <c r="M27" s="32">
        <v>0.34</v>
      </c>
      <c r="N27" s="32">
        <v>0.23</v>
      </c>
      <c r="O27" s="32">
        <v>0.19</v>
      </c>
      <c r="P27" s="32">
        <v>0.09</v>
      </c>
      <c r="Q27" s="32">
        <v>0.03</v>
      </c>
      <c r="R27" s="32">
        <v>0.12</v>
      </c>
      <c r="S27" s="32">
        <v>0.01</v>
      </c>
      <c r="T27" s="32">
        <v>0.79</v>
      </c>
      <c r="U27" s="32">
        <v>0.21</v>
      </c>
      <c r="V27" s="32">
        <v>0.04</v>
      </c>
      <c r="W27" s="32">
        <v>0.12</v>
      </c>
      <c r="X27" s="32">
        <v>1</v>
      </c>
      <c r="Y27" s="32">
        <v>0.4</v>
      </c>
      <c r="Z27" s="32">
        <v>0.1</v>
      </c>
      <c r="AA27" s="32">
        <v>0.15</v>
      </c>
      <c r="AB27" s="32">
        <v>0.4</v>
      </c>
      <c r="AC27" s="32">
        <v>0.1</v>
      </c>
      <c r="AD27" s="32">
        <v>0.03</v>
      </c>
      <c r="AE27" s="32">
        <v>0.14000000000000001</v>
      </c>
      <c r="AF27" s="32">
        <v>0.15</v>
      </c>
      <c r="AG27" s="32">
        <v>0.12</v>
      </c>
      <c r="AH27" s="32">
        <v>0.16</v>
      </c>
      <c r="AI27" s="32">
        <v>7.0000000000000007E-2</v>
      </c>
      <c r="AJ27" s="32">
        <v>0.04</v>
      </c>
      <c r="AK27" s="32">
        <v>0.2</v>
      </c>
      <c r="AL27" s="32">
        <v>0.25</v>
      </c>
      <c r="AM27" s="32">
        <v>0.26</v>
      </c>
      <c r="AN27" s="32">
        <v>0.3</v>
      </c>
      <c r="AO27" s="32">
        <v>0.13</v>
      </c>
      <c r="AP27" s="32">
        <v>0.3</v>
      </c>
      <c r="AQ27" s="32">
        <v>-0.01</v>
      </c>
      <c r="AR27" s="32">
        <v>0.75</v>
      </c>
      <c r="AS27" s="32">
        <v>0.12</v>
      </c>
      <c r="AT27" s="32">
        <v>0.56999999999999995</v>
      </c>
      <c r="AU27" s="32">
        <v>0.08</v>
      </c>
      <c r="AV27" s="32">
        <v>0.15</v>
      </c>
      <c r="AW27" s="32">
        <v>0.1</v>
      </c>
      <c r="AX27" s="32">
        <v>0.28999999999999998</v>
      </c>
      <c r="AY27" s="32">
        <v>0.27</v>
      </c>
      <c r="AZ27" s="32">
        <v>0.15</v>
      </c>
      <c r="BA27" s="32">
        <v>0.38</v>
      </c>
      <c r="BB27" s="32">
        <v>0.7</v>
      </c>
      <c r="BC27" s="32">
        <v>0.14000000000000001</v>
      </c>
      <c r="BD27" s="32">
        <v>0.16</v>
      </c>
      <c r="BE27" s="32">
        <v>0.22</v>
      </c>
      <c r="BF27" s="32">
        <v>0.12</v>
      </c>
      <c r="BG27" s="32">
        <v>0.27</v>
      </c>
      <c r="BH27" s="32">
        <v>0.14000000000000001</v>
      </c>
      <c r="BI27" s="32">
        <v>0.12</v>
      </c>
      <c r="BJ27" s="32">
        <v>0.01</v>
      </c>
      <c r="BK27" s="32">
        <v>0.14000000000000001</v>
      </c>
      <c r="BL27" s="32">
        <v>0.33</v>
      </c>
      <c r="BM27" s="32">
        <v>0.19</v>
      </c>
      <c r="BN27" s="32">
        <v>0.2</v>
      </c>
      <c r="BO27" s="32">
        <v>0.26</v>
      </c>
      <c r="BP27" s="32">
        <v>0.12</v>
      </c>
      <c r="BQ27" s="32">
        <v>0.31</v>
      </c>
      <c r="BR27" s="32">
        <v>0.31</v>
      </c>
      <c r="BS27" s="32">
        <v>-0.02</v>
      </c>
      <c r="BT27" s="32">
        <v>0.47</v>
      </c>
      <c r="BU27" s="32">
        <v>0.18</v>
      </c>
      <c r="BV27" s="32">
        <v>0.23</v>
      </c>
      <c r="BW27" s="32">
        <v>0.17</v>
      </c>
      <c r="BX27" s="32">
        <v>0.17</v>
      </c>
      <c r="BY27" s="32">
        <v>0.31</v>
      </c>
      <c r="BZ27" s="32">
        <v>0.32</v>
      </c>
      <c r="CA27" s="32">
        <v>0.05</v>
      </c>
      <c r="CB27" s="32">
        <v>0.01</v>
      </c>
      <c r="CC27" s="32">
        <v>0.2</v>
      </c>
      <c r="CD27" s="32">
        <v>0.2</v>
      </c>
      <c r="CE27" s="32">
        <v>0.27</v>
      </c>
      <c r="CF27" s="32">
        <v>-0.02</v>
      </c>
      <c r="CG27" s="32">
        <v>0.31</v>
      </c>
      <c r="CH27" s="32">
        <v>0.24</v>
      </c>
      <c r="CI27" s="32">
        <v>0</v>
      </c>
      <c r="CJ27" s="32">
        <v>0.1</v>
      </c>
      <c r="CK27" s="32">
        <v>0.19</v>
      </c>
      <c r="CL27" s="32">
        <v>0.2</v>
      </c>
      <c r="CM27" s="32">
        <v>0.19</v>
      </c>
      <c r="CN27" s="32">
        <v>0.1</v>
      </c>
      <c r="CO27" s="32">
        <v>0.1</v>
      </c>
      <c r="CP27" s="32">
        <v>0.13</v>
      </c>
      <c r="CQ27" s="32">
        <v>0.5</v>
      </c>
      <c r="CR27" s="32">
        <v>0.21</v>
      </c>
      <c r="CS27" s="32">
        <v>0.43</v>
      </c>
      <c r="CT27" s="32">
        <v>0.27</v>
      </c>
      <c r="CU27" s="32">
        <v>0.13</v>
      </c>
      <c r="CV27" s="32">
        <v>0.2</v>
      </c>
      <c r="CW27" s="32">
        <v>0.23</v>
      </c>
      <c r="CX27" s="32">
        <v>0.37</v>
      </c>
      <c r="CY27" s="32">
        <v>0.44</v>
      </c>
      <c r="CZ27" s="32">
        <v>0.14000000000000001</v>
      </c>
      <c r="DA27" s="32">
        <v>0.14000000000000001</v>
      </c>
      <c r="DB27" s="32">
        <v>0.18</v>
      </c>
      <c r="DC27" s="32">
        <v>0.26</v>
      </c>
      <c r="DD27" s="32">
        <v>0.33</v>
      </c>
      <c r="DE27" s="32">
        <v>0.28000000000000003</v>
      </c>
      <c r="DF27" s="32">
        <v>0.09</v>
      </c>
      <c r="DG27" s="32">
        <v>0.23</v>
      </c>
      <c r="DH27" s="32">
        <v>0.19</v>
      </c>
      <c r="DI27" s="32">
        <v>0.4</v>
      </c>
      <c r="DJ27" s="32">
        <v>0.39</v>
      </c>
      <c r="DK27" s="32">
        <v>0.47</v>
      </c>
      <c r="DL27" s="32">
        <v>7.0000000000000007E-2</v>
      </c>
      <c r="DM27" s="32">
        <v>0.46</v>
      </c>
      <c r="DN27" s="32">
        <v>0.24</v>
      </c>
      <c r="DO27" s="32">
        <v>0.26</v>
      </c>
      <c r="DP27" s="32">
        <v>0.37</v>
      </c>
      <c r="DQ27" s="32">
        <v>0.19</v>
      </c>
      <c r="DR27" s="32">
        <v>0.25</v>
      </c>
      <c r="DS27" s="32">
        <v>0.13</v>
      </c>
      <c r="DT27" s="32">
        <v>0.15</v>
      </c>
      <c r="DU27" s="32">
        <v>0.37</v>
      </c>
      <c r="DV27" s="32">
        <v>0.18</v>
      </c>
      <c r="DW27" s="32">
        <v>0.21</v>
      </c>
      <c r="DX27" s="32">
        <v>0.27</v>
      </c>
      <c r="DY27" s="32">
        <v>0.31</v>
      </c>
      <c r="DZ27" s="32">
        <v>0.1</v>
      </c>
      <c r="EA27" s="32">
        <v>0.09</v>
      </c>
      <c r="EB27" s="32">
        <v>0.31</v>
      </c>
      <c r="EC27" s="32">
        <v>7.0000000000000007E-2</v>
      </c>
      <c r="ED27" s="32">
        <v>0.2</v>
      </c>
      <c r="EE27" s="32">
        <v>0.2</v>
      </c>
      <c r="EF27" s="32">
        <v>0.28999999999999998</v>
      </c>
      <c r="EG27" s="32">
        <v>0.14000000000000001</v>
      </c>
      <c r="EH27" s="32">
        <v>0.05</v>
      </c>
      <c r="EI27" s="32">
        <v>0.09</v>
      </c>
      <c r="EJ27" s="32">
        <v>0.19</v>
      </c>
      <c r="EK27" s="32">
        <v>0.3</v>
      </c>
      <c r="EL27" s="32">
        <v>0.27</v>
      </c>
      <c r="EM27" s="32">
        <v>0.11</v>
      </c>
      <c r="EN27" s="32">
        <v>0.08</v>
      </c>
      <c r="EO27" s="32">
        <v>0.08</v>
      </c>
    </row>
    <row r="28" spans="1:145" x14ac:dyDescent="0.25">
      <c r="A28" s="31" t="s">
        <v>104</v>
      </c>
      <c r="B28" s="32">
        <v>0.45</v>
      </c>
      <c r="C28" s="32">
        <v>0.1</v>
      </c>
      <c r="D28" s="32">
        <v>0</v>
      </c>
      <c r="E28" s="32">
        <v>0.04</v>
      </c>
      <c r="F28" s="32">
        <v>0.3</v>
      </c>
      <c r="G28" s="32">
        <v>-0.05</v>
      </c>
      <c r="H28" s="32">
        <v>-0.09</v>
      </c>
      <c r="I28" s="32">
        <v>0.4</v>
      </c>
      <c r="J28" s="32">
        <v>0.26</v>
      </c>
      <c r="K28" s="32">
        <v>0.3</v>
      </c>
      <c r="L28" s="32">
        <v>0.17</v>
      </c>
      <c r="M28" s="32">
        <v>0.23</v>
      </c>
      <c r="N28" s="32">
        <v>0.26</v>
      </c>
      <c r="O28" s="32">
        <v>0.05</v>
      </c>
      <c r="P28" s="32">
        <v>0.38</v>
      </c>
      <c r="Q28" s="32">
        <v>0.05</v>
      </c>
      <c r="R28" s="32">
        <v>0.22</v>
      </c>
      <c r="S28" s="32">
        <v>0.15</v>
      </c>
      <c r="T28" s="32">
        <v>0.37</v>
      </c>
      <c r="U28" s="32">
        <v>0.05</v>
      </c>
      <c r="V28" s="32">
        <v>7.0000000000000007E-2</v>
      </c>
      <c r="W28" s="32">
        <v>0.03</v>
      </c>
      <c r="X28" s="32">
        <v>0.4</v>
      </c>
      <c r="Y28" s="32">
        <v>1</v>
      </c>
      <c r="Z28" s="32">
        <v>0</v>
      </c>
      <c r="AA28" s="32">
        <v>0.12</v>
      </c>
      <c r="AB28" s="32">
        <v>0.88</v>
      </c>
      <c r="AC28" s="32">
        <v>0.05</v>
      </c>
      <c r="AD28" s="32">
        <v>0.02</v>
      </c>
      <c r="AE28" s="32">
        <v>0.14000000000000001</v>
      </c>
      <c r="AF28" s="32">
        <v>-0.02</v>
      </c>
      <c r="AG28" s="32">
        <v>0.19</v>
      </c>
      <c r="AH28" s="32">
        <v>0.13</v>
      </c>
      <c r="AI28" s="32">
        <v>0.09</v>
      </c>
      <c r="AJ28" s="32">
        <v>-0.06</v>
      </c>
      <c r="AK28" s="32">
        <v>-0.02</v>
      </c>
      <c r="AL28" s="32">
        <v>0.3</v>
      </c>
      <c r="AM28" s="32">
        <v>0.11</v>
      </c>
      <c r="AN28" s="32">
        <v>0.32</v>
      </c>
      <c r="AO28" s="32">
        <v>0.33</v>
      </c>
      <c r="AP28" s="32">
        <v>0.28999999999999998</v>
      </c>
      <c r="AQ28" s="32">
        <v>0.08</v>
      </c>
      <c r="AR28" s="32">
        <v>0.34</v>
      </c>
      <c r="AS28" s="32">
        <v>0.04</v>
      </c>
      <c r="AT28" s="32">
        <v>0.52</v>
      </c>
      <c r="AU28" s="32">
        <v>0.19</v>
      </c>
      <c r="AV28" s="32">
        <v>0.11</v>
      </c>
      <c r="AW28" s="32">
        <v>0.05</v>
      </c>
      <c r="AX28" s="32">
        <v>0.28000000000000003</v>
      </c>
      <c r="AY28" s="32">
        <v>0.45</v>
      </c>
      <c r="AZ28" s="32">
        <v>0.16</v>
      </c>
      <c r="BA28" s="32">
        <v>0.17</v>
      </c>
      <c r="BB28" s="32">
        <v>0.28999999999999998</v>
      </c>
      <c r="BC28" s="32">
        <v>0.05</v>
      </c>
      <c r="BD28" s="32">
        <v>0.08</v>
      </c>
      <c r="BE28" s="32">
        <v>0.26</v>
      </c>
      <c r="BF28" s="32">
        <v>-0.03</v>
      </c>
      <c r="BG28" s="32">
        <v>0.32</v>
      </c>
      <c r="BH28" s="32">
        <v>0.03</v>
      </c>
      <c r="BI28" s="32">
        <v>0.04</v>
      </c>
      <c r="BJ28" s="32">
        <v>0.03</v>
      </c>
      <c r="BK28" s="32">
        <v>0.1</v>
      </c>
      <c r="BL28" s="32">
        <v>0.02</v>
      </c>
      <c r="BM28" s="32">
        <v>0.2</v>
      </c>
      <c r="BN28" s="32">
        <v>0.21</v>
      </c>
      <c r="BO28" s="32">
        <v>0.2</v>
      </c>
      <c r="BP28" s="32">
        <v>0.25</v>
      </c>
      <c r="BQ28" s="32">
        <v>0.04</v>
      </c>
      <c r="BR28" s="32">
        <v>0.18</v>
      </c>
      <c r="BS28" s="32">
        <v>-0.02</v>
      </c>
      <c r="BT28" s="32">
        <v>0.16</v>
      </c>
      <c r="BU28" s="32">
        <v>-0.02</v>
      </c>
      <c r="BV28" s="32">
        <v>0.24</v>
      </c>
      <c r="BW28" s="32">
        <v>0.2</v>
      </c>
      <c r="BX28" s="32">
        <v>0.11</v>
      </c>
      <c r="BY28" s="32">
        <v>0.17</v>
      </c>
      <c r="BZ28" s="32">
        <v>0.11</v>
      </c>
      <c r="CA28" s="32">
        <v>0.01</v>
      </c>
      <c r="CB28" s="32">
        <v>0.1</v>
      </c>
      <c r="CC28" s="32">
        <v>0.25</v>
      </c>
      <c r="CD28" s="32">
        <v>0.31</v>
      </c>
      <c r="CE28" s="32">
        <v>0.12</v>
      </c>
      <c r="CF28" s="32">
        <v>0.03</v>
      </c>
      <c r="CG28" s="32">
        <v>0.34</v>
      </c>
      <c r="CH28" s="32">
        <v>0.06</v>
      </c>
      <c r="CI28" s="32">
        <v>0.04</v>
      </c>
      <c r="CJ28" s="32">
        <v>0.32</v>
      </c>
      <c r="CK28" s="32">
        <v>0.32</v>
      </c>
      <c r="CL28" s="32">
        <v>7.0000000000000007E-2</v>
      </c>
      <c r="CM28" s="32">
        <v>-0.04</v>
      </c>
      <c r="CN28" s="32">
        <v>0</v>
      </c>
      <c r="CO28" s="32">
        <v>0.04</v>
      </c>
      <c r="CP28" s="32">
        <v>0.13</v>
      </c>
      <c r="CQ28" s="32">
        <v>0.28000000000000003</v>
      </c>
      <c r="CR28" s="32">
        <v>0</v>
      </c>
      <c r="CS28" s="32">
        <v>0</v>
      </c>
      <c r="CT28" s="32">
        <v>0.25</v>
      </c>
      <c r="CU28" s="32">
        <v>0.01</v>
      </c>
      <c r="CV28" s="32">
        <v>0.23</v>
      </c>
      <c r="CW28" s="32">
        <v>0.34</v>
      </c>
      <c r="CX28" s="32">
        <v>0.3</v>
      </c>
      <c r="CY28" s="32">
        <v>0.28000000000000003</v>
      </c>
      <c r="CZ28" s="32">
        <v>0.25</v>
      </c>
      <c r="DA28" s="32">
        <v>0.33</v>
      </c>
      <c r="DB28" s="32">
        <v>0.03</v>
      </c>
      <c r="DC28" s="32">
        <v>0.05</v>
      </c>
      <c r="DD28" s="32">
        <v>0.4</v>
      </c>
      <c r="DE28" s="32">
        <v>0</v>
      </c>
      <c r="DF28" s="32">
        <v>0.3</v>
      </c>
      <c r="DG28" s="32">
        <v>0.05</v>
      </c>
      <c r="DH28" s="32">
        <v>-0.02</v>
      </c>
      <c r="DI28" s="32">
        <v>0.24</v>
      </c>
      <c r="DJ28" s="32">
        <v>0.33</v>
      </c>
      <c r="DK28" s="32">
        <v>0.23</v>
      </c>
      <c r="DL28" s="32">
        <v>-7.0000000000000007E-2</v>
      </c>
      <c r="DM28" s="32">
        <v>0.35</v>
      </c>
      <c r="DN28" s="32">
        <v>0.3</v>
      </c>
      <c r="DO28" s="32">
        <v>0.06</v>
      </c>
      <c r="DP28" s="32">
        <v>0.34</v>
      </c>
      <c r="DQ28" s="32">
        <v>-0.1</v>
      </c>
      <c r="DR28" s="32">
        <v>-0.02</v>
      </c>
      <c r="DS28" s="32">
        <v>0.25</v>
      </c>
      <c r="DT28" s="32">
        <v>-0.08</v>
      </c>
      <c r="DU28" s="32">
        <v>0.09</v>
      </c>
      <c r="DV28" s="32">
        <v>0.19</v>
      </c>
      <c r="DW28" s="32">
        <v>0.33</v>
      </c>
      <c r="DX28" s="32">
        <v>-0.08</v>
      </c>
      <c r="DY28" s="32">
        <v>0.36</v>
      </c>
      <c r="DZ28" s="32">
        <v>0.09</v>
      </c>
      <c r="EA28" s="32">
        <v>0.06</v>
      </c>
      <c r="EB28" s="32">
        <v>0.23</v>
      </c>
      <c r="EC28" s="32">
        <v>0.03</v>
      </c>
      <c r="ED28" s="32">
        <v>0.06</v>
      </c>
      <c r="EE28" s="32">
        <v>-0.06</v>
      </c>
      <c r="EF28" s="32">
        <v>0.11</v>
      </c>
      <c r="EG28" s="32">
        <v>-0.03</v>
      </c>
      <c r="EH28" s="32">
        <v>0.21</v>
      </c>
      <c r="EI28" s="32">
        <v>-0.12</v>
      </c>
      <c r="EJ28" s="32">
        <v>7.0000000000000007E-2</v>
      </c>
      <c r="EK28" s="32">
        <v>0.01</v>
      </c>
      <c r="EL28" s="32">
        <v>-0.05</v>
      </c>
      <c r="EM28" s="32">
        <v>-0.02</v>
      </c>
      <c r="EN28" s="32">
        <v>0.09</v>
      </c>
      <c r="EO28" s="32">
        <v>0.04</v>
      </c>
    </row>
    <row r="29" spans="1:145" x14ac:dyDescent="0.25">
      <c r="A29" s="31" t="s">
        <v>105</v>
      </c>
      <c r="B29" s="32">
        <v>0.04</v>
      </c>
      <c r="C29" s="32">
        <v>0.21</v>
      </c>
      <c r="D29" s="32">
        <v>0.09</v>
      </c>
      <c r="E29" s="32">
        <v>0.18</v>
      </c>
      <c r="F29" s="32">
        <v>0.1</v>
      </c>
      <c r="G29" s="32">
        <v>0.22</v>
      </c>
      <c r="H29" s="32">
        <v>0.28000000000000003</v>
      </c>
      <c r="I29" s="32">
        <v>0.11</v>
      </c>
      <c r="J29" s="32">
        <v>0.06</v>
      </c>
      <c r="K29" s="32">
        <v>0.14000000000000001</v>
      </c>
      <c r="L29" s="32">
        <v>0.3</v>
      </c>
      <c r="M29" s="32">
        <v>0.28999999999999998</v>
      </c>
      <c r="N29" s="32">
        <v>0.12</v>
      </c>
      <c r="O29" s="32">
        <v>0.38</v>
      </c>
      <c r="P29" s="32">
        <v>7.0000000000000007E-2</v>
      </c>
      <c r="Q29" s="32">
        <v>0.12</v>
      </c>
      <c r="R29" s="32">
        <v>0.14000000000000001</v>
      </c>
      <c r="S29" s="32">
        <v>0.27</v>
      </c>
      <c r="T29" s="32">
        <v>7.0000000000000007E-2</v>
      </c>
      <c r="U29" s="32">
        <v>0.3</v>
      </c>
      <c r="V29" s="32">
        <v>0.33</v>
      </c>
      <c r="W29" s="32">
        <v>0.22</v>
      </c>
      <c r="X29" s="32">
        <v>0.1</v>
      </c>
      <c r="Y29" s="32">
        <v>0</v>
      </c>
      <c r="Z29" s="32">
        <v>1</v>
      </c>
      <c r="AA29" s="32">
        <v>0.19</v>
      </c>
      <c r="AB29" s="32">
        <v>0.01</v>
      </c>
      <c r="AC29" s="32">
        <v>0.21</v>
      </c>
      <c r="AD29" s="32">
        <v>0.27</v>
      </c>
      <c r="AE29" s="32">
        <v>0.31</v>
      </c>
      <c r="AF29" s="32">
        <v>0.28999999999999998</v>
      </c>
      <c r="AG29" s="32">
        <v>0.01</v>
      </c>
      <c r="AH29" s="32">
        <v>-0.03</v>
      </c>
      <c r="AI29" s="32">
        <v>-0.06</v>
      </c>
      <c r="AJ29" s="32">
        <v>0.18</v>
      </c>
      <c r="AK29" s="32">
        <v>0.4</v>
      </c>
      <c r="AL29" s="32">
        <v>0.04</v>
      </c>
      <c r="AM29" s="32">
        <v>0.31</v>
      </c>
      <c r="AN29" s="32">
        <v>0.17</v>
      </c>
      <c r="AO29" s="32">
        <v>0.01</v>
      </c>
      <c r="AP29" s="32">
        <v>0.06</v>
      </c>
      <c r="AQ29" s="32">
        <v>-0.02</v>
      </c>
      <c r="AR29" s="32">
        <v>0.02</v>
      </c>
      <c r="AS29" s="32">
        <v>0.31</v>
      </c>
      <c r="AT29" s="32">
        <v>0.06</v>
      </c>
      <c r="AU29" s="32">
        <v>0.11</v>
      </c>
      <c r="AV29" s="32">
        <v>0.26</v>
      </c>
      <c r="AW29" s="32">
        <v>0.37</v>
      </c>
      <c r="AX29" s="32">
        <v>0.1</v>
      </c>
      <c r="AY29" s="32">
        <v>0.02</v>
      </c>
      <c r="AZ29" s="32">
        <v>0.24</v>
      </c>
      <c r="BA29" s="32">
        <v>0.19</v>
      </c>
      <c r="BB29" s="32">
        <v>7.0000000000000007E-2</v>
      </c>
      <c r="BC29" s="32">
        <v>0.19</v>
      </c>
      <c r="BD29" s="32">
        <v>0.33</v>
      </c>
      <c r="BE29" s="32">
        <v>0.09</v>
      </c>
      <c r="BF29" s="32">
        <v>0.45</v>
      </c>
      <c r="BG29" s="32">
        <v>0.05</v>
      </c>
      <c r="BH29" s="32">
        <v>0.33</v>
      </c>
      <c r="BI29" s="32">
        <v>0.13</v>
      </c>
      <c r="BJ29" s="32">
        <v>-0.09</v>
      </c>
      <c r="BK29" s="32">
        <v>0.28999999999999998</v>
      </c>
      <c r="BL29" s="32">
        <v>0.18</v>
      </c>
      <c r="BM29" s="32">
        <v>0.03</v>
      </c>
      <c r="BN29" s="32">
        <v>0</v>
      </c>
      <c r="BO29" s="32">
        <v>0.05</v>
      </c>
      <c r="BP29" s="32">
        <v>0.02</v>
      </c>
      <c r="BQ29" s="32">
        <v>0.37</v>
      </c>
      <c r="BR29" s="32">
        <v>0.03</v>
      </c>
      <c r="BS29" s="32">
        <v>-0.11</v>
      </c>
      <c r="BT29" s="32">
        <v>0.12</v>
      </c>
      <c r="BU29" s="32">
        <v>0.28000000000000003</v>
      </c>
      <c r="BV29" s="32">
        <v>0.01</v>
      </c>
      <c r="BW29" s="32">
        <v>0.08</v>
      </c>
      <c r="BX29" s="32">
        <v>-0.01</v>
      </c>
      <c r="BY29" s="32">
        <v>0.14000000000000001</v>
      </c>
      <c r="BZ29" s="32">
        <v>0.11</v>
      </c>
      <c r="CA29" s="32">
        <v>0.22</v>
      </c>
      <c r="CB29" s="32">
        <v>-0.09</v>
      </c>
      <c r="CC29" s="32">
        <v>0.01</v>
      </c>
      <c r="CD29" s="32">
        <v>0.11</v>
      </c>
      <c r="CE29" s="32">
        <v>-0.02</v>
      </c>
      <c r="CF29" s="32">
        <v>-0.06</v>
      </c>
      <c r="CG29" s="32">
        <v>0.08</v>
      </c>
      <c r="CH29" s="32">
        <v>0.34</v>
      </c>
      <c r="CI29" s="32">
        <v>-0.1</v>
      </c>
      <c r="CJ29" s="32">
        <v>0.02</v>
      </c>
      <c r="CK29" s="32">
        <v>0.05</v>
      </c>
      <c r="CL29" s="32">
        <v>0.11</v>
      </c>
      <c r="CM29" s="32">
        <v>7.0000000000000007E-2</v>
      </c>
      <c r="CN29" s="32">
        <v>0.27</v>
      </c>
      <c r="CO29" s="32">
        <v>0.11</v>
      </c>
      <c r="CP29" s="32">
        <v>0.08</v>
      </c>
      <c r="CQ29" s="32">
        <v>0.11</v>
      </c>
      <c r="CR29" s="32">
        <v>0.11</v>
      </c>
      <c r="CS29" s="32">
        <v>0.13</v>
      </c>
      <c r="CT29" s="32">
        <v>0.15</v>
      </c>
      <c r="CU29" s="32">
        <v>0.15</v>
      </c>
      <c r="CV29" s="32">
        <v>0.1</v>
      </c>
      <c r="CW29" s="32">
        <v>0.11</v>
      </c>
      <c r="CX29" s="32">
        <v>0.13</v>
      </c>
      <c r="CY29" s="32">
        <v>0.12</v>
      </c>
      <c r="CZ29" s="32">
        <v>0.04</v>
      </c>
      <c r="DA29" s="32">
        <v>0</v>
      </c>
      <c r="DB29" s="32">
        <v>0.14000000000000001</v>
      </c>
      <c r="DC29" s="32">
        <v>0.23</v>
      </c>
      <c r="DD29" s="32">
        <v>7.0000000000000007E-2</v>
      </c>
      <c r="DE29" s="32">
        <v>0.2</v>
      </c>
      <c r="DF29" s="32">
        <v>0</v>
      </c>
      <c r="DG29" s="32">
        <v>0.23</v>
      </c>
      <c r="DH29" s="32">
        <v>0.1</v>
      </c>
      <c r="DI29" s="32">
        <v>0.09</v>
      </c>
      <c r="DJ29" s="32">
        <v>0.11</v>
      </c>
      <c r="DK29" s="32">
        <v>0.09</v>
      </c>
      <c r="DL29" s="32">
        <v>0.33</v>
      </c>
      <c r="DM29" s="32">
        <v>0.2</v>
      </c>
      <c r="DN29" s="32">
        <v>0.08</v>
      </c>
      <c r="DO29" s="32">
        <v>-0.03</v>
      </c>
      <c r="DP29" s="32">
        <v>0.15</v>
      </c>
      <c r="DQ29" s="32">
        <v>0.05</v>
      </c>
      <c r="DR29" s="32">
        <v>0.15</v>
      </c>
      <c r="DS29" s="32">
        <v>0</v>
      </c>
      <c r="DT29" s="32">
        <v>0.08</v>
      </c>
      <c r="DU29" s="32">
        <v>0.14000000000000001</v>
      </c>
      <c r="DV29" s="32">
        <v>0.05</v>
      </c>
      <c r="DW29" s="32">
        <v>0.04</v>
      </c>
      <c r="DX29" s="32">
        <v>0.06</v>
      </c>
      <c r="DY29" s="32">
        <v>0.1</v>
      </c>
      <c r="DZ29" s="32">
        <v>0.04</v>
      </c>
      <c r="EA29" s="32">
        <v>0.16</v>
      </c>
      <c r="EB29" s="32">
        <v>0.14000000000000001</v>
      </c>
      <c r="EC29" s="32">
        <v>0.09</v>
      </c>
      <c r="ED29" s="32">
        <v>0.16</v>
      </c>
      <c r="EE29" s="32">
        <v>7.0000000000000007E-2</v>
      </c>
      <c r="EF29" s="32">
        <v>0.16</v>
      </c>
      <c r="EG29" s="32">
        <v>0.05</v>
      </c>
      <c r="EH29" s="32">
        <v>0.02</v>
      </c>
      <c r="EI29" s="32">
        <v>0.1</v>
      </c>
      <c r="EJ29" s="32">
        <v>0.17</v>
      </c>
      <c r="EK29" s="32">
        <v>0.13</v>
      </c>
      <c r="EL29" s="32">
        <v>0.12</v>
      </c>
      <c r="EM29" s="32">
        <v>0.08</v>
      </c>
      <c r="EN29" s="32">
        <v>0.1</v>
      </c>
      <c r="EO29" s="32">
        <v>0.06</v>
      </c>
    </row>
    <row r="30" spans="1:145" x14ac:dyDescent="0.25">
      <c r="A30" s="31" t="s">
        <v>106</v>
      </c>
      <c r="B30" s="32">
        <v>0.06</v>
      </c>
      <c r="C30" s="32">
        <v>0.09</v>
      </c>
      <c r="D30" s="32">
        <v>0.09</v>
      </c>
      <c r="E30" s="32">
        <v>0.21</v>
      </c>
      <c r="F30" s="32">
        <v>0.27</v>
      </c>
      <c r="G30" s="32">
        <v>0.08</v>
      </c>
      <c r="H30" s="32">
        <v>0.21</v>
      </c>
      <c r="I30" s="32">
        <v>0.21</v>
      </c>
      <c r="J30" s="32">
        <v>0.17</v>
      </c>
      <c r="K30" s="32">
        <v>0.21</v>
      </c>
      <c r="L30" s="32">
        <v>0.31</v>
      </c>
      <c r="M30" s="32">
        <v>0.21</v>
      </c>
      <c r="N30" s="32">
        <v>0.18</v>
      </c>
      <c r="O30" s="32">
        <v>0.37</v>
      </c>
      <c r="P30" s="32">
        <v>0.19</v>
      </c>
      <c r="Q30" s="32">
        <v>0</v>
      </c>
      <c r="R30" s="32">
        <v>0.23</v>
      </c>
      <c r="S30" s="32">
        <v>0.22</v>
      </c>
      <c r="T30" s="32">
        <v>0.13</v>
      </c>
      <c r="U30" s="32">
        <v>0.28999999999999998</v>
      </c>
      <c r="V30" s="32">
        <v>0.26</v>
      </c>
      <c r="W30" s="32">
        <v>0.46</v>
      </c>
      <c r="X30" s="32">
        <v>0.15</v>
      </c>
      <c r="Y30" s="32">
        <v>0.12</v>
      </c>
      <c r="Z30" s="32">
        <v>0.19</v>
      </c>
      <c r="AA30" s="32">
        <v>1</v>
      </c>
      <c r="AB30" s="32">
        <v>0.13</v>
      </c>
      <c r="AC30" s="32">
        <v>0.14000000000000001</v>
      </c>
      <c r="AD30" s="32">
        <v>0.2</v>
      </c>
      <c r="AE30" s="32">
        <v>0.28999999999999998</v>
      </c>
      <c r="AF30" s="32">
        <v>0.31</v>
      </c>
      <c r="AG30" s="32">
        <v>0.08</v>
      </c>
      <c r="AH30" s="32">
        <v>0.15</v>
      </c>
      <c r="AI30" s="32">
        <v>-0.11</v>
      </c>
      <c r="AJ30" s="32">
        <v>0.21</v>
      </c>
      <c r="AK30" s="32">
        <v>0.22</v>
      </c>
      <c r="AL30" s="32">
        <v>0.16</v>
      </c>
      <c r="AM30" s="32">
        <v>0.24</v>
      </c>
      <c r="AN30" s="32">
        <v>0.23</v>
      </c>
      <c r="AO30" s="32">
        <v>0.18</v>
      </c>
      <c r="AP30" s="32">
        <v>0.22</v>
      </c>
      <c r="AQ30" s="32">
        <v>-0.09</v>
      </c>
      <c r="AR30" s="32">
        <v>0.16</v>
      </c>
      <c r="AS30" s="32">
        <v>0.24</v>
      </c>
      <c r="AT30" s="32">
        <v>0.12</v>
      </c>
      <c r="AU30" s="32">
        <v>0.16</v>
      </c>
      <c r="AV30" s="32">
        <v>0.18</v>
      </c>
      <c r="AW30" s="32">
        <v>0.06</v>
      </c>
      <c r="AX30" s="32">
        <v>0.24</v>
      </c>
      <c r="AY30" s="32">
        <v>0.13</v>
      </c>
      <c r="AZ30" s="32">
        <v>0.3</v>
      </c>
      <c r="BA30" s="32">
        <v>0.22</v>
      </c>
      <c r="BB30" s="32">
        <v>0.13</v>
      </c>
      <c r="BC30" s="32">
        <v>0.16</v>
      </c>
      <c r="BD30" s="32">
        <v>0.25</v>
      </c>
      <c r="BE30" s="32">
        <v>0.16</v>
      </c>
      <c r="BF30" s="32">
        <v>0.21</v>
      </c>
      <c r="BG30" s="32">
        <v>-0.02</v>
      </c>
      <c r="BH30" s="32">
        <v>7.0000000000000007E-2</v>
      </c>
      <c r="BI30" s="32">
        <v>0.02</v>
      </c>
      <c r="BJ30" s="32">
        <v>-0.01</v>
      </c>
      <c r="BK30" s="32">
        <v>0.24</v>
      </c>
      <c r="BL30" s="32">
        <v>0.12</v>
      </c>
      <c r="BM30" s="32">
        <v>0.18</v>
      </c>
      <c r="BN30" s="32">
        <v>0.01</v>
      </c>
      <c r="BO30" s="32">
        <v>0.06</v>
      </c>
      <c r="BP30" s="32">
        <v>0.09</v>
      </c>
      <c r="BQ30" s="32">
        <v>0.26</v>
      </c>
      <c r="BR30" s="32">
        <v>0.19</v>
      </c>
      <c r="BS30" s="32">
        <v>-0.14000000000000001</v>
      </c>
      <c r="BT30" s="32">
        <v>0.15</v>
      </c>
      <c r="BU30" s="32">
        <v>0.12</v>
      </c>
      <c r="BV30" s="32">
        <v>0.03</v>
      </c>
      <c r="BW30" s="32">
        <v>0.16</v>
      </c>
      <c r="BX30" s="32">
        <v>0.02</v>
      </c>
      <c r="BY30" s="32">
        <v>0.21</v>
      </c>
      <c r="BZ30" s="32">
        <v>0.18</v>
      </c>
      <c r="CA30" s="32">
        <v>0.22</v>
      </c>
      <c r="CB30" s="32">
        <v>-0.08</v>
      </c>
      <c r="CC30" s="32">
        <v>0</v>
      </c>
      <c r="CD30" s="32">
        <v>0.08</v>
      </c>
      <c r="CE30" s="32">
        <v>0.08</v>
      </c>
      <c r="CF30" s="32">
        <v>-7.0000000000000007E-2</v>
      </c>
      <c r="CG30" s="32">
        <v>7.0000000000000007E-2</v>
      </c>
      <c r="CH30" s="32">
        <v>0.19</v>
      </c>
      <c r="CI30" s="32">
        <v>-0.15</v>
      </c>
      <c r="CJ30" s="32">
        <v>0.02</v>
      </c>
      <c r="CK30" s="32">
        <v>-0.01</v>
      </c>
      <c r="CL30" s="32">
        <v>0.21</v>
      </c>
      <c r="CM30" s="32">
        <v>-7.0000000000000007E-2</v>
      </c>
      <c r="CN30" s="32">
        <v>0.14000000000000001</v>
      </c>
      <c r="CO30" s="32">
        <v>0.03</v>
      </c>
      <c r="CP30" s="32">
        <v>0.04</v>
      </c>
      <c r="CQ30" s="32">
        <v>0.16</v>
      </c>
      <c r="CR30" s="32">
        <v>0.11</v>
      </c>
      <c r="CS30" s="32">
        <v>0.1</v>
      </c>
      <c r="CT30" s="32">
        <v>0.13</v>
      </c>
      <c r="CU30" s="32">
        <v>0.05</v>
      </c>
      <c r="CV30" s="32">
        <v>-0.03</v>
      </c>
      <c r="CW30" s="32">
        <v>0.23</v>
      </c>
      <c r="CX30" s="32">
        <v>0.19</v>
      </c>
      <c r="CY30" s="32">
        <v>0.12</v>
      </c>
      <c r="CZ30" s="32">
        <v>0.09</v>
      </c>
      <c r="DA30" s="32">
        <v>-0.05</v>
      </c>
      <c r="DB30" s="32">
        <v>0.06</v>
      </c>
      <c r="DC30" s="32">
        <v>0.28000000000000003</v>
      </c>
      <c r="DD30" s="32">
        <v>0.05</v>
      </c>
      <c r="DE30" s="32">
        <v>0.09</v>
      </c>
      <c r="DF30" s="32">
        <v>0.02</v>
      </c>
      <c r="DG30" s="32">
        <v>7.0000000000000007E-2</v>
      </c>
      <c r="DH30" s="32">
        <v>0.02</v>
      </c>
      <c r="DI30" s="32">
        <v>0.19</v>
      </c>
      <c r="DJ30" s="32">
        <v>0.1</v>
      </c>
      <c r="DK30" s="32">
        <v>0.17</v>
      </c>
      <c r="DL30" s="32">
        <v>0.13</v>
      </c>
      <c r="DM30" s="32">
        <v>0.25</v>
      </c>
      <c r="DN30" s="32">
        <v>0.09</v>
      </c>
      <c r="DO30" s="32">
        <v>0.12</v>
      </c>
      <c r="DP30" s="32">
        <v>0.11</v>
      </c>
      <c r="DQ30" s="32">
        <v>7.0000000000000007E-2</v>
      </c>
      <c r="DR30" s="32">
        <v>0.06</v>
      </c>
      <c r="DS30" s="32">
        <v>0.05</v>
      </c>
      <c r="DT30" s="32">
        <v>0</v>
      </c>
      <c r="DU30" s="32">
        <v>0.04</v>
      </c>
      <c r="DV30" s="32">
        <v>-0.01</v>
      </c>
      <c r="DW30" s="32">
        <v>-0.02</v>
      </c>
      <c r="DX30" s="32">
        <v>7.0000000000000007E-2</v>
      </c>
      <c r="DY30" s="32">
        <v>0.02</v>
      </c>
      <c r="DZ30" s="32">
        <v>0.03</v>
      </c>
      <c r="EA30" s="32">
        <v>7.0000000000000007E-2</v>
      </c>
      <c r="EB30" s="32">
        <v>-0.01</v>
      </c>
      <c r="EC30" s="32">
        <v>0.02</v>
      </c>
      <c r="ED30" s="32">
        <v>0.12</v>
      </c>
      <c r="EE30" s="32">
        <v>0.08</v>
      </c>
      <c r="EF30" s="32">
        <v>0</v>
      </c>
      <c r="EG30" s="32">
        <v>0.12</v>
      </c>
      <c r="EH30" s="32">
        <v>0.02</v>
      </c>
      <c r="EI30" s="32">
        <v>0.06</v>
      </c>
      <c r="EJ30" s="32">
        <v>0.1</v>
      </c>
      <c r="EK30" s="32">
        <v>0.05</v>
      </c>
      <c r="EL30" s="32">
        <v>0.11</v>
      </c>
      <c r="EM30" s="32">
        <v>-0.01</v>
      </c>
      <c r="EN30" s="32">
        <v>0.16</v>
      </c>
      <c r="EO30" s="32">
        <v>-0.02</v>
      </c>
    </row>
    <row r="31" spans="1:145" x14ac:dyDescent="0.25">
      <c r="A31" s="31" t="s">
        <v>107</v>
      </c>
      <c r="B31" s="32">
        <v>0.49</v>
      </c>
      <c r="C31" s="32">
        <v>0.03</v>
      </c>
      <c r="D31" s="32">
        <v>0.03</v>
      </c>
      <c r="E31" s="32">
        <v>0.05</v>
      </c>
      <c r="F31" s="32">
        <v>0.32</v>
      </c>
      <c r="G31" s="32">
        <v>-0.01</v>
      </c>
      <c r="H31" s="32">
        <v>-0.1</v>
      </c>
      <c r="I31" s="32">
        <v>0.41</v>
      </c>
      <c r="J31" s="32">
        <v>0.22</v>
      </c>
      <c r="K31" s="32">
        <v>0.31</v>
      </c>
      <c r="L31" s="32">
        <v>0.12</v>
      </c>
      <c r="M31" s="32">
        <v>0.24</v>
      </c>
      <c r="N31" s="32">
        <v>0.27</v>
      </c>
      <c r="O31" s="32">
        <v>0.03</v>
      </c>
      <c r="P31" s="32">
        <v>0.34</v>
      </c>
      <c r="Q31" s="32">
        <v>0</v>
      </c>
      <c r="R31" s="32">
        <v>0.21</v>
      </c>
      <c r="S31" s="32">
        <v>0.08</v>
      </c>
      <c r="T31" s="32">
        <v>0.4</v>
      </c>
      <c r="U31" s="32">
        <v>0.04</v>
      </c>
      <c r="V31" s="32">
        <v>0.03</v>
      </c>
      <c r="W31" s="32">
        <v>0.03</v>
      </c>
      <c r="X31" s="32">
        <v>0.4</v>
      </c>
      <c r="Y31" s="32">
        <v>0.88</v>
      </c>
      <c r="Z31" s="32">
        <v>0.01</v>
      </c>
      <c r="AA31" s="32">
        <v>0.13</v>
      </c>
      <c r="AB31" s="32">
        <v>1</v>
      </c>
      <c r="AC31" s="32">
        <v>0.02</v>
      </c>
      <c r="AD31" s="32">
        <v>-0.03</v>
      </c>
      <c r="AE31" s="32">
        <v>0.1</v>
      </c>
      <c r="AF31" s="32">
        <v>-0.06</v>
      </c>
      <c r="AG31" s="32">
        <v>0.19</v>
      </c>
      <c r="AH31" s="32">
        <v>0.14000000000000001</v>
      </c>
      <c r="AI31" s="32">
        <v>0.09</v>
      </c>
      <c r="AJ31" s="32">
        <v>-0.08</v>
      </c>
      <c r="AK31" s="32">
        <v>-0.01</v>
      </c>
      <c r="AL31" s="32">
        <v>0.28000000000000003</v>
      </c>
      <c r="AM31" s="32">
        <v>0.1</v>
      </c>
      <c r="AN31" s="32">
        <v>0.33</v>
      </c>
      <c r="AO31" s="32">
        <v>0.28999999999999998</v>
      </c>
      <c r="AP31" s="32">
        <v>0.32</v>
      </c>
      <c r="AQ31" s="32">
        <v>0.08</v>
      </c>
      <c r="AR31" s="32">
        <v>0.36</v>
      </c>
      <c r="AS31" s="32">
        <v>-0.04</v>
      </c>
      <c r="AT31" s="32">
        <v>0.52</v>
      </c>
      <c r="AU31" s="32">
        <v>0.17</v>
      </c>
      <c r="AV31" s="32">
        <v>0.03</v>
      </c>
      <c r="AW31" s="32">
        <v>-0.01</v>
      </c>
      <c r="AX31" s="32">
        <v>0.28000000000000003</v>
      </c>
      <c r="AY31" s="32">
        <v>0.39</v>
      </c>
      <c r="AZ31" s="32">
        <v>0.09</v>
      </c>
      <c r="BA31" s="32">
        <v>0.16</v>
      </c>
      <c r="BB31" s="32">
        <v>0.3</v>
      </c>
      <c r="BC31" s="32">
        <v>-0.01</v>
      </c>
      <c r="BD31" s="32">
        <v>0.05</v>
      </c>
      <c r="BE31" s="32">
        <v>0.26</v>
      </c>
      <c r="BF31" s="32">
        <v>-0.03</v>
      </c>
      <c r="BG31" s="32">
        <v>0.33</v>
      </c>
      <c r="BH31" s="32">
        <v>0</v>
      </c>
      <c r="BI31" s="32">
        <v>0.08</v>
      </c>
      <c r="BJ31" s="32">
        <v>0.02</v>
      </c>
      <c r="BK31" s="32">
        <v>7.0000000000000007E-2</v>
      </c>
      <c r="BL31" s="32">
        <v>0.01</v>
      </c>
      <c r="BM31" s="32">
        <v>0.23</v>
      </c>
      <c r="BN31" s="32">
        <v>0.2</v>
      </c>
      <c r="BO31" s="32">
        <v>0.18</v>
      </c>
      <c r="BP31" s="32">
        <v>0.31</v>
      </c>
      <c r="BQ31" s="32">
        <v>-0.01</v>
      </c>
      <c r="BR31" s="32">
        <v>0.24</v>
      </c>
      <c r="BS31" s="32">
        <v>0</v>
      </c>
      <c r="BT31" s="32">
        <v>0.17</v>
      </c>
      <c r="BU31" s="32">
        <v>-0.02</v>
      </c>
      <c r="BV31" s="32">
        <v>0.27</v>
      </c>
      <c r="BW31" s="32">
        <v>0.2</v>
      </c>
      <c r="BX31" s="32">
        <v>0.08</v>
      </c>
      <c r="BY31" s="32">
        <v>0.21</v>
      </c>
      <c r="BZ31" s="32">
        <v>0.15</v>
      </c>
      <c r="CA31" s="32">
        <v>-7.0000000000000007E-2</v>
      </c>
      <c r="CB31" s="32">
        <v>0.04</v>
      </c>
      <c r="CC31" s="32">
        <v>0.27</v>
      </c>
      <c r="CD31" s="32">
        <v>0.33</v>
      </c>
      <c r="CE31" s="32">
        <v>0.08</v>
      </c>
      <c r="CF31" s="32">
        <v>0.02</v>
      </c>
      <c r="CG31" s="32">
        <v>0.36</v>
      </c>
      <c r="CH31" s="32">
        <v>0.01</v>
      </c>
      <c r="CI31" s="32">
        <v>0.03</v>
      </c>
      <c r="CJ31" s="32">
        <v>0.3</v>
      </c>
      <c r="CK31" s="32">
        <v>0.37</v>
      </c>
      <c r="CL31" s="32">
        <v>0.08</v>
      </c>
      <c r="CM31" s="32">
        <v>-0.04</v>
      </c>
      <c r="CN31" s="32">
        <v>0.01</v>
      </c>
      <c r="CO31" s="32">
        <v>7.0000000000000007E-2</v>
      </c>
      <c r="CP31" s="32">
        <v>0.12</v>
      </c>
      <c r="CQ31" s="32">
        <v>0.3</v>
      </c>
      <c r="CR31" s="32">
        <v>-0.02</v>
      </c>
      <c r="CS31" s="32">
        <v>-7.0000000000000007E-2</v>
      </c>
      <c r="CT31" s="32">
        <v>0.24</v>
      </c>
      <c r="CU31" s="32">
        <v>0</v>
      </c>
      <c r="CV31" s="32">
        <v>0.24</v>
      </c>
      <c r="CW31" s="32">
        <v>0.33</v>
      </c>
      <c r="CX31" s="32">
        <v>0.31</v>
      </c>
      <c r="CY31" s="32">
        <v>0.33</v>
      </c>
      <c r="CZ31" s="32">
        <v>0.23</v>
      </c>
      <c r="DA31" s="32">
        <v>0.31</v>
      </c>
      <c r="DB31" s="32">
        <v>0.02</v>
      </c>
      <c r="DC31" s="32">
        <v>0.06</v>
      </c>
      <c r="DD31" s="32">
        <v>0.38</v>
      </c>
      <c r="DE31" s="32">
        <v>-0.02</v>
      </c>
      <c r="DF31" s="32">
        <v>0.31</v>
      </c>
      <c r="DG31" s="32">
        <v>-0.01</v>
      </c>
      <c r="DH31" s="32">
        <v>-0.08</v>
      </c>
      <c r="DI31" s="32">
        <v>0.27</v>
      </c>
      <c r="DJ31" s="32">
        <v>0.36</v>
      </c>
      <c r="DK31" s="32">
        <v>0.24</v>
      </c>
      <c r="DL31" s="32">
        <v>-0.13</v>
      </c>
      <c r="DM31" s="32">
        <v>0.35</v>
      </c>
      <c r="DN31" s="32">
        <v>0.31</v>
      </c>
      <c r="DO31" s="32">
        <v>-0.02</v>
      </c>
      <c r="DP31" s="32">
        <v>0.28999999999999998</v>
      </c>
      <c r="DQ31" s="32">
        <v>-0.13</v>
      </c>
      <c r="DR31" s="32">
        <v>-0.02</v>
      </c>
      <c r="DS31" s="32">
        <v>0.3</v>
      </c>
      <c r="DT31" s="32">
        <v>-0.04</v>
      </c>
      <c r="DU31" s="32">
        <v>0.14000000000000001</v>
      </c>
      <c r="DV31" s="32">
        <v>0.18</v>
      </c>
      <c r="DW31" s="32">
        <v>0.35</v>
      </c>
      <c r="DX31" s="32">
        <v>-0.11</v>
      </c>
      <c r="DY31" s="32">
        <v>0.37</v>
      </c>
      <c r="DZ31" s="32">
        <v>0.09</v>
      </c>
      <c r="EA31" s="32">
        <v>0.03</v>
      </c>
      <c r="EB31" s="32">
        <v>0.24</v>
      </c>
      <c r="EC31" s="32">
        <v>0.02</v>
      </c>
      <c r="ED31" s="32">
        <v>0.09</v>
      </c>
      <c r="EE31" s="32">
        <v>-0.11</v>
      </c>
      <c r="EF31" s="32">
        <v>0.09</v>
      </c>
      <c r="EG31" s="32">
        <v>-0.06</v>
      </c>
      <c r="EH31" s="32">
        <v>0.21</v>
      </c>
      <c r="EI31" s="32">
        <v>-0.14000000000000001</v>
      </c>
      <c r="EJ31" s="32">
        <v>0.09</v>
      </c>
      <c r="EK31" s="32">
        <v>-0.01</v>
      </c>
      <c r="EL31" s="32">
        <v>-0.06</v>
      </c>
      <c r="EM31" s="32">
        <v>0.05</v>
      </c>
      <c r="EN31" s="32">
        <v>0.08</v>
      </c>
      <c r="EO31" s="32">
        <v>0.04</v>
      </c>
    </row>
    <row r="32" spans="1:145" x14ac:dyDescent="0.25">
      <c r="A32" s="31" t="s">
        <v>108</v>
      </c>
      <c r="B32" s="32">
        <v>0.04</v>
      </c>
      <c r="C32" s="32">
        <v>0.04</v>
      </c>
      <c r="D32" s="32">
        <v>0.08</v>
      </c>
      <c r="E32" s="32">
        <v>0.31</v>
      </c>
      <c r="F32" s="32">
        <v>-0.03</v>
      </c>
      <c r="G32" s="32">
        <v>0.16</v>
      </c>
      <c r="H32" s="32">
        <v>0.23</v>
      </c>
      <c r="I32" s="32">
        <v>0.03</v>
      </c>
      <c r="J32" s="32">
        <v>-0.15</v>
      </c>
      <c r="K32" s="32">
        <v>0.04</v>
      </c>
      <c r="L32" s="32">
        <v>0.12</v>
      </c>
      <c r="M32" s="32">
        <v>0.1</v>
      </c>
      <c r="N32" s="32">
        <v>0.03</v>
      </c>
      <c r="O32" s="32">
        <v>0.32</v>
      </c>
      <c r="P32" s="32">
        <v>0.01</v>
      </c>
      <c r="Q32" s="32">
        <v>0.01</v>
      </c>
      <c r="R32" s="32">
        <v>0.04</v>
      </c>
      <c r="S32" s="32">
        <v>0.11</v>
      </c>
      <c r="T32" s="32">
        <v>0.05</v>
      </c>
      <c r="U32" s="32">
        <v>0.25</v>
      </c>
      <c r="V32" s="32">
        <v>0.28999999999999998</v>
      </c>
      <c r="W32" s="32">
        <v>0.14000000000000001</v>
      </c>
      <c r="X32" s="32">
        <v>0.1</v>
      </c>
      <c r="Y32" s="32">
        <v>0.05</v>
      </c>
      <c r="Z32" s="32">
        <v>0.21</v>
      </c>
      <c r="AA32" s="32">
        <v>0.14000000000000001</v>
      </c>
      <c r="AB32" s="32">
        <v>0.02</v>
      </c>
      <c r="AC32" s="32">
        <v>1</v>
      </c>
      <c r="AD32" s="32">
        <v>0.2</v>
      </c>
      <c r="AE32" s="32">
        <v>0.19</v>
      </c>
      <c r="AF32" s="32">
        <v>0.16</v>
      </c>
      <c r="AG32" s="32">
        <v>-0.04</v>
      </c>
      <c r="AH32" s="32">
        <v>-0.06</v>
      </c>
      <c r="AI32" s="32">
        <v>7.0000000000000007E-2</v>
      </c>
      <c r="AJ32" s="32">
        <v>0.11</v>
      </c>
      <c r="AK32" s="32">
        <v>0.21</v>
      </c>
      <c r="AL32" s="32">
        <v>-7.0000000000000007E-2</v>
      </c>
      <c r="AM32" s="32">
        <v>0.16</v>
      </c>
      <c r="AN32" s="32">
        <v>0.01</v>
      </c>
      <c r="AO32" s="32">
        <v>-0.14000000000000001</v>
      </c>
      <c r="AP32" s="32">
        <v>0.02</v>
      </c>
      <c r="AQ32" s="32">
        <v>7.0000000000000007E-2</v>
      </c>
      <c r="AR32" s="32">
        <v>-0.02</v>
      </c>
      <c r="AS32" s="32">
        <v>0.08</v>
      </c>
      <c r="AT32" s="32">
        <v>0.02</v>
      </c>
      <c r="AU32" s="32">
        <v>-0.04</v>
      </c>
      <c r="AV32" s="32">
        <v>0.26</v>
      </c>
      <c r="AW32" s="32">
        <v>0.21</v>
      </c>
      <c r="AX32" s="32">
        <v>-7.0000000000000007E-2</v>
      </c>
      <c r="AY32" s="32">
        <v>-0.02</v>
      </c>
      <c r="AZ32" s="32">
        <v>0.13</v>
      </c>
      <c r="BA32" s="32">
        <v>0.06</v>
      </c>
      <c r="BB32" s="32">
        <v>0.06</v>
      </c>
      <c r="BC32" s="32">
        <v>0.22</v>
      </c>
      <c r="BD32" s="32">
        <v>0.14000000000000001</v>
      </c>
      <c r="BE32" s="32">
        <v>0</v>
      </c>
      <c r="BF32" s="32">
        <v>0.18</v>
      </c>
      <c r="BG32" s="32">
        <v>0.01</v>
      </c>
      <c r="BH32" s="32">
        <v>0.26</v>
      </c>
      <c r="BI32" s="32">
        <v>0.19</v>
      </c>
      <c r="BJ32" s="32">
        <v>0.04</v>
      </c>
      <c r="BK32" s="32">
        <v>0.14000000000000001</v>
      </c>
      <c r="BL32" s="32">
        <v>-0.01</v>
      </c>
      <c r="BM32" s="32">
        <v>-0.03</v>
      </c>
      <c r="BN32" s="32">
        <v>-0.02</v>
      </c>
      <c r="BO32" s="32">
        <v>0.04</v>
      </c>
      <c r="BP32" s="32">
        <v>7.0000000000000007E-2</v>
      </c>
      <c r="BQ32" s="32">
        <v>0.12</v>
      </c>
      <c r="BR32" s="32">
        <v>-7.0000000000000007E-2</v>
      </c>
      <c r="BS32" s="32">
        <v>0.01</v>
      </c>
      <c r="BT32" s="32">
        <v>0.11</v>
      </c>
      <c r="BU32" s="32">
        <v>0.08</v>
      </c>
      <c r="BV32" s="32">
        <v>0.01</v>
      </c>
      <c r="BW32" s="32">
        <v>0.01</v>
      </c>
      <c r="BX32" s="32">
        <v>-0.1</v>
      </c>
      <c r="BY32" s="32">
        <v>0.1</v>
      </c>
      <c r="BZ32" s="32">
        <v>0.03</v>
      </c>
      <c r="CA32" s="32">
        <v>0.28999999999999998</v>
      </c>
      <c r="CB32" s="32">
        <v>-0.04</v>
      </c>
      <c r="CC32" s="32">
        <v>-0.08</v>
      </c>
      <c r="CD32" s="32">
        <v>-0.05</v>
      </c>
      <c r="CE32" s="32">
        <v>7.0000000000000007E-2</v>
      </c>
      <c r="CF32" s="32">
        <v>-0.05</v>
      </c>
      <c r="CG32" s="32">
        <v>-0.09</v>
      </c>
      <c r="CH32" s="32">
        <v>0.22</v>
      </c>
      <c r="CI32" s="32">
        <v>0</v>
      </c>
      <c r="CJ32" s="32">
        <v>7.0000000000000007E-2</v>
      </c>
      <c r="CK32" s="32">
        <v>-0.04</v>
      </c>
      <c r="CL32" s="32">
        <v>0.04</v>
      </c>
      <c r="CM32" s="32">
        <v>-0.02</v>
      </c>
      <c r="CN32" s="32">
        <v>0.2</v>
      </c>
      <c r="CO32" s="32">
        <v>-0.05</v>
      </c>
      <c r="CP32" s="32">
        <v>-0.03</v>
      </c>
      <c r="CQ32" s="32">
        <v>0.05</v>
      </c>
      <c r="CR32" s="32">
        <v>0.06</v>
      </c>
      <c r="CS32" s="32">
        <v>0.1</v>
      </c>
      <c r="CT32" s="32">
        <v>0.14000000000000001</v>
      </c>
      <c r="CU32" s="32">
        <v>0.03</v>
      </c>
      <c r="CV32" s="32">
        <v>0.11</v>
      </c>
      <c r="CW32" s="32">
        <v>0.1</v>
      </c>
      <c r="CX32" s="32">
        <v>0.05</v>
      </c>
      <c r="CY32" s="32">
        <v>0.08</v>
      </c>
      <c r="CZ32" s="32">
        <v>-0.05</v>
      </c>
      <c r="DA32" s="32">
        <v>-0.1</v>
      </c>
      <c r="DB32" s="32">
        <v>0.15</v>
      </c>
      <c r="DC32" s="32">
        <v>0.12</v>
      </c>
      <c r="DD32" s="32">
        <v>7.0000000000000007E-2</v>
      </c>
      <c r="DE32" s="32">
        <v>7.0000000000000007E-2</v>
      </c>
      <c r="DF32" s="32">
        <v>-0.03</v>
      </c>
      <c r="DG32" s="32">
        <v>0.12</v>
      </c>
      <c r="DH32" s="32">
        <v>0.11</v>
      </c>
      <c r="DI32" s="32">
        <v>0.12</v>
      </c>
      <c r="DJ32" s="32">
        <v>-0.01</v>
      </c>
      <c r="DK32" s="32">
        <v>0.04</v>
      </c>
      <c r="DL32" s="32">
        <v>0.22</v>
      </c>
      <c r="DM32" s="32">
        <v>0.11</v>
      </c>
      <c r="DN32" s="32">
        <v>-0.01</v>
      </c>
      <c r="DO32" s="32">
        <v>0.14000000000000001</v>
      </c>
      <c r="DP32" s="32">
        <v>0.05</v>
      </c>
      <c r="DQ32" s="32">
        <v>0.08</v>
      </c>
      <c r="DR32" s="32">
        <v>0.06</v>
      </c>
      <c r="DS32" s="32">
        <v>-7.0000000000000007E-2</v>
      </c>
      <c r="DT32" s="32">
        <v>0.12</v>
      </c>
      <c r="DU32" s="32">
        <v>0.11</v>
      </c>
      <c r="DV32" s="32">
        <v>0.05</v>
      </c>
      <c r="DW32" s="32">
        <v>-0.04</v>
      </c>
      <c r="DX32" s="32">
        <v>0.04</v>
      </c>
      <c r="DY32" s="32">
        <v>0</v>
      </c>
      <c r="DZ32" s="32">
        <v>-0.08</v>
      </c>
      <c r="EA32" s="32">
        <v>-0.06</v>
      </c>
      <c r="EB32" s="32">
        <v>0.04</v>
      </c>
      <c r="EC32" s="32">
        <v>0.15</v>
      </c>
      <c r="ED32" s="32">
        <v>0.06</v>
      </c>
      <c r="EE32" s="32">
        <v>0.11</v>
      </c>
      <c r="EF32" s="32">
        <v>-0.03</v>
      </c>
      <c r="EG32" s="32">
        <v>0.02</v>
      </c>
      <c r="EH32" s="32">
        <v>-0.1</v>
      </c>
      <c r="EI32" s="32">
        <v>0.02</v>
      </c>
      <c r="EJ32" s="32">
        <v>0.1</v>
      </c>
      <c r="EK32" s="32">
        <v>0.14000000000000001</v>
      </c>
      <c r="EL32" s="32">
        <v>0.12</v>
      </c>
      <c r="EM32" s="32">
        <v>-0.01</v>
      </c>
      <c r="EN32" s="32">
        <v>0.03</v>
      </c>
      <c r="EO32" s="32">
        <v>0.02</v>
      </c>
    </row>
    <row r="33" spans="1:145" x14ac:dyDescent="0.25">
      <c r="A33" s="31" t="s">
        <v>109</v>
      </c>
      <c r="B33" s="32">
        <v>0.06</v>
      </c>
      <c r="C33" s="32">
        <v>0.2</v>
      </c>
      <c r="D33" s="32">
        <v>0.02</v>
      </c>
      <c r="E33" s="32">
        <v>0.24</v>
      </c>
      <c r="F33" s="32">
        <v>0.13</v>
      </c>
      <c r="G33" s="32">
        <v>0.04</v>
      </c>
      <c r="H33" s="32">
        <v>0.22</v>
      </c>
      <c r="I33" s="32">
        <v>7.0000000000000007E-2</v>
      </c>
      <c r="J33" s="32">
        <v>0.11</v>
      </c>
      <c r="K33" s="32">
        <v>0.14000000000000001</v>
      </c>
      <c r="L33" s="32">
        <v>0.22</v>
      </c>
      <c r="M33" s="32">
        <v>0.16</v>
      </c>
      <c r="N33" s="32">
        <v>0.02</v>
      </c>
      <c r="O33" s="32">
        <v>0.28999999999999998</v>
      </c>
      <c r="P33" s="32">
        <v>0.11</v>
      </c>
      <c r="Q33" s="32">
        <v>0.03</v>
      </c>
      <c r="R33" s="32">
        <v>7.0000000000000007E-2</v>
      </c>
      <c r="S33" s="32">
        <v>0.28000000000000003</v>
      </c>
      <c r="T33" s="32">
        <v>-0.05</v>
      </c>
      <c r="U33" s="32">
        <v>0.27</v>
      </c>
      <c r="V33" s="32">
        <v>0.28000000000000003</v>
      </c>
      <c r="W33" s="32">
        <v>0.36</v>
      </c>
      <c r="X33" s="32">
        <v>0.03</v>
      </c>
      <c r="Y33" s="32">
        <v>0.02</v>
      </c>
      <c r="Z33" s="32">
        <v>0.27</v>
      </c>
      <c r="AA33" s="32">
        <v>0.2</v>
      </c>
      <c r="AB33" s="32">
        <v>-0.03</v>
      </c>
      <c r="AC33" s="32">
        <v>0.2</v>
      </c>
      <c r="AD33" s="32">
        <v>1</v>
      </c>
      <c r="AE33" s="32">
        <v>0.28999999999999998</v>
      </c>
      <c r="AF33" s="32">
        <v>0.31</v>
      </c>
      <c r="AG33" s="32">
        <v>0.13</v>
      </c>
      <c r="AH33" s="32">
        <v>7.0000000000000007E-2</v>
      </c>
      <c r="AI33" s="32">
        <v>0.03</v>
      </c>
      <c r="AJ33" s="32">
        <v>0.16</v>
      </c>
      <c r="AK33" s="32">
        <v>0.28999999999999998</v>
      </c>
      <c r="AL33" s="32">
        <v>0.05</v>
      </c>
      <c r="AM33" s="32">
        <v>0.13</v>
      </c>
      <c r="AN33" s="32">
        <v>0.06</v>
      </c>
      <c r="AO33" s="32">
        <v>0.01</v>
      </c>
      <c r="AP33" s="32">
        <v>-0.04</v>
      </c>
      <c r="AQ33" s="32">
        <v>0.05</v>
      </c>
      <c r="AR33" s="32">
        <v>-0.03</v>
      </c>
      <c r="AS33" s="32">
        <v>0.16</v>
      </c>
      <c r="AT33" s="32">
        <v>-0.06</v>
      </c>
      <c r="AU33" s="32">
        <v>0.05</v>
      </c>
      <c r="AV33" s="32">
        <v>0.27</v>
      </c>
      <c r="AW33" s="32">
        <v>0.32</v>
      </c>
      <c r="AX33" s="32">
        <v>0.04</v>
      </c>
      <c r="AY33" s="32">
        <v>0.08</v>
      </c>
      <c r="AZ33" s="32">
        <v>0.17</v>
      </c>
      <c r="BA33" s="32">
        <v>0.19</v>
      </c>
      <c r="BB33" s="32">
        <v>0</v>
      </c>
      <c r="BC33" s="32">
        <v>0.24</v>
      </c>
      <c r="BD33" s="32">
        <v>0.28000000000000003</v>
      </c>
      <c r="BE33" s="32">
        <v>0.12</v>
      </c>
      <c r="BF33" s="32">
        <v>0.2</v>
      </c>
      <c r="BG33" s="32">
        <v>-0.01</v>
      </c>
      <c r="BH33" s="32">
        <v>0.2</v>
      </c>
      <c r="BI33" s="32">
        <v>0.02</v>
      </c>
      <c r="BJ33" s="32">
        <v>0.04</v>
      </c>
      <c r="BK33" s="32">
        <v>0.21</v>
      </c>
      <c r="BL33" s="32">
        <v>0.17</v>
      </c>
      <c r="BM33" s="32">
        <v>0.02</v>
      </c>
      <c r="BN33" s="32">
        <v>0.1</v>
      </c>
      <c r="BO33" s="32">
        <v>7.0000000000000007E-2</v>
      </c>
      <c r="BP33" s="32">
        <v>-7.0000000000000007E-2</v>
      </c>
      <c r="BQ33" s="32">
        <v>0.33</v>
      </c>
      <c r="BR33" s="32">
        <v>0.04</v>
      </c>
      <c r="BS33" s="32">
        <v>7.0000000000000007E-2</v>
      </c>
      <c r="BT33" s="32">
        <v>0.17</v>
      </c>
      <c r="BU33" s="32">
        <v>0.2</v>
      </c>
      <c r="BV33" s="32">
        <v>0.11</v>
      </c>
      <c r="BW33" s="32">
        <v>0.06</v>
      </c>
      <c r="BX33" s="32">
        <v>0.03</v>
      </c>
      <c r="BY33" s="32">
        <v>0.08</v>
      </c>
      <c r="BZ33" s="32">
        <v>0.1</v>
      </c>
      <c r="CA33" s="32">
        <v>0.33</v>
      </c>
      <c r="CB33" s="32">
        <v>-7.0000000000000007E-2</v>
      </c>
      <c r="CC33" s="32">
        <v>0.01</v>
      </c>
      <c r="CD33" s="32">
        <v>-0.04</v>
      </c>
      <c r="CE33" s="32">
        <v>7.0000000000000007E-2</v>
      </c>
      <c r="CF33" s="32">
        <v>0.09</v>
      </c>
      <c r="CG33" s="32">
        <v>-7.0000000000000007E-2</v>
      </c>
      <c r="CH33" s="32">
        <v>0.25</v>
      </c>
      <c r="CI33" s="32">
        <v>0</v>
      </c>
      <c r="CJ33" s="32">
        <v>0.05</v>
      </c>
      <c r="CK33" s="32">
        <v>0.04</v>
      </c>
      <c r="CL33" s="32">
        <v>0.09</v>
      </c>
      <c r="CM33" s="32">
        <v>0</v>
      </c>
      <c r="CN33" s="32">
        <v>0.18</v>
      </c>
      <c r="CO33" s="32">
        <v>0.13</v>
      </c>
      <c r="CP33" s="32">
        <v>-0.05</v>
      </c>
      <c r="CQ33" s="32">
        <v>0.06</v>
      </c>
      <c r="CR33" s="32">
        <v>0.17</v>
      </c>
      <c r="CS33" s="32">
        <v>0.2</v>
      </c>
      <c r="CT33" s="32">
        <v>0.1</v>
      </c>
      <c r="CU33" s="32">
        <v>0.06</v>
      </c>
      <c r="CV33" s="32">
        <v>0.04</v>
      </c>
      <c r="CW33" s="32">
        <v>0.12</v>
      </c>
      <c r="CX33" s="32">
        <v>0.14000000000000001</v>
      </c>
      <c r="CY33" s="32">
        <v>0.09</v>
      </c>
      <c r="CZ33" s="32">
        <v>-0.05</v>
      </c>
      <c r="DA33" s="32">
        <v>-0.02</v>
      </c>
      <c r="DB33" s="32">
        <v>0.12</v>
      </c>
      <c r="DC33" s="32">
        <v>0.05</v>
      </c>
      <c r="DD33" s="32">
        <v>0.03</v>
      </c>
      <c r="DE33" s="32">
        <v>0.17</v>
      </c>
      <c r="DF33" s="32">
        <v>-0.2</v>
      </c>
      <c r="DG33" s="32">
        <v>0.11</v>
      </c>
      <c r="DH33" s="32">
        <v>0.12</v>
      </c>
      <c r="DI33" s="32">
        <v>0.06</v>
      </c>
      <c r="DJ33" s="32">
        <v>0.05</v>
      </c>
      <c r="DK33" s="32">
        <v>0.09</v>
      </c>
      <c r="DL33" s="32">
        <v>0.12</v>
      </c>
      <c r="DM33" s="32">
        <v>0.12</v>
      </c>
      <c r="DN33" s="32">
        <v>-0.11</v>
      </c>
      <c r="DO33" s="32">
        <v>0.11</v>
      </c>
      <c r="DP33" s="32">
        <v>0.05</v>
      </c>
      <c r="DQ33" s="32">
        <v>0.13</v>
      </c>
      <c r="DR33" s="32">
        <v>7.0000000000000007E-2</v>
      </c>
      <c r="DS33" s="32">
        <v>-7.0000000000000007E-2</v>
      </c>
      <c r="DT33" s="32">
        <v>-0.11</v>
      </c>
      <c r="DU33" s="32">
        <v>0.08</v>
      </c>
      <c r="DV33" s="32">
        <v>-0.05</v>
      </c>
      <c r="DW33" s="32">
        <v>-0.11</v>
      </c>
      <c r="DX33" s="32">
        <v>0.16</v>
      </c>
      <c r="DY33" s="32">
        <v>0.04</v>
      </c>
      <c r="DZ33" s="32">
        <v>-0.04</v>
      </c>
      <c r="EA33" s="32">
        <v>0.1</v>
      </c>
      <c r="EB33" s="32">
        <v>0</v>
      </c>
      <c r="EC33" s="32">
        <v>0.04</v>
      </c>
      <c r="ED33" s="32">
        <v>0.06</v>
      </c>
      <c r="EE33" s="32">
        <v>0.18</v>
      </c>
      <c r="EF33" s="32">
        <v>0.08</v>
      </c>
      <c r="EG33" s="32">
        <v>0.19</v>
      </c>
      <c r="EH33" s="32">
        <v>-0.08</v>
      </c>
      <c r="EI33" s="32">
        <v>0.11</v>
      </c>
      <c r="EJ33" s="32">
        <v>0.13</v>
      </c>
      <c r="EK33" s="32">
        <v>0.11</v>
      </c>
      <c r="EL33" s="32">
        <v>0.16</v>
      </c>
      <c r="EM33" s="32">
        <v>0.06</v>
      </c>
      <c r="EN33" s="32">
        <v>0.04</v>
      </c>
      <c r="EO33" s="32">
        <v>-0.03</v>
      </c>
    </row>
    <row r="34" spans="1:145" x14ac:dyDescent="0.25">
      <c r="A34" s="31" t="s">
        <v>110</v>
      </c>
      <c r="B34" s="32">
        <v>0</v>
      </c>
      <c r="C34" s="32">
        <v>0.2</v>
      </c>
      <c r="D34" s="32">
        <v>0.19</v>
      </c>
      <c r="E34" s="32">
        <v>0.19</v>
      </c>
      <c r="F34" s="32">
        <v>-7.0000000000000007E-2</v>
      </c>
      <c r="G34" s="32">
        <v>0.22</v>
      </c>
      <c r="H34" s="32">
        <v>0.21</v>
      </c>
      <c r="I34" s="32">
        <v>0.05</v>
      </c>
      <c r="J34" s="32">
        <v>-0.09</v>
      </c>
      <c r="K34" s="32">
        <v>0.04</v>
      </c>
      <c r="L34" s="32">
        <v>0.25</v>
      </c>
      <c r="M34" s="32">
        <v>0.24</v>
      </c>
      <c r="N34" s="32">
        <v>0</v>
      </c>
      <c r="O34" s="32">
        <v>0.32</v>
      </c>
      <c r="P34" s="32">
        <v>0.03</v>
      </c>
      <c r="Q34" s="32">
        <v>7.0000000000000007E-2</v>
      </c>
      <c r="R34" s="32">
        <v>0.02</v>
      </c>
      <c r="S34" s="32">
        <v>0.23</v>
      </c>
      <c r="T34" s="32">
        <v>0.17</v>
      </c>
      <c r="U34" s="32">
        <v>0.33</v>
      </c>
      <c r="V34" s="32">
        <v>0.26</v>
      </c>
      <c r="W34" s="32">
        <v>0.15</v>
      </c>
      <c r="X34" s="32">
        <v>0.14000000000000001</v>
      </c>
      <c r="Y34" s="32">
        <v>0.14000000000000001</v>
      </c>
      <c r="Z34" s="32">
        <v>0.31</v>
      </c>
      <c r="AA34" s="32">
        <v>0.28999999999999998</v>
      </c>
      <c r="AB34" s="32">
        <v>0.1</v>
      </c>
      <c r="AC34" s="32">
        <v>0.19</v>
      </c>
      <c r="AD34" s="32">
        <v>0.28999999999999998</v>
      </c>
      <c r="AE34" s="32">
        <v>1</v>
      </c>
      <c r="AF34" s="32">
        <v>0.44</v>
      </c>
      <c r="AG34" s="32">
        <v>-0.08</v>
      </c>
      <c r="AH34" s="32">
        <v>-0.05</v>
      </c>
      <c r="AI34" s="32">
        <v>-0.28000000000000003</v>
      </c>
      <c r="AJ34" s="32">
        <v>0.24</v>
      </c>
      <c r="AK34" s="32">
        <v>0.38</v>
      </c>
      <c r="AL34" s="32">
        <v>0.11</v>
      </c>
      <c r="AM34" s="32">
        <v>0.24</v>
      </c>
      <c r="AN34" s="32">
        <v>0.22</v>
      </c>
      <c r="AO34" s="32">
        <v>-0.03</v>
      </c>
      <c r="AP34" s="32">
        <v>0.08</v>
      </c>
      <c r="AQ34" s="32">
        <v>-0.24</v>
      </c>
      <c r="AR34" s="32">
        <v>0.16</v>
      </c>
      <c r="AS34" s="32">
        <v>0.36</v>
      </c>
      <c r="AT34" s="32">
        <v>0.22</v>
      </c>
      <c r="AU34" s="32">
        <v>-0.04</v>
      </c>
      <c r="AV34" s="32">
        <v>0.32</v>
      </c>
      <c r="AW34" s="32">
        <v>0.3</v>
      </c>
      <c r="AX34" s="32">
        <v>0.06</v>
      </c>
      <c r="AY34" s="32">
        <v>0.08</v>
      </c>
      <c r="AZ34" s="32">
        <v>0.65</v>
      </c>
      <c r="BA34" s="32">
        <v>0.22</v>
      </c>
      <c r="BB34" s="32">
        <v>0.26</v>
      </c>
      <c r="BC34" s="32">
        <v>0.21</v>
      </c>
      <c r="BD34" s="32">
        <v>0.42</v>
      </c>
      <c r="BE34" s="32">
        <v>0.05</v>
      </c>
      <c r="BF34" s="32">
        <v>0.32</v>
      </c>
      <c r="BG34" s="32">
        <v>0.12</v>
      </c>
      <c r="BH34" s="32">
        <v>0.25</v>
      </c>
      <c r="BI34" s="32">
        <v>0.14000000000000001</v>
      </c>
      <c r="BJ34" s="32">
        <v>0.08</v>
      </c>
      <c r="BK34" s="32">
        <v>0.66</v>
      </c>
      <c r="BL34" s="32">
        <v>0.15</v>
      </c>
      <c r="BM34" s="32">
        <v>0.03</v>
      </c>
      <c r="BN34" s="32">
        <v>-0.05</v>
      </c>
      <c r="BO34" s="32">
        <v>0.14000000000000001</v>
      </c>
      <c r="BP34" s="32">
        <v>0.04</v>
      </c>
      <c r="BQ34" s="32">
        <v>0.34</v>
      </c>
      <c r="BR34" s="32">
        <v>0.16</v>
      </c>
      <c r="BS34" s="32">
        <v>-0.23</v>
      </c>
      <c r="BT34" s="32">
        <v>0.28999999999999998</v>
      </c>
      <c r="BU34" s="32">
        <v>0.27</v>
      </c>
      <c r="BV34" s="32">
        <v>0.11</v>
      </c>
      <c r="BW34" s="32">
        <v>0.15</v>
      </c>
      <c r="BX34" s="32">
        <v>-0.03</v>
      </c>
      <c r="BY34" s="32">
        <v>0.18</v>
      </c>
      <c r="BZ34" s="32">
        <v>0.16</v>
      </c>
      <c r="CA34" s="32">
        <v>0.28999999999999998</v>
      </c>
      <c r="CB34" s="32">
        <v>-7.0000000000000007E-2</v>
      </c>
      <c r="CC34" s="32">
        <v>-0.04</v>
      </c>
      <c r="CD34" s="32">
        <v>0.11</v>
      </c>
      <c r="CE34" s="32">
        <v>0.14000000000000001</v>
      </c>
      <c r="CF34" s="32">
        <v>-0.22</v>
      </c>
      <c r="CG34" s="32">
        <v>0.12</v>
      </c>
      <c r="CH34" s="32">
        <v>0.37</v>
      </c>
      <c r="CI34" s="32">
        <v>-0.25</v>
      </c>
      <c r="CJ34" s="32">
        <v>-0.01</v>
      </c>
      <c r="CK34" s="32">
        <v>0.05</v>
      </c>
      <c r="CL34" s="32">
        <v>0.11</v>
      </c>
      <c r="CM34" s="32">
        <v>0.11</v>
      </c>
      <c r="CN34" s="32">
        <v>0.16</v>
      </c>
      <c r="CO34" s="32">
        <v>0.12</v>
      </c>
      <c r="CP34" s="32">
        <v>-0.02</v>
      </c>
      <c r="CQ34" s="32">
        <v>0.23</v>
      </c>
      <c r="CR34" s="32">
        <v>0.22</v>
      </c>
      <c r="CS34" s="32">
        <v>0.25</v>
      </c>
      <c r="CT34" s="32">
        <v>0.11</v>
      </c>
      <c r="CU34" s="32">
        <v>0.13</v>
      </c>
      <c r="CV34" s="32">
        <v>0.13</v>
      </c>
      <c r="CW34" s="32">
        <v>0.15</v>
      </c>
      <c r="CX34" s="32">
        <v>0.21</v>
      </c>
      <c r="CY34" s="32">
        <v>0.27</v>
      </c>
      <c r="CZ34" s="32">
        <v>0.03</v>
      </c>
      <c r="DA34" s="32">
        <v>0.01</v>
      </c>
      <c r="DB34" s="32">
        <v>0.13</v>
      </c>
      <c r="DC34" s="32">
        <v>0.42</v>
      </c>
      <c r="DD34" s="32">
        <v>0.18</v>
      </c>
      <c r="DE34" s="32">
        <v>0.3</v>
      </c>
      <c r="DF34" s="32">
        <v>-0.13</v>
      </c>
      <c r="DG34" s="32">
        <v>0.22</v>
      </c>
      <c r="DH34" s="32">
        <v>0.17</v>
      </c>
      <c r="DI34" s="32">
        <v>0.24</v>
      </c>
      <c r="DJ34" s="32">
        <v>0.18</v>
      </c>
      <c r="DK34" s="32">
        <v>0.27</v>
      </c>
      <c r="DL34" s="32">
        <v>0.3</v>
      </c>
      <c r="DM34" s="32">
        <v>0.31</v>
      </c>
      <c r="DN34" s="32">
        <v>-7.0000000000000007E-2</v>
      </c>
      <c r="DO34" s="32">
        <v>0.14000000000000001</v>
      </c>
      <c r="DP34" s="32">
        <v>0.22</v>
      </c>
      <c r="DQ34" s="32">
        <v>0.11</v>
      </c>
      <c r="DR34" s="32">
        <v>0.04</v>
      </c>
      <c r="DS34" s="32">
        <v>-0.03</v>
      </c>
      <c r="DT34" s="32">
        <v>0.04</v>
      </c>
      <c r="DU34" s="32">
        <v>0.16</v>
      </c>
      <c r="DV34" s="32">
        <v>0</v>
      </c>
      <c r="DW34" s="32">
        <v>0.06</v>
      </c>
      <c r="DX34" s="32">
        <v>0.23</v>
      </c>
      <c r="DY34" s="32">
        <v>0.16</v>
      </c>
      <c r="DZ34" s="32">
        <v>-0.03</v>
      </c>
      <c r="EA34" s="32">
        <v>0.15</v>
      </c>
      <c r="EB34" s="32">
        <v>0.14000000000000001</v>
      </c>
      <c r="EC34" s="32">
        <v>0.13</v>
      </c>
      <c r="ED34" s="32">
        <v>0.24</v>
      </c>
      <c r="EE34" s="32">
        <v>0.18</v>
      </c>
      <c r="EF34" s="32">
        <v>0.1</v>
      </c>
      <c r="EG34" s="32">
        <v>0.13</v>
      </c>
      <c r="EH34" s="32">
        <v>-7.0000000000000007E-2</v>
      </c>
      <c r="EI34" s="32">
        <v>0.18</v>
      </c>
      <c r="EJ34" s="32">
        <v>0.23</v>
      </c>
      <c r="EK34" s="32">
        <v>0.1</v>
      </c>
      <c r="EL34" s="32">
        <v>0.19</v>
      </c>
      <c r="EM34" s="32">
        <v>-0.06</v>
      </c>
      <c r="EN34" s="32">
        <v>7.0000000000000007E-2</v>
      </c>
      <c r="EO34" s="32">
        <v>0.05</v>
      </c>
    </row>
    <row r="35" spans="1:145" x14ac:dyDescent="0.25">
      <c r="A35" s="31" t="s">
        <v>111</v>
      </c>
      <c r="B35" s="32">
        <v>-0.14000000000000001</v>
      </c>
      <c r="C35" s="32">
        <v>0.24</v>
      </c>
      <c r="D35" s="32">
        <v>0.17</v>
      </c>
      <c r="E35" s="32">
        <v>0.34</v>
      </c>
      <c r="F35" s="32">
        <v>-0.1</v>
      </c>
      <c r="G35" s="32">
        <v>0.19</v>
      </c>
      <c r="H35" s="32">
        <v>0.26</v>
      </c>
      <c r="I35" s="32">
        <v>-0.01</v>
      </c>
      <c r="J35" s="32">
        <v>-0.01</v>
      </c>
      <c r="K35" s="32">
        <v>-0.06</v>
      </c>
      <c r="L35" s="32">
        <v>0.28999999999999998</v>
      </c>
      <c r="M35" s="32">
        <v>0.12</v>
      </c>
      <c r="N35" s="32">
        <v>-0.01</v>
      </c>
      <c r="O35" s="32">
        <v>0.44</v>
      </c>
      <c r="P35" s="32">
        <v>0.01</v>
      </c>
      <c r="Q35" s="32">
        <v>0.05</v>
      </c>
      <c r="R35" s="32">
        <v>-0.03</v>
      </c>
      <c r="S35" s="32">
        <v>0.3</v>
      </c>
      <c r="T35" s="32">
        <v>0.08</v>
      </c>
      <c r="U35" s="32">
        <v>0.42</v>
      </c>
      <c r="V35" s="32">
        <v>0.42</v>
      </c>
      <c r="W35" s="32">
        <v>0.33</v>
      </c>
      <c r="X35" s="32">
        <v>0.15</v>
      </c>
      <c r="Y35" s="32">
        <v>-0.02</v>
      </c>
      <c r="Z35" s="32">
        <v>0.28999999999999998</v>
      </c>
      <c r="AA35" s="32">
        <v>0.31</v>
      </c>
      <c r="AB35" s="32">
        <v>-0.06</v>
      </c>
      <c r="AC35" s="32">
        <v>0.16</v>
      </c>
      <c r="AD35" s="32">
        <v>0.31</v>
      </c>
      <c r="AE35" s="32">
        <v>0.44</v>
      </c>
      <c r="AF35" s="32">
        <v>1</v>
      </c>
      <c r="AG35" s="32">
        <v>-0.06</v>
      </c>
      <c r="AH35" s="32">
        <v>-0.05</v>
      </c>
      <c r="AI35" s="32">
        <v>-0.16</v>
      </c>
      <c r="AJ35" s="32">
        <v>0.24</v>
      </c>
      <c r="AK35" s="32">
        <v>0.48</v>
      </c>
      <c r="AL35" s="32">
        <v>0.02</v>
      </c>
      <c r="AM35" s="32">
        <v>0.28000000000000003</v>
      </c>
      <c r="AN35" s="32">
        <v>0</v>
      </c>
      <c r="AO35" s="32">
        <v>-0.05</v>
      </c>
      <c r="AP35" s="32">
        <v>0.04</v>
      </c>
      <c r="AQ35" s="32">
        <v>-0.08</v>
      </c>
      <c r="AR35" s="32">
        <v>0.09</v>
      </c>
      <c r="AS35" s="32">
        <v>0.41</v>
      </c>
      <c r="AT35" s="32">
        <v>0.01</v>
      </c>
      <c r="AU35" s="32">
        <v>0</v>
      </c>
      <c r="AV35" s="32">
        <v>0.32</v>
      </c>
      <c r="AW35" s="32">
        <v>0.33</v>
      </c>
      <c r="AX35" s="32">
        <v>0</v>
      </c>
      <c r="AY35" s="32">
        <v>0.04</v>
      </c>
      <c r="AZ35" s="32">
        <v>0.41</v>
      </c>
      <c r="BA35" s="32">
        <v>7.0000000000000007E-2</v>
      </c>
      <c r="BB35" s="32">
        <v>0.16</v>
      </c>
      <c r="BC35" s="32">
        <v>0.23</v>
      </c>
      <c r="BD35" s="32">
        <v>0.35</v>
      </c>
      <c r="BE35" s="32">
        <v>0.05</v>
      </c>
      <c r="BF35" s="32">
        <v>0.28999999999999998</v>
      </c>
      <c r="BG35" s="32">
        <v>0</v>
      </c>
      <c r="BH35" s="32">
        <v>0.24</v>
      </c>
      <c r="BI35" s="32">
        <v>0.21</v>
      </c>
      <c r="BJ35" s="32">
        <v>0.14000000000000001</v>
      </c>
      <c r="BK35" s="32">
        <v>0.41</v>
      </c>
      <c r="BL35" s="32">
        <v>0.13</v>
      </c>
      <c r="BM35" s="32">
        <v>0.01</v>
      </c>
      <c r="BN35" s="32">
        <v>0.01</v>
      </c>
      <c r="BO35" s="32">
        <v>7.0000000000000007E-2</v>
      </c>
      <c r="BP35" s="32">
        <v>0.04</v>
      </c>
      <c r="BQ35" s="32">
        <v>0.42</v>
      </c>
      <c r="BR35" s="32">
        <v>0.12</v>
      </c>
      <c r="BS35" s="32">
        <v>-0.11</v>
      </c>
      <c r="BT35" s="32">
        <v>0.19</v>
      </c>
      <c r="BU35" s="32">
        <v>0.26</v>
      </c>
      <c r="BV35" s="32">
        <v>0.02</v>
      </c>
      <c r="BW35" s="32">
        <v>0.17</v>
      </c>
      <c r="BX35" s="32">
        <v>-0.04</v>
      </c>
      <c r="BY35" s="32">
        <v>0.02</v>
      </c>
      <c r="BZ35" s="32">
        <v>0.11</v>
      </c>
      <c r="CA35" s="32">
        <v>0.4</v>
      </c>
      <c r="CB35" s="32">
        <v>-0.04</v>
      </c>
      <c r="CC35" s="32">
        <v>0.02</v>
      </c>
      <c r="CD35" s="32">
        <v>-0.05</v>
      </c>
      <c r="CE35" s="32">
        <v>0.08</v>
      </c>
      <c r="CF35" s="32">
        <v>-0.08</v>
      </c>
      <c r="CG35" s="32">
        <v>-0.04</v>
      </c>
      <c r="CH35" s="32">
        <v>0.51</v>
      </c>
      <c r="CI35" s="32">
        <v>-0.11</v>
      </c>
      <c r="CJ35" s="32">
        <v>-0.1</v>
      </c>
      <c r="CK35" s="32">
        <v>-0.06</v>
      </c>
      <c r="CL35" s="32">
        <v>0.01</v>
      </c>
      <c r="CM35" s="32">
        <v>0.13</v>
      </c>
      <c r="CN35" s="32">
        <v>0.36</v>
      </c>
      <c r="CO35" s="32">
        <v>0.22</v>
      </c>
      <c r="CP35" s="32">
        <v>0.01</v>
      </c>
      <c r="CQ35" s="32">
        <v>0.12</v>
      </c>
      <c r="CR35" s="32">
        <v>0.14000000000000001</v>
      </c>
      <c r="CS35" s="32">
        <v>0.25</v>
      </c>
      <c r="CT35" s="32">
        <v>0.16</v>
      </c>
      <c r="CU35" s="32">
        <v>0.08</v>
      </c>
      <c r="CV35" s="32">
        <v>0.18</v>
      </c>
      <c r="CW35" s="32">
        <v>0.13</v>
      </c>
      <c r="CX35" s="32">
        <v>0.17</v>
      </c>
      <c r="CY35" s="32">
        <v>7.0000000000000007E-2</v>
      </c>
      <c r="CZ35" s="32">
        <v>0.09</v>
      </c>
      <c r="DA35" s="32">
        <v>-0.13</v>
      </c>
      <c r="DB35" s="32">
        <v>0.26</v>
      </c>
      <c r="DC35" s="32">
        <v>0.28000000000000003</v>
      </c>
      <c r="DD35" s="32">
        <v>7.0000000000000007E-2</v>
      </c>
      <c r="DE35" s="32">
        <v>0.32</v>
      </c>
      <c r="DF35" s="32">
        <v>-0.06</v>
      </c>
      <c r="DG35" s="32">
        <v>0.26</v>
      </c>
      <c r="DH35" s="32">
        <v>0.13</v>
      </c>
      <c r="DI35" s="32">
        <v>0.11</v>
      </c>
      <c r="DJ35" s="32">
        <v>-0.01</v>
      </c>
      <c r="DK35" s="32">
        <v>0.13</v>
      </c>
      <c r="DL35" s="32">
        <v>0.36</v>
      </c>
      <c r="DM35" s="32">
        <v>0.09</v>
      </c>
      <c r="DN35" s="32">
        <v>-0.01</v>
      </c>
      <c r="DO35" s="32">
        <v>0.17</v>
      </c>
      <c r="DP35" s="32">
        <v>0.01</v>
      </c>
      <c r="DQ35" s="32">
        <v>0.09</v>
      </c>
      <c r="DR35" s="32">
        <v>0.2</v>
      </c>
      <c r="DS35" s="32">
        <v>-0.05</v>
      </c>
      <c r="DT35" s="32">
        <v>0.06</v>
      </c>
      <c r="DU35" s="32">
        <v>0.16</v>
      </c>
      <c r="DV35" s="32">
        <v>0.15</v>
      </c>
      <c r="DW35" s="32">
        <v>-0.02</v>
      </c>
      <c r="DX35" s="32">
        <v>0.22</v>
      </c>
      <c r="DY35" s="32">
        <v>0.08</v>
      </c>
      <c r="DZ35" s="32">
        <v>0</v>
      </c>
      <c r="EA35" s="32">
        <v>0.12</v>
      </c>
      <c r="EB35" s="32">
        <v>0.08</v>
      </c>
      <c r="EC35" s="32">
        <v>0.13</v>
      </c>
      <c r="ED35" s="32">
        <v>0.18</v>
      </c>
      <c r="EE35" s="32">
        <v>0.16</v>
      </c>
      <c r="EF35" s="32">
        <v>0.16</v>
      </c>
      <c r="EG35" s="32">
        <v>0.21</v>
      </c>
      <c r="EH35" s="32">
        <v>-0.13</v>
      </c>
      <c r="EI35" s="32">
        <v>0.12</v>
      </c>
      <c r="EJ35" s="32">
        <v>0.15</v>
      </c>
      <c r="EK35" s="32">
        <v>0.1</v>
      </c>
      <c r="EL35" s="32">
        <v>0.17</v>
      </c>
      <c r="EM35" s="32">
        <v>0.01</v>
      </c>
      <c r="EN35" s="32">
        <v>0.04</v>
      </c>
      <c r="EO35" s="32">
        <v>-0.06</v>
      </c>
    </row>
    <row r="36" spans="1:145" x14ac:dyDescent="0.25">
      <c r="A36" s="31" t="s">
        <v>112</v>
      </c>
      <c r="B36" s="32">
        <v>0.26</v>
      </c>
      <c r="C36" s="32">
        <v>-0.02</v>
      </c>
      <c r="D36" s="32">
        <v>-0.02</v>
      </c>
      <c r="E36" s="32">
        <v>0.08</v>
      </c>
      <c r="F36" s="32">
        <v>0.39</v>
      </c>
      <c r="G36" s="32">
        <v>-0.08</v>
      </c>
      <c r="H36" s="32">
        <v>-0.03</v>
      </c>
      <c r="I36" s="32">
        <v>0.3</v>
      </c>
      <c r="J36" s="32">
        <v>0.3</v>
      </c>
      <c r="K36" s="32">
        <v>0.35</v>
      </c>
      <c r="L36" s="32">
        <v>-0.02</v>
      </c>
      <c r="M36" s="32">
        <v>0.03</v>
      </c>
      <c r="N36" s="32">
        <v>0.19</v>
      </c>
      <c r="O36" s="32">
        <v>0.05</v>
      </c>
      <c r="P36" s="32">
        <v>0.31</v>
      </c>
      <c r="Q36" s="32">
        <v>0.01</v>
      </c>
      <c r="R36" s="32">
        <v>0.38</v>
      </c>
      <c r="S36" s="32">
        <v>0.11</v>
      </c>
      <c r="T36" s="32">
        <v>7.0000000000000007E-2</v>
      </c>
      <c r="U36" s="32">
        <v>7.0000000000000007E-2</v>
      </c>
      <c r="V36" s="32">
        <v>0</v>
      </c>
      <c r="W36" s="32">
        <v>0.08</v>
      </c>
      <c r="X36" s="32">
        <v>0.12</v>
      </c>
      <c r="Y36" s="32">
        <v>0.19</v>
      </c>
      <c r="Z36" s="32">
        <v>0.01</v>
      </c>
      <c r="AA36" s="32">
        <v>0.08</v>
      </c>
      <c r="AB36" s="32">
        <v>0.19</v>
      </c>
      <c r="AC36" s="32">
        <v>-0.04</v>
      </c>
      <c r="AD36" s="32">
        <v>0.13</v>
      </c>
      <c r="AE36" s="32">
        <v>-0.08</v>
      </c>
      <c r="AF36" s="32">
        <v>-0.06</v>
      </c>
      <c r="AG36" s="32">
        <v>1</v>
      </c>
      <c r="AH36" s="32">
        <v>0.78</v>
      </c>
      <c r="AI36" s="32">
        <v>0.35</v>
      </c>
      <c r="AJ36" s="32">
        <v>-0.02</v>
      </c>
      <c r="AK36" s="32">
        <v>-0.02</v>
      </c>
      <c r="AL36" s="32">
        <v>0.14000000000000001</v>
      </c>
      <c r="AM36" s="32">
        <v>0.06</v>
      </c>
      <c r="AN36" s="32">
        <v>0.17</v>
      </c>
      <c r="AO36" s="32">
        <v>0.23</v>
      </c>
      <c r="AP36" s="32">
        <v>0.17</v>
      </c>
      <c r="AQ36" s="32">
        <v>0.28000000000000003</v>
      </c>
      <c r="AR36" s="32">
        <v>0.1</v>
      </c>
      <c r="AS36" s="32">
        <v>-0.09</v>
      </c>
      <c r="AT36" s="32">
        <v>-0.02</v>
      </c>
      <c r="AU36" s="32">
        <v>0.25</v>
      </c>
      <c r="AV36" s="32">
        <v>0.05</v>
      </c>
      <c r="AW36" s="32">
        <v>-0.03</v>
      </c>
      <c r="AX36" s="32">
        <v>0.21</v>
      </c>
      <c r="AY36" s="32">
        <v>0.11</v>
      </c>
      <c r="AZ36" s="32">
        <v>-0.03</v>
      </c>
      <c r="BA36" s="32">
        <v>0.19</v>
      </c>
      <c r="BB36" s="32">
        <v>-0.04</v>
      </c>
      <c r="BC36" s="32">
        <v>0</v>
      </c>
      <c r="BD36" s="32">
        <v>0.04</v>
      </c>
      <c r="BE36" s="32">
        <v>0.28000000000000003</v>
      </c>
      <c r="BF36" s="32">
        <v>-0.03</v>
      </c>
      <c r="BG36" s="32">
        <v>-0.01</v>
      </c>
      <c r="BH36" s="32">
        <v>-0.03</v>
      </c>
      <c r="BI36" s="32">
        <v>-0.06</v>
      </c>
      <c r="BJ36" s="32">
        <v>-0.02</v>
      </c>
      <c r="BK36" s="32">
        <v>-0.03</v>
      </c>
      <c r="BL36" s="32">
        <v>0.05</v>
      </c>
      <c r="BM36" s="32">
        <v>0.3</v>
      </c>
      <c r="BN36" s="32">
        <v>0.23</v>
      </c>
      <c r="BO36" s="32">
        <v>-0.03</v>
      </c>
      <c r="BP36" s="32">
        <v>-0.05</v>
      </c>
      <c r="BQ36" s="32">
        <v>-0.05</v>
      </c>
      <c r="BR36" s="32">
        <v>0.03</v>
      </c>
      <c r="BS36" s="32">
        <v>0.22</v>
      </c>
      <c r="BT36" s="32">
        <v>-0.06</v>
      </c>
      <c r="BU36" s="32">
        <v>-0.04</v>
      </c>
      <c r="BV36" s="32">
        <v>0.01</v>
      </c>
      <c r="BW36" s="32">
        <v>-0.06</v>
      </c>
      <c r="BX36" s="32">
        <v>0.11</v>
      </c>
      <c r="BY36" s="32">
        <v>0.09</v>
      </c>
      <c r="BZ36" s="32">
        <v>0.04</v>
      </c>
      <c r="CA36" s="32">
        <v>-0.04</v>
      </c>
      <c r="CB36" s="32">
        <v>0.04</v>
      </c>
      <c r="CC36" s="32">
        <v>0.12</v>
      </c>
      <c r="CD36" s="32">
        <v>0</v>
      </c>
      <c r="CE36" s="32">
        <v>-0.02</v>
      </c>
      <c r="CF36" s="32">
        <v>0.25</v>
      </c>
      <c r="CG36" s="32">
        <v>0.04</v>
      </c>
      <c r="CH36" s="32">
        <v>-0.13</v>
      </c>
      <c r="CI36" s="32">
        <v>0.26</v>
      </c>
      <c r="CJ36" s="32">
        <v>0.22</v>
      </c>
      <c r="CK36" s="32">
        <v>0.14000000000000001</v>
      </c>
      <c r="CL36" s="32">
        <v>7.0000000000000007E-2</v>
      </c>
      <c r="CM36" s="32">
        <v>-0.19</v>
      </c>
      <c r="CN36" s="32">
        <v>-0.01</v>
      </c>
      <c r="CO36" s="32">
        <v>0</v>
      </c>
      <c r="CP36" s="32">
        <v>-7.0000000000000007E-2</v>
      </c>
      <c r="CQ36" s="32">
        <v>0.04</v>
      </c>
      <c r="CR36" s="32">
        <v>-0.22</v>
      </c>
      <c r="CS36" s="32">
        <v>-7.0000000000000007E-2</v>
      </c>
      <c r="CT36" s="32">
        <v>-0.01</v>
      </c>
      <c r="CU36" s="32">
        <v>-0.01</v>
      </c>
      <c r="CV36" s="32">
        <v>0.01</v>
      </c>
      <c r="CW36" s="32">
        <v>0.01</v>
      </c>
      <c r="CX36" s="32">
        <v>0.04</v>
      </c>
      <c r="CY36" s="32">
        <v>0.09</v>
      </c>
      <c r="CZ36" s="32">
        <v>0.06</v>
      </c>
      <c r="DA36" s="32">
        <v>0.09</v>
      </c>
      <c r="DB36" s="32">
        <v>-0.08</v>
      </c>
      <c r="DC36" s="32">
        <v>-0.12</v>
      </c>
      <c r="DD36" s="32">
        <v>0</v>
      </c>
      <c r="DE36" s="32">
        <v>-0.15</v>
      </c>
      <c r="DF36" s="32">
        <v>7.0000000000000007E-2</v>
      </c>
      <c r="DG36" s="32">
        <v>-0.12</v>
      </c>
      <c r="DH36" s="32">
        <v>-0.14000000000000001</v>
      </c>
      <c r="DI36" s="32">
        <v>0.03</v>
      </c>
      <c r="DJ36" s="32">
        <v>0.03</v>
      </c>
      <c r="DK36" s="32">
        <v>0</v>
      </c>
      <c r="DL36" s="32">
        <v>-0.16</v>
      </c>
      <c r="DM36" s="32">
        <v>0.02</v>
      </c>
      <c r="DN36" s="32">
        <v>0.05</v>
      </c>
      <c r="DO36" s="32">
        <v>-0.01</v>
      </c>
      <c r="DP36" s="32">
        <v>0.02</v>
      </c>
      <c r="DQ36" s="32">
        <v>0.01</v>
      </c>
      <c r="DR36" s="32">
        <v>-0.09</v>
      </c>
      <c r="DS36" s="32">
        <v>0</v>
      </c>
      <c r="DT36" s="32">
        <v>-0.18</v>
      </c>
      <c r="DU36" s="32">
        <v>-0.04</v>
      </c>
      <c r="DV36" s="32">
        <v>-0.02</v>
      </c>
      <c r="DW36" s="32">
        <v>-0.04</v>
      </c>
      <c r="DX36" s="32">
        <v>-0.26</v>
      </c>
      <c r="DY36" s="32">
        <v>-0.06</v>
      </c>
      <c r="DZ36" s="32">
        <v>-0.08</v>
      </c>
      <c r="EA36" s="32">
        <v>-0.17</v>
      </c>
      <c r="EB36" s="32">
        <v>-0.09</v>
      </c>
      <c r="EC36" s="32">
        <v>-0.15</v>
      </c>
      <c r="ED36" s="32">
        <v>-7.0000000000000007E-2</v>
      </c>
      <c r="EE36" s="32">
        <v>-0.15</v>
      </c>
      <c r="EF36" s="32">
        <v>0.01</v>
      </c>
      <c r="EG36" s="32">
        <v>-0.21</v>
      </c>
      <c r="EH36" s="32">
        <v>0.04</v>
      </c>
      <c r="EI36" s="32">
        <v>-0.23</v>
      </c>
      <c r="EJ36" s="32">
        <v>-0.03</v>
      </c>
      <c r="EK36" s="32">
        <v>-0.04</v>
      </c>
      <c r="EL36" s="32">
        <v>-0.18</v>
      </c>
      <c r="EM36" s="32">
        <v>-7.0000000000000007E-2</v>
      </c>
      <c r="EN36" s="32">
        <v>-0.05</v>
      </c>
      <c r="EO36" s="32">
        <v>-0.1</v>
      </c>
    </row>
    <row r="37" spans="1:145" x14ac:dyDescent="0.25">
      <c r="A37" s="31" t="s">
        <v>113</v>
      </c>
      <c r="B37" s="32">
        <v>0.31</v>
      </c>
      <c r="C37" s="32">
        <v>0</v>
      </c>
      <c r="D37" s="32">
        <v>-0.03</v>
      </c>
      <c r="E37" s="32">
        <v>0.08</v>
      </c>
      <c r="F37" s="32">
        <v>0.41</v>
      </c>
      <c r="G37" s="32">
        <v>-0.09</v>
      </c>
      <c r="H37" s="32">
        <v>0</v>
      </c>
      <c r="I37" s="32">
        <v>0.3</v>
      </c>
      <c r="J37" s="32">
        <v>0.28999999999999998</v>
      </c>
      <c r="K37" s="32">
        <v>0.36</v>
      </c>
      <c r="L37" s="32">
        <v>0.01</v>
      </c>
      <c r="M37" s="32">
        <v>0.05</v>
      </c>
      <c r="N37" s="32">
        <v>0.25</v>
      </c>
      <c r="O37" s="32">
        <v>7.0000000000000007E-2</v>
      </c>
      <c r="P37" s="32">
        <v>0.28999999999999998</v>
      </c>
      <c r="Q37" s="32">
        <v>0.01</v>
      </c>
      <c r="R37" s="32">
        <v>0.44</v>
      </c>
      <c r="S37" s="32">
        <v>0.08</v>
      </c>
      <c r="T37" s="32">
        <v>0.08</v>
      </c>
      <c r="U37" s="32">
        <v>0.09</v>
      </c>
      <c r="V37" s="32">
        <v>-0.09</v>
      </c>
      <c r="W37" s="32">
        <v>0.1</v>
      </c>
      <c r="X37" s="32">
        <v>0.16</v>
      </c>
      <c r="Y37" s="32">
        <v>0.13</v>
      </c>
      <c r="Z37" s="32">
        <v>-0.03</v>
      </c>
      <c r="AA37" s="32">
        <v>0.15</v>
      </c>
      <c r="AB37" s="32">
        <v>0.14000000000000001</v>
      </c>
      <c r="AC37" s="32">
        <v>-0.06</v>
      </c>
      <c r="AD37" s="32">
        <v>7.0000000000000007E-2</v>
      </c>
      <c r="AE37" s="32">
        <v>-0.05</v>
      </c>
      <c r="AF37" s="32">
        <v>-0.05</v>
      </c>
      <c r="AG37" s="32">
        <v>0.78</v>
      </c>
      <c r="AH37" s="32">
        <v>1</v>
      </c>
      <c r="AI37" s="32">
        <v>0.36</v>
      </c>
      <c r="AJ37" s="32">
        <v>0.01</v>
      </c>
      <c r="AK37" s="32">
        <v>-0.1</v>
      </c>
      <c r="AL37" s="32">
        <v>0.12</v>
      </c>
      <c r="AM37" s="32">
        <v>-0.01</v>
      </c>
      <c r="AN37" s="32">
        <v>0.22</v>
      </c>
      <c r="AO37" s="32">
        <v>0.25</v>
      </c>
      <c r="AP37" s="32">
        <v>0.21</v>
      </c>
      <c r="AQ37" s="32">
        <v>0.24</v>
      </c>
      <c r="AR37" s="32">
        <v>0.11</v>
      </c>
      <c r="AS37" s="32">
        <v>-7.0000000000000007E-2</v>
      </c>
      <c r="AT37" s="32">
        <v>0.01</v>
      </c>
      <c r="AU37" s="32">
        <v>0.26</v>
      </c>
      <c r="AV37" s="32">
        <v>7.0000000000000007E-2</v>
      </c>
      <c r="AW37" s="32">
        <v>-7.0000000000000007E-2</v>
      </c>
      <c r="AX37" s="32">
        <v>0.25</v>
      </c>
      <c r="AY37" s="32">
        <v>0.12</v>
      </c>
      <c r="AZ37" s="32">
        <v>-0.05</v>
      </c>
      <c r="BA37" s="32">
        <v>0.24</v>
      </c>
      <c r="BB37" s="32">
        <v>-0.05</v>
      </c>
      <c r="BC37" s="32">
        <v>-0.02</v>
      </c>
      <c r="BD37" s="32">
        <v>0.04</v>
      </c>
      <c r="BE37" s="32">
        <v>0.26</v>
      </c>
      <c r="BF37" s="32">
        <v>-0.02</v>
      </c>
      <c r="BG37" s="32">
        <v>0</v>
      </c>
      <c r="BH37" s="32">
        <v>0.01</v>
      </c>
      <c r="BI37" s="32">
        <v>-0.04</v>
      </c>
      <c r="BJ37" s="32">
        <v>-0.1</v>
      </c>
      <c r="BK37" s="32">
        <v>-0.04</v>
      </c>
      <c r="BL37" s="32">
        <v>0.04</v>
      </c>
      <c r="BM37" s="32">
        <v>0.33</v>
      </c>
      <c r="BN37" s="32">
        <v>0.2</v>
      </c>
      <c r="BO37" s="32">
        <v>0.03</v>
      </c>
      <c r="BP37" s="32">
        <v>-0.01</v>
      </c>
      <c r="BQ37" s="32">
        <v>-0.03</v>
      </c>
      <c r="BR37" s="32">
        <v>0.06</v>
      </c>
      <c r="BS37" s="32">
        <v>0.21</v>
      </c>
      <c r="BT37" s="32">
        <v>0</v>
      </c>
      <c r="BU37" s="32">
        <v>-0.09</v>
      </c>
      <c r="BV37" s="32">
        <v>0.03</v>
      </c>
      <c r="BW37" s="32">
        <v>0.06</v>
      </c>
      <c r="BX37" s="32">
        <v>0.15</v>
      </c>
      <c r="BY37" s="32">
        <v>0.03</v>
      </c>
      <c r="BZ37" s="32">
        <v>0.08</v>
      </c>
      <c r="CA37" s="32">
        <v>-0.03</v>
      </c>
      <c r="CB37" s="32">
        <v>0.05</v>
      </c>
      <c r="CC37" s="32">
        <v>7.0000000000000007E-2</v>
      </c>
      <c r="CD37" s="32">
        <v>0.05</v>
      </c>
      <c r="CE37" s="32">
        <v>-0.03</v>
      </c>
      <c r="CF37" s="32">
        <v>0.22</v>
      </c>
      <c r="CG37" s="32">
        <v>0.05</v>
      </c>
      <c r="CH37" s="32">
        <v>-0.13</v>
      </c>
      <c r="CI37" s="32">
        <v>0.24</v>
      </c>
      <c r="CJ37" s="32">
        <v>0.23</v>
      </c>
      <c r="CK37" s="32">
        <v>0.18</v>
      </c>
      <c r="CL37" s="32">
        <v>0.08</v>
      </c>
      <c r="CM37" s="32">
        <v>-0.19</v>
      </c>
      <c r="CN37" s="32">
        <v>0.03</v>
      </c>
      <c r="CO37" s="32">
        <v>-0.01</v>
      </c>
      <c r="CP37" s="32">
        <v>0.05</v>
      </c>
      <c r="CQ37" s="32">
        <v>0.05</v>
      </c>
      <c r="CR37" s="32">
        <v>-0.24</v>
      </c>
      <c r="CS37" s="32">
        <v>-0.01</v>
      </c>
      <c r="CT37" s="32">
        <v>-0.01</v>
      </c>
      <c r="CU37" s="32">
        <v>-0.03</v>
      </c>
      <c r="CV37" s="32">
        <v>-0.04</v>
      </c>
      <c r="CW37" s="32">
        <v>0.01</v>
      </c>
      <c r="CX37" s="32">
        <v>0</v>
      </c>
      <c r="CY37" s="32">
        <v>0.05</v>
      </c>
      <c r="CZ37" s="32">
        <v>0.08</v>
      </c>
      <c r="DA37" s="32">
        <v>0.05</v>
      </c>
      <c r="DB37" s="32">
        <v>-0.02</v>
      </c>
      <c r="DC37" s="32">
        <v>-0.1</v>
      </c>
      <c r="DD37" s="32">
        <v>0.01</v>
      </c>
      <c r="DE37" s="32">
        <v>-0.14000000000000001</v>
      </c>
      <c r="DF37" s="32">
        <v>0.11</v>
      </c>
      <c r="DG37" s="32">
        <v>-0.16</v>
      </c>
      <c r="DH37" s="32">
        <v>-0.14000000000000001</v>
      </c>
      <c r="DI37" s="32">
        <v>0.05</v>
      </c>
      <c r="DJ37" s="32">
        <v>0</v>
      </c>
      <c r="DK37" s="32">
        <v>0.02</v>
      </c>
      <c r="DL37" s="32">
        <v>-0.22</v>
      </c>
      <c r="DM37" s="32">
        <v>0.02</v>
      </c>
      <c r="DN37" s="32">
        <v>0.02</v>
      </c>
      <c r="DO37" s="32">
        <v>0.02</v>
      </c>
      <c r="DP37" s="32">
        <v>0.02</v>
      </c>
      <c r="DQ37" s="32">
        <v>0.03</v>
      </c>
      <c r="DR37" s="32">
        <v>-0.06</v>
      </c>
      <c r="DS37" s="32">
        <v>0</v>
      </c>
      <c r="DT37" s="32">
        <v>-0.14000000000000001</v>
      </c>
      <c r="DU37" s="32">
        <v>-0.06</v>
      </c>
      <c r="DV37" s="32">
        <v>-0.02</v>
      </c>
      <c r="DW37" s="32">
        <v>-0.11</v>
      </c>
      <c r="DX37" s="32">
        <v>-0.25</v>
      </c>
      <c r="DY37" s="32">
        <v>-0.05</v>
      </c>
      <c r="DZ37" s="32">
        <v>-0.05</v>
      </c>
      <c r="EA37" s="32">
        <v>-0.12</v>
      </c>
      <c r="EB37" s="32">
        <v>-0.1</v>
      </c>
      <c r="EC37" s="32">
        <v>-0.24</v>
      </c>
      <c r="ED37" s="32">
        <v>-0.05</v>
      </c>
      <c r="EE37" s="32">
        <v>-0.18</v>
      </c>
      <c r="EF37" s="32">
        <v>0.02</v>
      </c>
      <c r="EG37" s="32">
        <v>-0.18</v>
      </c>
      <c r="EH37" s="32">
        <v>0</v>
      </c>
      <c r="EI37" s="32">
        <v>-0.21</v>
      </c>
      <c r="EJ37" s="32">
        <v>-0.02</v>
      </c>
      <c r="EK37" s="32">
        <v>-0.03</v>
      </c>
      <c r="EL37" s="32">
        <v>-0.19</v>
      </c>
      <c r="EM37" s="32">
        <v>-0.03</v>
      </c>
      <c r="EN37" s="32">
        <v>-0.02</v>
      </c>
      <c r="EO37" s="32">
        <v>-0.04</v>
      </c>
    </row>
    <row r="38" spans="1:145" x14ac:dyDescent="0.25">
      <c r="A38" s="31" t="s">
        <v>114</v>
      </c>
      <c r="B38" s="32">
        <v>0.17</v>
      </c>
      <c r="C38" s="32">
        <v>-0.02</v>
      </c>
      <c r="D38" s="32">
        <v>-0.11</v>
      </c>
      <c r="E38" s="32">
        <v>0.06</v>
      </c>
      <c r="F38" s="32">
        <v>0.23</v>
      </c>
      <c r="G38" s="32">
        <v>-0.06</v>
      </c>
      <c r="H38" s="32">
        <v>-0.12</v>
      </c>
      <c r="I38" s="32">
        <v>0.1</v>
      </c>
      <c r="J38" s="32">
        <v>0.21</v>
      </c>
      <c r="K38" s="32">
        <v>7.0000000000000007E-2</v>
      </c>
      <c r="L38" s="32">
        <v>-0.02</v>
      </c>
      <c r="M38" s="32">
        <v>-7.0000000000000007E-2</v>
      </c>
      <c r="N38" s="32">
        <v>0.12</v>
      </c>
      <c r="O38" s="32">
        <v>-0.04</v>
      </c>
      <c r="P38" s="32">
        <v>0.26</v>
      </c>
      <c r="Q38" s="32">
        <v>0</v>
      </c>
      <c r="R38" s="32">
        <v>0.26</v>
      </c>
      <c r="S38" s="32">
        <v>-0.1</v>
      </c>
      <c r="T38" s="32">
        <v>0.04</v>
      </c>
      <c r="U38" s="32">
        <v>-0.09</v>
      </c>
      <c r="V38" s="32">
        <v>-0.18</v>
      </c>
      <c r="W38" s="32">
        <v>0.03</v>
      </c>
      <c r="X38" s="32">
        <v>7.0000000000000007E-2</v>
      </c>
      <c r="Y38" s="32">
        <v>0.09</v>
      </c>
      <c r="Z38" s="32">
        <v>-0.06</v>
      </c>
      <c r="AA38" s="32">
        <v>-0.11</v>
      </c>
      <c r="AB38" s="32">
        <v>0.09</v>
      </c>
      <c r="AC38" s="32">
        <v>7.0000000000000007E-2</v>
      </c>
      <c r="AD38" s="32">
        <v>0.03</v>
      </c>
      <c r="AE38" s="32">
        <v>-0.28000000000000003</v>
      </c>
      <c r="AF38" s="32">
        <v>-0.16</v>
      </c>
      <c r="AG38" s="32">
        <v>0.35</v>
      </c>
      <c r="AH38" s="32">
        <v>0.36</v>
      </c>
      <c r="AI38" s="32">
        <v>1</v>
      </c>
      <c r="AJ38" s="32">
        <v>-0.06</v>
      </c>
      <c r="AK38" s="32">
        <v>-0.17</v>
      </c>
      <c r="AL38" s="32">
        <v>0</v>
      </c>
      <c r="AM38" s="32">
        <v>-0.13</v>
      </c>
      <c r="AN38" s="32">
        <v>-0.12</v>
      </c>
      <c r="AO38" s="32">
        <v>0.11</v>
      </c>
      <c r="AP38" s="32">
        <v>-0.05</v>
      </c>
      <c r="AQ38" s="32">
        <v>0.86</v>
      </c>
      <c r="AR38" s="32">
        <v>0.1</v>
      </c>
      <c r="AS38" s="32">
        <v>-0.22</v>
      </c>
      <c r="AT38" s="32">
        <v>-0.03</v>
      </c>
      <c r="AU38" s="32">
        <v>0.16</v>
      </c>
      <c r="AV38" s="32">
        <v>0.03</v>
      </c>
      <c r="AW38" s="32">
        <v>-0.11</v>
      </c>
      <c r="AX38" s="32">
        <v>0.11</v>
      </c>
      <c r="AY38" s="32">
        <v>0.06</v>
      </c>
      <c r="AZ38" s="32">
        <v>-0.25</v>
      </c>
      <c r="BA38" s="32">
        <v>0.01</v>
      </c>
      <c r="BB38" s="32">
        <v>-0.09</v>
      </c>
      <c r="BC38" s="32">
        <v>-0.03</v>
      </c>
      <c r="BD38" s="32">
        <v>-0.19</v>
      </c>
      <c r="BE38" s="32">
        <v>0.15</v>
      </c>
      <c r="BF38" s="32">
        <v>-7.0000000000000007E-2</v>
      </c>
      <c r="BG38" s="32">
        <v>0.04</v>
      </c>
      <c r="BH38" s="32">
        <v>-0.14000000000000001</v>
      </c>
      <c r="BI38" s="32">
        <v>0</v>
      </c>
      <c r="BJ38" s="32">
        <v>-0.03</v>
      </c>
      <c r="BK38" s="32">
        <v>-0.19</v>
      </c>
      <c r="BL38" s="32">
        <v>-0.05</v>
      </c>
      <c r="BM38" s="32">
        <v>0.1</v>
      </c>
      <c r="BN38" s="32">
        <v>0.13</v>
      </c>
      <c r="BO38" s="32">
        <v>-0.13</v>
      </c>
      <c r="BP38" s="32">
        <v>0</v>
      </c>
      <c r="BQ38" s="32">
        <v>-0.14000000000000001</v>
      </c>
      <c r="BR38" s="32">
        <v>-0.05</v>
      </c>
      <c r="BS38" s="32">
        <v>0.72</v>
      </c>
      <c r="BT38" s="32">
        <v>-0.22</v>
      </c>
      <c r="BU38" s="32">
        <v>-0.11</v>
      </c>
      <c r="BV38" s="32">
        <v>-0.05</v>
      </c>
      <c r="BW38" s="32">
        <v>0.03</v>
      </c>
      <c r="BX38" s="32">
        <v>-0.02</v>
      </c>
      <c r="BY38" s="32">
        <v>-0.09</v>
      </c>
      <c r="BZ38" s="32">
        <v>-0.18</v>
      </c>
      <c r="CA38" s="32">
        <v>-0.11</v>
      </c>
      <c r="CB38" s="32">
        <v>0.17</v>
      </c>
      <c r="CC38" s="32">
        <v>0.03</v>
      </c>
      <c r="CD38" s="32">
        <v>-0.08</v>
      </c>
      <c r="CE38" s="32">
        <v>0.11</v>
      </c>
      <c r="CF38" s="32">
        <v>0.75</v>
      </c>
      <c r="CG38" s="32">
        <v>-0.1</v>
      </c>
      <c r="CH38" s="32">
        <v>-0.21</v>
      </c>
      <c r="CI38" s="32">
        <v>0.77</v>
      </c>
      <c r="CJ38" s="32">
        <v>0.11</v>
      </c>
      <c r="CK38" s="32">
        <v>0.12</v>
      </c>
      <c r="CL38" s="32">
        <v>-0.12</v>
      </c>
      <c r="CM38" s="32">
        <v>-0.13</v>
      </c>
      <c r="CN38" s="32">
        <v>0</v>
      </c>
      <c r="CO38" s="32">
        <v>-0.11</v>
      </c>
      <c r="CP38" s="32">
        <v>0.1</v>
      </c>
      <c r="CQ38" s="32">
        <v>-0.22</v>
      </c>
      <c r="CR38" s="32">
        <v>-0.2</v>
      </c>
      <c r="CS38" s="32">
        <v>-0.04</v>
      </c>
      <c r="CT38" s="32">
        <v>-0.05</v>
      </c>
      <c r="CU38" s="32">
        <v>0</v>
      </c>
      <c r="CV38" s="32">
        <v>-0.16</v>
      </c>
      <c r="CW38" s="32">
        <v>-0.06</v>
      </c>
      <c r="CX38" s="32">
        <v>-0.1</v>
      </c>
      <c r="CY38" s="32">
        <v>-0.27</v>
      </c>
      <c r="CZ38" s="32">
        <v>0.1</v>
      </c>
      <c r="DA38" s="32">
        <v>0.01</v>
      </c>
      <c r="DB38" s="32">
        <v>-0.08</v>
      </c>
      <c r="DC38" s="32">
        <v>-0.36</v>
      </c>
      <c r="DD38" s="32">
        <v>-0.11</v>
      </c>
      <c r="DE38" s="32">
        <v>-0.14000000000000001</v>
      </c>
      <c r="DF38" s="32">
        <v>0.13</v>
      </c>
      <c r="DG38" s="32">
        <v>-0.15</v>
      </c>
      <c r="DH38" s="32">
        <v>-0.08</v>
      </c>
      <c r="DI38" s="32">
        <v>-0.31</v>
      </c>
      <c r="DJ38" s="32">
        <v>-0.21</v>
      </c>
      <c r="DK38" s="32">
        <v>-0.31</v>
      </c>
      <c r="DL38" s="32">
        <v>-0.25</v>
      </c>
      <c r="DM38" s="32">
        <v>-0.26</v>
      </c>
      <c r="DN38" s="32">
        <v>-0.03</v>
      </c>
      <c r="DO38" s="32">
        <v>-0.02</v>
      </c>
      <c r="DP38" s="32">
        <v>-0.26</v>
      </c>
      <c r="DQ38" s="32">
        <v>-0.03</v>
      </c>
      <c r="DR38" s="32">
        <v>0.08</v>
      </c>
      <c r="DS38" s="32">
        <v>-0.03</v>
      </c>
      <c r="DT38" s="32">
        <v>-0.03</v>
      </c>
      <c r="DU38" s="32">
        <v>-0.11</v>
      </c>
      <c r="DV38" s="32">
        <v>0.02</v>
      </c>
      <c r="DW38" s="32">
        <v>-0.16</v>
      </c>
      <c r="DX38" s="32">
        <v>-0.15</v>
      </c>
      <c r="DY38" s="32">
        <v>-0.15</v>
      </c>
      <c r="DZ38" s="32">
        <v>0.03</v>
      </c>
      <c r="EA38" s="32">
        <v>-0.16</v>
      </c>
      <c r="EB38" s="32">
        <v>-0.11</v>
      </c>
      <c r="EC38" s="32">
        <v>-0.12</v>
      </c>
      <c r="ED38" s="32">
        <v>-7.0000000000000007E-2</v>
      </c>
      <c r="EE38" s="32">
        <v>-0.16</v>
      </c>
      <c r="EF38" s="32">
        <v>0.01</v>
      </c>
      <c r="EG38" s="32">
        <v>-0.15</v>
      </c>
      <c r="EH38" s="32">
        <v>-0.06</v>
      </c>
      <c r="EI38" s="32">
        <v>-0.2</v>
      </c>
      <c r="EJ38" s="32">
        <v>-0.03</v>
      </c>
      <c r="EK38" s="32">
        <v>0.05</v>
      </c>
      <c r="EL38" s="32">
        <v>-0.17</v>
      </c>
      <c r="EM38" s="32">
        <v>-7.0000000000000007E-2</v>
      </c>
      <c r="EN38" s="32">
        <v>-0.06</v>
      </c>
      <c r="EO38" s="32">
        <v>-0.02</v>
      </c>
    </row>
    <row r="39" spans="1:145" x14ac:dyDescent="0.25">
      <c r="A39" s="31" t="s">
        <v>115</v>
      </c>
      <c r="B39" s="32">
        <v>0.03</v>
      </c>
      <c r="C39" s="32">
        <v>0.11</v>
      </c>
      <c r="D39" s="32">
        <v>0.21</v>
      </c>
      <c r="E39" s="32">
        <v>0.1</v>
      </c>
      <c r="F39" s="32">
        <v>-0.03</v>
      </c>
      <c r="G39" s="32">
        <v>0.09</v>
      </c>
      <c r="H39" s="32">
        <v>0.27</v>
      </c>
      <c r="I39" s="32">
        <v>0.04</v>
      </c>
      <c r="J39" s="32">
        <v>0</v>
      </c>
      <c r="K39" s="32">
        <v>0.04</v>
      </c>
      <c r="L39" s="32">
        <v>0.23</v>
      </c>
      <c r="M39" s="32">
        <v>0.02</v>
      </c>
      <c r="N39" s="32">
        <v>0.15</v>
      </c>
      <c r="O39" s="32">
        <v>0.26</v>
      </c>
      <c r="P39" s="32">
        <v>-0.03</v>
      </c>
      <c r="Q39" s="32">
        <v>0.02</v>
      </c>
      <c r="R39" s="32">
        <v>-0.12</v>
      </c>
      <c r="S39" s="32">
        <v>0.17</v>
      </c>
      <c r="T39" s="32">
        <v>-0.05</v>
      </c>
      <c r="U39" s="32">
        <v>0.31</v>
      </c>
      <c r="V39" s="32">
        <v>0.19</v>
      </c>
      <c r="W39" s="32">
        <v>0.13</v>
      </c>
      <c r="X39" s="32">
        <v>0.04</v>
      </c>
      <c r="Y39" s="32">
        <v>-0.06</v>
      </c>
      <c r="Z39" s="32">
        <v>0.18</v>
      </c>
      <c r="AA39" s="32">
        <v>0.21</v>
      </c>
      <c r="AB39" s="32">
        <v>-0.08</v>
      </c>
      <c r="AC39" s="32">
        <v>0.11</v>
      </c>
      <c r="AD39" s="32">
        <v>0.16</v>
      </c>
      <c r="AE39" s="32">
        <v>0.24</v>
      </c>
      <c r="AF39" s="32">
        <v>0.24</v>
      </c>
      <c r="AG39" s="32">
        <v>-0.02</v>
      </c>
      <c r="AH39" s="32">
        <v>0.01</v>
      </c>
      <c r="AI39" s="32">
        <v>-0.06</v>
      </c>
      <c r="AJ39" s="32">
        <v>1</v>
      </c>
      <c r="AK39" s="32">
        <v>0.16</v>
      </c>
      <c r="AL39" s="32">
        <v>0.08</v>
      </c>
      <c r="AM39" s="32">
        <v>0.15</v>
      </c>
      <c r="AN39" s="32">
        <v>-0.01</v>
      </c>
      <c r="AO39" s="32">
        <v>-0.04</v>
      </c>
      <c r="AP39" s="32">
        <v>0.08</v>
      </c>
      <c r="AQ39" s="32">
        <v>-0.05</v>
      </c>
      <c r="AR39" s="32">
        <v>0.02</v>
      </c>
      <c r="AS39" s="32">
        <v>0.28000000000000003</v>
      </c>
      <c r="AT39" s="32">
        <v>-0.04</v>
      </c>
      <c r="AU39" s="32">
        <v>-7.0000000000000007E-2</v>
      </c>
      <c r="AV39" s="32">
        <v>0.22</v>
      </c>
      <c r="AW39" s="32">
        <v>0.09</v>
      </c>
      <c r="AX39" s="32">
        <v>0.08</v>
      </c>
      <c r="AY39" s="32">
        <v>-0.04</v>
      </c>
      <c r="AZ39" s="32">
        <v>0.21</v>
      </c>
      <c r="BA39" s="32">
        <v>0.1</v>
      </c>
      <c r="BB39" s="32">
        <v>0.08</v>
      </c>
      <c r="BC39" s="32">
        <v>0.14000000000000001</v>
      </c>
      <c r="BD39" s="32">
        <v>0.3</v>
      </c>
      <c r="BE39" s="32">
        <v>0.06</v>
      </c>
      <c r="BF39" s="32">
        <v>0.23</v>
      </c>
      <c r="BG39" s="32">
        <v>0.02</v>
      </c>
      <c r="BH39" s="32">
        <v>0.16</v>
      </c>
      <c r="BI39" s="32">
        <v>0.03</v>
      </c>
      <c r="BJ39" s="32">
        <v>0.16</v>
      </c>
      <c r="BK39" s="32">
        <v>0.2</v>
      </c>
      <c r="BL39" s="32">
        <v>0.13</v>
      </c>
      <c r="BM39" s="32">
        <v>-0.09</v>
      </c>
      <c r="BN39" s="32">
        <v>0.01</v>
      </c>
      <c r="BO39" s="32">
        <v>0.01</v>
      </c>
      <c r="BP39" s="32">
        <v>7.0000000000000007E-2</v>
      </c>
      <c r="BQ39" s="32">
        <v>0.17</v>
      </c>
      <c r="BR39" s="32">
        <v>0.12</v>
      </c>
      <c r="BS39" s="32">
        <v>-7.0000000000000007E-2</v>
      </c>
      <c r="BT39" s="32">
        <v>0.06</v>
      </c>
      <c r="BU39" s="32">
        <v>0.16</v>
      </c>
      <c r="BV39" s="32">
        <v>0.02</v>
      </c>
      <c r="BW39" s="32">
        <v>0.05</v>
      </c>
      <c r="BX39" s="32">
        <v>0.03</v>
      </c>
      <c r="BY39" s="32">
        <v>-0.02</v>
      </c>
      <c r="BZ39" s="32">
        <v>0.11</v>
      </c>
      <c r="CA39" s="32">
        <v>0.23</v>
      </c>
      <c r="CB39" s="32">
        <v>-0.01</v>
      </c>
      <c r="CC39" s="32">
        <v>-0.03</v>
      </c>
      <c r="CD39" s="32">
        <v>-7.0000000000000007E-2</v>
      </c>
      <c r="CE39" s="32">
        <v>0.08</v>
      </c>
      <c r="CF39" s="32">
        <v>-0.03</v>
      </c>
      <c r="CG39" s="32">
        <v>0.06</v>
      </c>
      <c r="CH39" s="32">
        <v>0.2</v>
      </c>
      <c r="CI39" s="32">
        <v>0</v>
      </c>
      <c r="CJ39" s="32">
        <v>-0.06</v>
      </c>
      <c r="CK39" s="32">
        <v>0.04</v>
      </c>
      <c r="CL39" s="32">
        <v>0.04</v>
      </c>
      <c r="CM39" s="32">
        <v>0.02</v>
      </c>
      <c r="CN39" s="32">
        <v>0.24</v>
      </c>
      <c r="CO39" s="32">
        <v>0.05</v>
      </c>
      <c r="CP39" s="32">
        <v>0.03</v>
      </c>
      <c r="CQ39" s="32">
        <v>0.11</v>
      </c>
      <c r="CR39" s="32">
        <v>7.0000000000000007E-2</v>
      </c>
      <c r="CS39" s="32">
        <v>0.08</v>
      </c>
      <c r="CT39" s="32">
        <v>0.12</v>
      </c>
      <c r="CU39" s="32">
        <v>7.0000000000000007E-2</v>
      </c>
      <c r="CV39" s="32">
        <v>-0.08</v>
      </c>
      <c r="CW39" s="32">
        <v>0.05</v>
      </c>
      <c r="CX39" s="32">
        <v>0</v>
      </c>
      <c r="CY39" s="32">
        <v>0.05</v>
      </c>
      <c r="CZ39" s="32">
        <v>0.04</v>
      </c>
      <c r="DA39" s="32">
        <v>0.01</v>
      </c>
      <c r="DB39" s="32">
        <v>0.1</v>
      </c>
      <c r="DC39" s="32">
        <v>0.28000000000000003</v>
      </c>
      <c r="DD39" s="32">
        <v>0.04</v>
      </c>
      <c r="DE39" s="32">
        <v>0.12</v>
      </c>
      <c r="DF39" s="32">
        <v>0.01</v>
      </c>
      <c r="DG39" s="32">
        <v>0.21</v>
      </c>
      <c r="DH39" s="32">
        <v>0.06</v>
      </c>
      <c r="DI39" s="32">
        <v>0.04</v>
      </c>
      <c r="DJ39" s="32">
        <v>0.02</v>
      </c>
      <c r="DK39" s="32">
        <v>7.0000000000000007E-2</v>
      </c>
      <c r="DL39" s="32">
        <v>0.28999999999999998</v>
      </c>
      <c r="DM39" s="32">
        <v>0.12</v>
      </c>
      <c r="DN39" s="32">
        <v>0.02</v>
      </c>
      <c r="DO39" s="32">
        <v>0.13</v>
      </c>
      <c r="DP39" s="32">
        <v>0.08</v>
      </c>
      <c r="DQ39" s="32">
        <v>0.15</v>
      </c>
      <c r="DR39" s="32">
        <v>0.08</v>
      </c>
      <c r="DS39" s="32">
        <v>-0.13</v>
      </c>
      <c r="DT39" s="32">
        <v>0.05</v>
      </c>
      <c r="DU39" s="32">
        <v>0.08</v>
      </c>
      <c r="DV39" s="32">
        <v>-0.05</v>
      </c>
      <c r="DW39" s="32">
        <v>0.02</v>
      </c>
      <c r="DX39" s="32">
        <v>0.13</v>
      </c>
      <c r="DY39" s="32">
        <v>-0.02</v>
      </c>
      <c r="DZ39" s="32">
        <v>0.04</v>
      </c>
      <c r="EA39" s="32">
        <v>0.18</v>
      </c>
      <c r="EB39" s="32">
        <v>-0.01</v>
      </c>
      <c r="EC39" s="32">
        <v>0.03</v>
      </c>
      <c r="ED39" s="32">
        <v>0.17</v>
      </c>
      <c r="EE39" s="32">
        <v>0.08</v>
      </c>
      <c r="EF39" s="32">
        <v>0.1</v>
      </c>
      <c r="EG39" s="32">
        <v>0.04</v>
      </c>
      <c r="EH39" s="32">
        <v>-0.04</v>
      </c>
      <c r="EI39" s="32">
        <v>7.0000000000000007E-2</v>
      </c>
      <c r="EJ39" s="32">
        <v>7.0000000000000007E-2</v>
      </c>
      <c r="EK39" s="32">
        <v>0.12</v>
      </c>
      <c r="EL39" s="32">
        <v>0.17</v>
      </c>
      <c r="EM39" s="32">
        <v>0.02</v>
      </c>
      <c r="EN39" s="32">
        <v>0.11</v>
      </c>
      <c r="EO39" s="32">
        <v>0.02</v>
      </c>
    </row>
    <row r="40" spans="1:145" x14ac:dyDescent="0.25">
      <c r="A40" s="31" t="s">
        <v>116</v>
      </c>
      <c r="B40" s="32">
        <v>-0.03</v>
      </c>
      <c r="C40" s="32">
        <v>0.22</v>
      </c>
      <c r="D40" s="32">
        <v>0.03</v>
      </c>
      <c r="E40" s="32">
        <v>0.3</v>
      </c>
      <c r="F40" s="32">
        <v>-0.04</v>
      </c>
      <c r="G40" s="32">
        <v>0.14000000000000001</v>
      </c>
      <c r="H40" s="32">
        <v>0.26</v>
      </c>
      <c r="I40" s="32">
        <v>0.05</v>
      </c>
      <c r="J40" s="32">
        <v>0.08</v>
      </c>
      <c r="K40" s="32">
        <v>0.02</v>
      </c>
      <c r="L40" s="32">
        <v>0.27</v>
      </c>
      <c r="M40" s="32">
        <v>0.23</v>
      </c>
      <c r="N40" s="32">
        <v>0.04</v>
      </c>
      <c r="O40" s="32">
        <v>0.46</v>
      </c>
      <c r="P40" s="32">
        <v>0.02</v>
      </c>
      <c r="Q40" s="32">
        <v>-0.02</v>
      </c>
      <c r="R40" s="32">
        <v>7.0000000000000007E-2</v>
      </c>
      <c r="S40" s="32">
        <v>0.21</v>
      </c>
      <c r="T40" s="32">
        <v>0.15</v>
      </c>
      <c r="U40" s="32">
        <v>0.54</v>
      </c>
      <c r="V40" s="32">
        <v>0.38</v>
      </c>
      <c r="W40" s="32">
        <v>0.32</v>
      </c>
      <c r="X40" s="32">
        <v>0.2</v>
      </c>
      <c r="Y40" s="32">
        <v>-0.02</v>
      </c>
      <c r="Z40" s="32">
        <v>0.4</v>
      </c>
      <c r="AA40" s="32">
        <v>0.22</v>
      </c>
      <c r="AB40" s="32">
        <v>-0.01</v>
      </c>
      <c r="AC40" s="32">
        <v>0.21</v>
      </c>
      <c r="AD40" s="32">
        <v>0.28999999999999998</v>
      </c>
      <c r="AE40" s="32">
        <v>0.38</v>
      </c>
      <c r="AF40" s="32">
        <v>0.48</v>
      </c>
      <c r="AG40" s="32">
        <v>-0.02</v>
      </c>
      <c r="AH40" s="32">
        <v>-0.1</v>
      </c>
      <c r="AI40" s="32">
        <v>-0.17</v>
      </c>
      <c r="AJ40" s="32">
        <v>0.16</v>
      </c>
      <c r="AK40" s="32">
        <v>1</v>
      </c>
      <c r="AL40" s="32">
        <v>0.04</v>
      </c>
      <c r="AM40" s="32">
        <v>0.35</v>
      </c>
      <c r="AN40" s="32">
        <v>0.17</v>
      </c>
      <c r="AO40" s="32">
        <v>-7.0000000000000007E-2</v>
      </c>
      <c r="AP40" s="32">
        <v>0.13</v>
      </c>
      <c r="AQ40" s="32">
        <v>-0.08</v>
      </c>
      <c r="AR40" s="32">
        <v>0.08</v>
      </c>
      <c r="AS40" s="32">
        <v>0.49</v>
      </c>
      <c r="AT40" s="32">
        <v>0.08</v>
      </c>
      <c r="AU40" s="32">
        <v>0.06</v>
      </c>
      <c r="AV40" s="32">
        <v>0.32</v>
      </c>
      <c r="AW40" s="32">
        <v>0.38</v>
      </c>
      <c r="AX40" s="32">
        <v>0</v>
      </c>
      <c r="AY40" s="32">
        <v>0.08</v>
      </c>
      <c r="AZ40" s="32">
        <v>0.34</v>
      </c>
      <c r="BA40" s="32">
        <v>0.23</v>
      </c>
      <c r="BB40" s="32">
        <v>0.2</v>
      </c>
      <c r="BC40" s="32">
        <v>0.18</v>
      </c>
      <c r="BD40" s="32">
        <v>0.55000000000000004</v>
      </c>
      <c r="BE40" s="32">
        <v>0.08</v>
      </c>
      <c r="BF40" s="32">
        <v>0.25</v>
      </c>
      <c r="BG40" s="32">
        <v>0.01</v>
      </c>
      <c r="BH40" s="32">
        <v>0.3</v>
      </c>
      <c r="BI40" s="32">
        <v>0.04</v>
      </c>
      <c r="BJ40" s="32">
        <v>0.08</v>
      </c>
      <c r="BK40" s="32">
        <v>0.28999999999999998</v>
      </c>
      <c r="BL40" s="32">
        <v>0.21</v>
      </c>
      <c r="BM40" s="32">
        <v>0.04</v>
      </c>
      <c r="BN40" s="32">
        <v>0.06</v>
      </c>
      <c r="BO40" s="32">
        <v>0.11</v>
      </c>
      <c r="BP40" s="32">
        <v>-0.06</v>
      </c>
      <c r="BQ40" s="32">
        <v>0.39</v>
      </c>
      <c r="BR40" s="32">
        <v>0.1</v>
      </c>
      <c r="BS40" s="32">
        <v>-0.15</v>
      </c>
      <c r="BT40" s="32">
        <v>0.27</v>
      </c>
      <c r="BU40" s="32">
        <v>0.37</v>
      </c>
      <c r="BV40" s="32">
        <v>0.05</v>
      </c>
      <c r="BW40" s="32">
        <v>0.09</v>
      </c>
      <c r="BX40" s="32">
        <v>-0.03</v>
      </c>
      <c r="BY40" s="32">
        <v>0.19</v>
      </c>
      <c r="BZ40" s="32">
        <v>0.17</v>
      </c>
      <c r="CA40" s="32">
        <v>0.34</v>
      </c>
      <c r="CB40" s="32">
        <v>0.03</v>
      </c>
      <c r="CC40" s="32">
        <v>0.05</v>
      </c>
      <c r="CD40" s="32">
        <v>-0.02</v>
      </c>
      <c r="CE40" s="32">
        <v>0.05</v>
      </c>
      <c r="CF40" s="32">
        <v>-0.19</v>
      </c>
      <c r="CG40" s="32">
        <v>-0.01</v>
      </c>
      <c r="CH40" s="32">
        <v>0.5</v>
      </c>
      <c r="CI40" s="32">
        <v>-0.18</v>
      </c>
      <c r="CJ40" s="32">
        <v>-0.03</v>
      </c>
      <c r="CK40" s="32">
        <v>7.0000000000000007E-2</v>
      </c>
      <c r="CL40" s="32">
        <v>0.09</v>
      </c>
      <c r="CM40" s="32">
        <v>0.13</v>
      </c>
      <c r="CN40" s="32">
        <v>0.3</v>
      </c>
      <c r="CO40" s="32">
        <v>0.15</v>
      </c>
      <c r="CP40" s="32">
        <v>-0.04</v>
      </c>
      <c r="CQ40" s="32">
        <v>0.18</v>
      </c>
      <c r="CR40" s="32">
        <v>0.2</v>
      </c>
      <c r="CS40" s="32">
        <v>0.24</v>
      </c>
      <c r="CT40" s="32">
        <v>0.2</v>
      </c>
      <c r="CU40" s="32">
        <v>0.1</v>
      </c>
      <c r="CV40" s="32">
        <v>0.12</v>
      </c>
      <c r="CW40" s="32">
        <v>7.0000000000000007E-2</v>
      </c>
      <c r="CX40" s="32">
        <v>0.2</v>
      </c>
      <c r="CY40" s="32">
        <v>0.23</v>
      </c>
      <c r="CZ40" s="32">
        <v>0.01</v>
      </c>
      <c r="DA40" s="32">
        <v>-0.1</v>
      </c>
      <c r="DB40" s="32">
        <v>0.18</v>
      </c>
      <c r="DC40" s="32">
        <v>0.34</v>
      </c>
      <c r="DD40" s="32">
        <v>0.03</v>
      </c>
      <c r="DE40" s="32">
        <v>0.33</v>
      </c>
      <c r="DF40" s="32">
        <v>-0.16</v>
      </c>
      <c r="DG40" s="32">
        <v>0.23</v>
      </c>
      <c r="DH40" s="32">
        <v>0.08</v>
      </c>
      <c r="DI40" s="32">
        <v>0.18</v>
      </c>
      <c r="DJ40" s="32">
        <v>0.19</v>
      </c>
      <c r="DK40" s="32">
        <v>0.19</v>
      </c>
      <c r="DL40" s="32">
        <v>0.34</v>
      </c>
      <c r="DM40" s="32">
        <v>0.27</v>
      </c>
      <c r="DN40" s="32">
        <v>0.03</v>
      </c>
      <c r="DO40" s="32">
        <v>0.13</v>
      </c>
      <c r="DP40" s="32">
        <v>0.16</v>
      </c>
      <c r="DQ40" s="32">
        <v>0.14000000000000001</v>
      </c>
      <c r="DR40" s="32">
        <v>0.13</v>
      </c>
      <c r="DS40" s="32">
        <v>-0.04</v>
      </c>
      <c r="DT40" s="32">
        <v>0.03</v>
      </c>
      <c r="DU40" s="32">
        <v>0.15</v>
      </c>
      <c r="DV40" s="32">
        <v>-0.01</v>
      </c>
      <c r="DW40" s="32">
        <v>7.0000000000000007E-2</v>
      </c>
      <c r="DX40" s="32">
        <v>0.21</v>
      </c>
      <c r="DY40" s="32">
        <v>0.04</v>
      </c>
      <c r="DZ40" s="32">
        <v>-0.08</v>
      </c>
      <c r="EA40" s="32">
        <v>0.1</v>
      </c>
      <c r="EB40" s="32">
        <v>0.11</v>
      </c>
      <c r="EC40" s="32">
        <v>0.22</v>
      </c>
      <c r="ED40" s="32">
        <v>0.14000000000000001</v>
      </c>
      <c r="EE40" s="32">
        <v>0.2</v>
      </c>
      <c r="EF40" s="32">
        <v>0.14000000000000001</v>
      </c>
      <c r="EG40" s="32">
        <v>0.2</v>
      </c>
      <c r="EH40" s="32">
        <v>-0.04</v>
      </c>
      <c r="EI40" s="32">
        <v>0.16</v>
      </c>
      <c r="EJ40" s="32">
        <v>0.14000000000000001</v>
      </c>
      <c r="EK40" s="32">
        <v>0.14000000000000001</v>
      </c>
      <c r="EL40" s="32">
        <v>0.26</v>
      </c>
      <c r="EM40" s="32">
        <v>0.01</v>
      </c>
      <c r="EN40" s="32">
        <v>0.03</v>
      </c>
      <c r="EO40" s="32">
        <v>7.0000000000000007E-2</v>
      </c>
    </row>
    <row r="41" spans="1:145" x14ac:dyDescent="0.25">
      <c r="A41" s="31" t="s">
        <v>117</v>
      </c>
      <c r="B41" s="32">
        <v>0.28000000000000003</v>
      </c>
      <c r="C41" s="32">
        <v>-0.01</v>
      </c>
      <c r="D41" s="32">
        <v>0.05</v>
      </c>
      <c r="E41" s="32">
        <v>0.14000000000000001</v>
      </c>
      <c r="F41" s="32">
        <v>0.26</v>
      </c>
      <c r="G41" s="32">
        <v>-7.0000000000000007E-2</v>
      </c>
      <c r="H41" s="32">
        <v>0.01</v>
      </c>
      <c r="I41" s="32">
        <v>0.28999999999999998</v>
      </c>
      <c r="J41" s="32">
        <v>0.2</v>
      </c>
      <c r="K41" s="32">
        <v>0.28000000000000003</v>
      </c>
      <c r="L41" s="32">
        <v>0.11</v>
      </c>
      <c r="M41" s="32">
        <v>0.26</v>
      </c>
      <c r="N41" s="32">
        <v>0.31</v>
      </c>
      <c r="O41" s="32">
        <v>0.11</v>
      </c>
      <c r="P41" s="32">
        <v>0.24</v>
      </c>
      <c r="Q41" s="32">
        <v>0.1</v>
      </c>
      <c r="R41" s="32">
        <v>0.3</v>
      </c>
      <c r="S41" s="32">
        <v>0.03</v>
      </c>
      <c r="T41" s="32">
        <v>0.31</v>
      </c>
      <c r="U41" s="32">
        <v>0.11</v>
      </c>
      <c r="V41" s="32">
        <v>0.04</v>
      </c>
      <c r="W41" s="32">
        <v>0.02</v>
      </c>
      <c r="X41" s="32">
        <v>0.25</v>
      </c>
      <c r="Y41" s="32">
        <v>0.3</v>
      </c>
      <c r="Z41" s="32">
        <v>0.04</v>
      </c>
      <c r="AA41" s="32">
        <v>0.16</v>
      </c>
      <c r="AB41" s="32">
        <v>0.28000000000000003</v>
      </c>
      <c r="AC41" s="32">
        <v>-7.0000000000000007E-2</v>
      </c>
      <c r="AD41" s="32">
        <v>0.05</v>
      </c>
      <c r="AE41" s="32">
        <v>0.11</v>
      </c>
      <c r="AF41" s="32">
        <v>0.02</v>
      </c>
      <c r="AG41" s="32">
        <v>0.14000000000000001</v>
      </c>
      <c r="AH41" s="32">
        <v>0.12</v>
      </c>
      <c r="AI41" s="32">
        <v>0</v>
      </c>
      <c r="AJ41" s="32">
        <v>0.08</v>
      </c>
      <c r="AK41" s="32">
        <v>0.04</v>
      </c>
      <c r="AL41" s="32">
        <v>1</v>
      </c>
      <c r="AM41" s="32">
        <v>0.1</v>
      </c>
      <c r="AN41" s="32">
        <v>0.28000000000000003</v>
      </c>
      <c r="AO41" s="32">
        <v>0.21</v>
      </c>
      <c r="AP41" s="32">
        <v>0.28999999999999998</v>
      </c>
      <c r="AQ41" s="32">
        <v>0.01</v>
      </c>
      <c r="AR41" s="32">
        <v>0.28999999999999998</v>
      </c>
      <c r="AS41" s="32">
        <v>0.12</v>
      </c>
      <c r="AT41" s="32">
        <v>0.3</v>
      </c>
      <c r="AU41" s="32">
        <v>0.18</v>
      </c>
      <c r="AV41" s="32">
        <v>0.12</v>
      </c>
      <c r="AW41" s="32">
        <v>0.03</v>
      </c>
      <c r="AX41" s="32">
        <v>0.24</v>
      </c>
      <c r="AY41" s="32">
        <v>0.23</v>
      </c>
      <c r="AZ41" s="32">
        <v>0.13</v>
      </c>
      <c r="BA41" s="32">
        <v>0.19</v>
      </c>
      <c r="BB41" s="32">
        <v>0.28000000000000003</v>
      </c>
      <c r="BC41" s="32">
        <v>0.09</v>
      </c>
      <c r="BD41" s="32">
        <v>0</v>
      </c>
      <c r="BE41" s="32">
        <v>0.26</v>
      </c>
      <c r="BF41" s="32">
        <v>0.14000000000000001</v>
      </c>
      <c r="BG41" s="32">
        <v>0.14000000000000001</v>
      </c>
      <c r="BH41" s="32">
        <v>0.06</v>
      </c>
      <c r="BI41" s="32">
        <v>0.02</v>
      </c>
      <c r="BJ41" s="32">
        <v>-0.09</v>
      </c>
      <c r="BK41" s="32">
        <v>0.05</v>
      </c>
      <c r="BL41" s="32">
        <v>0.19</v>
      </c>
      <c r="BM41" s="32">
        <v>0.24</v>
      </c>
      <c r="BN41" s="32">
        <v>0.04</v>
      </c>
      <c r="BO41" s="32">
        <v>0.23</v>
      </c>
      <c r="BP41" s="32">
        <v>0.18</v>
      </c>
      <c r="BQ41" s="32">
        <v>0.09</v>
      </c>
      <c r="BR41" s="32">
        <v>0.3</v>
      </c>
      <c r="BS41" s="32">
        <v>-0.01</v>
      </c>
      <c r="BT41" s="32">
        <v>0.23</v>
      </c>
      <c r="BU41" s="32">
        <v>0.08</v>
      </c>
      <c r="BV41" s="32">
        <v>0.16</v>
      </c>
      <c r="BW41" s="32">
        <v>0.23</v>
      </c>
      <c r="BX41" s="32">
        <v>0.23</v>
      </c>
      <c r="BY41" s="32">
        <v>0.27</v>
      </c>
      <c r="BZ41" s="32">
        <v>0.26</v>
      </c>
      <c r="CA41" s="32">
        <v>0.08</v>
      </c>
      <c r="CB41" s="32">
        <v>-0.05</v>
      </c>
      <c r="CC41" s="32">
        <v>-0.03</v>
      </c>
      <c r="CD41" s="32">
        <v>0.19</v>
      </c>
      <c r="CE41" s="32">
        <v>0.21</v>
      </c>
      <c r="CF41" s="32">
        <v>0.01</v>
      </c>
      <c r="CG41" s="32">
        <v>0.33</v>
      </c>
      <c r="CH41" s="32">
        <v>0.12</v>
      </c>
      <c r="CI41" s="32">
        <v>-0.05</v>
      </c>
      <c r="CJ41" s="32">
        <v>0.22</v>
      </c>
      <c r="CK41" s="32">
        <v>0.27</v>
      </c>
      <c r="CL41" s="32">
        <v>0.25</v>
      </c>
      <c r="CM41" s="32">
        <v>0.13</v>
      </c>
      <c r="CN41" s="32">
        <v>-0.03</v>
      </c>
      <c r="CO41" s="32">
        <v>0.05</v>
      </c>
      <c r="CP41" s="32">
        <v>0.31</v>
      </c>
      <c r="CQ41" s="32">
        <v>0.32</v>
      </c>
      <c r="CR41" s="32">
        <v>0.17</v>
      </c>
      <c r="CS41" s="32">
        <v>0.12</v>
      </c>
      <c r="CT41" s="32">
        <v>0.21</v>
      </c>
      <c r="CU41" s="32">
        <v>0.21</v>
      </c>
      <c r="CV41" s="32">
        <v>0.16</v>
      </c>
      <c r="CW41" s="32">
        <v>0.22</v>
      </c>
      <c r="CX41" s="32">
        <v>0.18</v>
      </c>
      <c r="CY41" s="32">
        <v>0.28000000000000003</v>
      </c>
      <c r="CZ41" s="32">
        <v>0.22</v>
      </c>
      <c r="DA41" s="32">
        <v>0.27</v>
      </c>
      <c r="DB41" s="32">
        <v>0.21</v>
      </c>
      <c r="DC41" s="32">
        <v>0.09</v>
      </c>
      <c r="DD41" s="32">
        <v>0.26</v>
      </c>
      <c r="DE41" s="32">
        <v>0.15</v>
      </c>
      <c r="DF41" s="32">
        <v>0.18</v>
      </c>
      <c r="DG41" s="32">
        <v>0.16</v>
      </c>
      <c r="DH41" s="32">
        <v>0.2</v>
      </c>
      <c r="DI41" s="32">
        <v>0.28999999999999998</v>
      </c>
      <c r="DJ41" s="32">
        <v>0.27</v>
      </c>
      <c r="DK41" s="32">
        <v>0.3</v>
      </c>
      <c r="DL41" s="32">
        <v>-0.01</v>
      </c>
      <c r="DM41" s="32">
        <v>0.31</v>
      </c>
      <c r="DN41" s="32">
        <v>0.23</v>
      </c>
      <c r="DO41" s="32">
        <v>0.26</v>
      </c>
      <c r="DP41" s="32">
        <v>0.28000000000000003</v>
      </c>
      <c r="DQ41" s="32">
        <v>0.18</v>
      </c>
      <c r="DR41" s="32">
        <v>0.06</v>
      </c>
      <c r="DS41" s="32">
        <v>0.24</v>
      </c>
      <c r="DT41" s="32">
        <v>0.04</v>
      </c>
      <c r="DU41" s="32">
        <v>0.2</v>
      </c>
      <c r="DV41" s="32">
        <v>0.21</v>
      </c>
      <c r="DW41" s="32">
        <v>0.25</v>
      </c>
      <c r="DX41" s="32">
        <v>-0.03</v>
      </c>
      <c r="DY41" s="32">
        <v>0.28000000000000003</v>
      </c>
      <c r="DZ41" s="32">
        <v>0.14000000000000001</v>
      </c>
      <c r="EA41" s="32">
        <v>0.21</v>
      </c>
      <c r="EB41" s="32">
        <v>0.26</v>
      </c>
      <c r="EC41" s="32">
        <v>0</v>
      </c>
      <c r="ED41" s="32">
        <v>0.2</v>
      </c>
      <c r="EE41" s="32">
        <v>0.11</v>
      </c>
      <c r="EF41" s="32">
        <v>0.27</v>
      </c>
      <c r="EG41" s="32">
        <v>0.09</v>
      </c>
      <c r="EH41" s="32">
        <v>0.21</v>
      </c>
      <c r="EI41" s="32">
        <v>0</v>
      </c>
      <c r="EJ41" s="32">
        <v>0.19</v>
      </c>
      <c r="EK41" s="32">
        <v>0.08</v>
      </c>
      <c r="EL41" s="32">
        <v>0.1</v>
      </c>
      <c r="EM41" s="32">
        <v>0.08</v>
      </c>
      <c r="EN41" s="32">
        <v>0.18</v>
      </c>
      <c r="EO41" s="32">
        <v>0.12</v>
      </c>
    </row>
    <row r="42" spans="1:145" x14ac:dyDescent="0.25">
      <c r="A42" s="31" t="s">
        <v>118</v>
      </c>
      <c r="B42" s="32">
        <v>0.04</v>
      </c>
      <c r="C42" s="32">
        <v>0.08</v>
      </c>
      <c r="D42" s="32">
        <v>0.09</v>
      </c>
      <c r="E42" s="32">
        <v>0.16</v>
      </c>
      <c r="F42" s="32">
        <v>0</v>
      </c>
      <c r="G42" s="32">
        <v>0.17</v>
      </c>
      <c r="H42" s="32">
        <v>0.17</v>
      </c>
      <c r="I42" s="32">
        <v>0.04</v>
      </c>
      <c r="J42" s="32">
        <v>0.09</v>
      </c>
      <c r="K42" s="32">
        <v>0.02</v>
      </c>
      <c r="L42" s="32">
        <v>0.16</v>
      </c>
      <c r="M42" s="32">
        <v>0.2</v>
      </c>
      <c r="N42" s="32">
        <v>0.11</v>
      </c>
      <c r="O42" s="32">
        <v>0.27</v>
      </c>
      <c r="P42" s="32">
        <v>7.0000000000000007E-2</v>
      </c>
      <c r="Q42" s="32">
        <v>0.06</v>
      </c>
      <c r="R42" s="32">
        <v>0.1</v>
      </c>
      <c r="S42" s="32">
        <v>0.15</v>
      </c>
      <c r="T42" s="32">
        <v>0.2</v>
      </c>
      <c r="U42" s="32">
        <v>0.28999999999999998</v>
      </c>
      <c r="V42" s="32">
        <v>0.16</v>
      </c>
      <c r="W42" s="32">
        <v>0.12</v>
      </c>
      <c r="X42" s="32">
        <v>0.26</v>
      </c>
      <c r="Y42" s="32">
        <v>0.11</v>
      </c>
      <c r="Z42" s="32">
        <v>0.31</v>
      </c>
      <c r="AA42" s="32">
        <v>0.24</v>
      </c>
      <c r="AB42" s="32">
        <v>0.1</v>
      </c>
      <c r="AC42" s="32">
        <v>0.16</v>
      </c>
      <c r="AD42" s="32">
        <v>0.13</v>
      </c>
      <c r="AE42" s="32">
        <v>0.24</v>
      </c>
      <c r="AF42" s="32">
        <v>0.28000000000000003</v>
      </c>
      <c r="AG42" s="32">
        <v>0.06</v>
      </c>
      <c r="AH42" s="32">
        <v>-0.01</v>
      </c>
      <c r="AI42" s="32">
        <v>-0.13</v>
      </c>
      <c r="AJ42" s="32">
        <v>0.15</v>
      </c>
      <c r="AK42" s="32">
        <v>0.35</v>
      </c>
      <c r="AL42" s="32">
        <v>0.1</v>
      </c>
      <c r="AM42" s="32">
        <v>1</v>
      </c>
      <c r="AN42" s="32">
        <v>0.1</v>
      </c>
      <c r="AO42" s="32">
        <v>0.11</v>
      </c>
      <c r="AP42" s="32">
        <v>0.12</v>
      </c>
      <c r="AQ42" s="32">
        <v>-0.15</v>
      </c>
      <c r="AR42" s="32">
        <v>0.15</v>
      </c>
      <c r="AS42" s="32">
        <v>0.2</v>
      </c>
      <c r="AT42" s="32">
        <v>0.1</v>
      </c>
      <c r="AU42" s="32">
        <v>0.06</v>
      </c>
      <c r="AV42" s="32">
        <v>0.13</v>
      </c>
      <c r="AW42" s="32">
        <v>0.18</v>
      </c>
      <c r="AX42" s="32">
        <v>0.17</v>
      </c>
      <c r="AY42" s="32">
        <v>7.0000000000000007E-2</v>
      </c>
      <c r="AZ42" s="32">
        <v>0.2</v>
      </c>
      <c r="BA42" s="32">
        <v>0.19</v>
      </c>
      <c r="BB42" s="32">
        <v>0.21</v>
      </c>
      <c r="BC42" s="32">
        <v>0.22</v>
      </c>
      <c r="BD42" s="32">
        <v>0.32</v>
      </c>
      <c r="BE42" s="32">
        <v>0.11</v>
      </c>
      <c r="BF42" s="32">
        <v>0.23</v>
      </c>
      <c r="BG42" s="32">
        <v>0.09</v>
      </c>
      <c r="BH42" s="32">
        <v>0.17</v>
      </c>
      <c r="BI42" s="32">
        <v>0.11</v>
      </c>
      <c r="BJ42" s="32">
        <v>0.04</v>
      </c>
      <c r="BK42" s="32">
        <v>0.28000000000000003</v>
      </c>
      <c r="BL42" s="32">
        <v>0.1</v>
      </c>
      <c r="BM42" s="32">
        <v>7.0000000000000007E-2</v>
      </c>
      <c r="BN42" s="32">
        <v>0.14000000000000001</v>
      </c>
      <c r="BO42" s="32">
        <v>0.16</v>
      </c>
      <c r="BP42" s="32">
        <v>0.06</v>
      </c>
      <c r="BQ42" s="32">
        <v>0.28000000000000003</v>
      </c>
      <c r="BR42" s="32">
        <v>0.17</v>
      </c>
      <c r="BS42" s="32">
        <v>-0.12</v>
      </c>
      <c r="BT42" s="32">
        <v>0.27</v>
      </c>
      <c r="BU42" s="32">
        <v>0.28999999999999998</v>
      </c>
      <c r="BV42" s="32">
        <v>0.09</v>
      </c>
      <c r="BW42" s="32">
        <v>0.17</v>
      </c>
      <c r="BX42" s="32">
        <v>0.05</v>
      </c>
      <c r="BY42" s="32">
        <v>0.18</v>
      </c>
      <c r="BZ42" s="32">
        <v>0.25</v>
      </c>
      <c r="CA42" s="32">
        <v>0.26</v>
      </c>
      <c r="CB42" s="32">
        <v>-0.04</v>
      </c>
      <c r="CC42" s="32">
        <v>0.09</v>
      </c>
      <c r="CD42" s="32">
        <v>0.2</v>
      </c>
      <c r="CE42" s="32">
        <v>0.13</v>
      </c>
      <c r="CF42" s="32">
        <v>-0.11</v>
      </c>
      <c r="CG42" s="32">
        <v>0.11</v>
      </c>
      <c r="CH42" s="32">
        <v>0.2</v>
      </c>
      <c r="CI42" s="32">
        <v>-0.13</v>
      </c>
      <c r="CJ42" s="32">
        <v>0.08</v>
      </c>
      <c r="CK42" s="32">
        <v>-0.04</v>
      </c>
      <c r="CL42" s="32">
        <v>0.16</v>
      </c>
      <c r="CM42" s="32">
        <v>0.08</v>
      </c>
      <c r="CN42" s="32">
        <v>0.13</v>
      </c>
      <c r="CO42" s="32">
        <v>0.06</v>
      </c>
      <c r="CP42" s="32">
        <v>0.04</v>
      </c>
      <c r="CQ42" s="32">
        <v>0.19</v>
      </c>
      <c r="CR42" s="32">
        <v>0.15</v>
      </c>
      <c r="CS42" s="32">
        <v>0.16</v>
      </c>
      <c r="CT42" s="32">
        <v>0.21</v>
      </c>
      <c r="CU42" s="32">
        <v>0.17</v>
      </c>
      <c r="CV42" s="32">
        <v>0.09</v>
      </c>
      <c r="CW42" s="32">
        <v>0.13</v>
      </c>
      <c r="CX42" s="32">
        <v>0.15</v>
      </c>
      <c r="CY42" s="32">
        <v>0.13</v>
      </c>
      <c r="CZ42" s="32">
        <v>0.16</v>
      </c>
      <c r="DA42" s="32">
        <v>0.1</v>
      </c>
      <c r="DB42" s="32">
        <v>0.16</v>
      </c>
      <c r="DC42" s="32">
        <v>0.33</v>
      </c>
      <c r="DD42" s="32">
        <v>0.27</v>
      </c>
      <c r="DE42" s="32">
        <v>0.14000000000000001</v>
      </c>
      <c r="DF42" s="32">
        <v>0.06</v>
      </c>
      <c r="DG42" s="32">
        <v>0.12</v>
      </c>
      <c r="DH42" s="32">
        <v>0.14000000000000001</v>
      </c>
      <c r="DI42" s="32">
        <v>0.17</v>
      </c>
      <c r="DJ42" s="32">
        <v>0.12</v>
      </c>
      <c r="DK42" s="32">
        <v>0.18</v>
      </c>
      <c r="DL42" s="32">
        <v>0.13</v>
      </c>
      <c r="DM42" s="32">
        <v>0.24</v>
      </c>
      <c r="DN42" s="32">
        <v>0.1</v>
      </c>
      <c r="DO42" s="32">
        <v>0.16</v>
      </c>
      <c r="DP42" s="32">
        <v>0.18</v>
      </c>
      <c r="DQ42" s="32">
        <v>0.25</v>
      </c>
      <c r="DR42" s="32">
        <v>0.19</v>
      </c>
      <c r="DS42" s="32">
        <v>0.12</v>
      </c>
      <c r="DT42" s="32">
        <v>0.1</v>
      </c>
      <c r="DU42" s="32">
        <v>0.21</v>
      </c>
      <c r="DV42" s="32">
        <v>0.13</v>
      </c>
      <c r="DW42" s="32">
        <v>0.15</v>
      </c>
      <c r="DX42" s="32">
        <v>0.08</v>
      </c>
      <c r="DY42" s="32">
        <v>0.14000000000000001</v>
      </c>
      <c r="DZ42" s="32">
        <v>0.18</v>
      </c>
      <c r="EA42" s="32">
        <v>0.04</v>
      </c>
      <c r="EB42" s="32">
        <v>0.2</v>
      </c>
      <c r="EC42" s="32">
        <v>0.04</v>
      </c>
      <c r="ED42" s="32">
        <v>0.2</v>
      </c>
      <c r="EE42" s="32">
        <v>0.19</v>
      </c>
      <c r="EF42" s="32">
        <v>0.14000000000000001</v>
      </c>
      <c r="EG42" s="32">
        <v>0.11</v>
      </c>
      <c r="EH42" s="32">
        <v>0.05</v>
      </c>
      <c r="EI42" s="32">
        <v>0.02</v>
      </c>
      <c r="EJ42" s="32">
        <v>0.22</v>
      </c>
      <c r="EK42" s="32">
        <v>0.17</v>
      </c>
      <c r="EL42" s="32">
        <v>0.22</v>
      </c>
      <c r="EM42" s="32">
        <v>0.11</v>
      </c>
      <c r="EN42" s="32">
        <v>0.12</v>
      </c>
      <c r="EO42" s="32">
        <v>0.05</v>
      </c>
    </row>
    <row r="43" spans="1:145" x14ac:dyDescent="0.25">
      <c r="A43" s="31" t="s">
        <v>119</v>
      </c>
      <c r="B43" s="32">
        <v>0.36</v>
      </c>
      <c r="C43" s="32">
        <v>0.01</v>
      </c>
      <c r="D43" s="32">
        <v>-0.05</v>
      </c>
      <c r="E43" s="32">
        <v>0.12</v>
      </c>
      <c r="F43" s="32">
        <v>0.39</v>
      </c>
      <c r="G43" s="32">
        <v>-0.03</v>
      </c>
      <c r="H43" s="32">
        <v>0.14000000000000001</v>
      </c>
      <c r="I43" s="32">
        <v>0.48</v>
      </c>
      <c r="J43" s="32">
        <v>0.28999999999999998</v>
      </c>
      <c r="K43" s="32">
        <v>0.51</v>
      </c>
      <c r="L43" s="32">
        <v>0.14000000000000001</v>
      </c>
      <c r="M43" s="32">
        <v>0.53</v>
      </c>
      <c r="N43" s="32">
        <v>0.35</v>
      </c>
      <c r="O43" s="32">
        <v>0.13</v>
      </c>
      <c r="P43" s="32">
        <v>0.35</v>
      </c>
      <c r="Q43" s="32">
        <v>0.08</v>
      </c>
      <c r="R43" s="32">
        <v>0.42</v>
      </c>
      <c r="S43" s="32">
        <v>0.18</v>
      </c>
      <c r="T43" s="32">
        <v>0.28999999999999998</v>
      </c>
      <c r="U43" s="32">
        <v>0.23</v>
      </c>
      <c r="V43" s="32">
        <v>0.17</v>
      </c>
      <c r="W43" s="32">
        <v>7.0000000000000007E-2</v>
      </c>
      <c r="X43" s="32">
        <v>0.3</v>
      </c>
      <c r="Y43" s="32">
        <v>0.32</v>
      </c>
      <c r="Z43" s="32">
        <v>0.17</v>
      </c>
      <c r="AA43" s="32">
        <v>0.23</v>
      </c>
      <c r="AB43" s="32">
        <v>0.33</v>
      </c>
      <c r="AC43" s="32">
        <v>0.01</v>
      </c>
      <c r="AD43" s="32">
        <v>0.06</v>
      </c>
      <c r="AE43" s="32">
        <v>0.22</v>
      </c>
      <c r="AF43" s="32">
        <v>0</v>
      </c>
      <c r="AG43" s="32">
        <v>0.17</v>
      </c>
      <c r="AH43" s="32">
        <v>0.22</v>
      </c>
      <c r="AI43" s="32">
        <v>-0.12</v>
      </c>
      <c r="AJ43" s="32">
        <v>-0.01</v>
      </c>
      <c r="AK43" s="32">
        <v>0.17</v>
      </c>
      <c r="AL43" s="32">
        <v>0.28000000000000003</v>
      </c>
      <c r="AM43" s="32">
        <v>0.1</v>
      </c>
      <c r="AN43" s="32">
        <v>1</v>
      </c>
      <c r="AO43" s="32">
        <v>0.25</v>
      </c>
      <c r="AP43" s="32">
        <v>0.41</v>
      </c>
      <c r="AQ43" s="32">
        <v>-0.14000000000000001</v>
      </c>
      <c r="AR43" s="32">
        <v>0.26</v>
      </c>
      <c r="AS43" s="32">
        <v>0.22</v>
      </c>
      <c r="AT43" s="32">
        <v>0.34</v>
      </c>
      <c r="AU43" s="32">
        <v>0.38</v>
      </c>
      <c r="AV43" s="32">
        <v>0.17</v>
      </c>
      <c r="AW43" s="32">
        <v>0.23</v>
      </c>
      <c r="AX43" s="32">
        <v>0.34</v>
      </c>
      <c r="AY43" s="32">
        <v>0.38</v>
      </c>
      <c r="AZ43" s="32">
        <v>0.26</v>
      </c>
      <c r="BA43" s="32">
        <v>0.43</v>
      </c>
      <c r="BB43" s="32">
        <v>0.25</v>
      </c>
      <c r="BC43" s="32">
        <v>0.1</v>
      </c>
      <c r="BD43" s="32">
        <v>0.18</v>
      </c>
      <c r="BE43" s="32">
        <v>0.33</v>
      </c>
      <c r="BF43" s="32">
        <v>0.19</v>
      </c>
      <c r="BG43" s="32">
        <v>0.33</v>
      </c>
      <c r="BH43" s="32">
        <v>0.2</v>
      </c>
      <c r="BI43" s="32">
        <v>0.1</v>
      </c>
      <c r="BJ43" s="32">
        <v>-0.06</v>
      </c>
      <c r="BK43" s="32">
        <v>0.13</v>
      </c>
      <c r="BL43" s="32">
        <v>0.3</v>
      </c>
      <c r="BM43" s="32">
        <v>0.43</v>
      </c>
      <c r="BN43" s="32">
        <v>0.13</v>
      </c>
      <c r="BO43" s="32">
        <v>0.27</v>
      </c>
      <c r="BP43" s="32">
        <v>0.09</v>
      </c>
      <c r="BQ43" s="32">
        <v>0.26</v>
      </c>
      <c r="BR43" s="32">
        <v>0.35</v>
      </c>
      <c r="BS43" s="32">
        <v>-0.19</v>
      </c>
      <c r="BT43" s="32">
        <v>0.42</v>
      </c>
      <c r="BU43" s="32">
        <v>0.14000000000000001</v>
      </c>
      <c r="BV43" s="32">
        <v>0.31</v>
      </c>
      <c r="BW43" s="32">
        <v>0.22</v>
      </c>
      <c r="BX43" s="32">
        <v>0.26</v>
      </c>
      <c r="BY43" s="32">
        <v>0.4</v>
      </c>
      <c r="BZ43" s="32">
        <v>0.38</v>
      </c>
      <c r="CA43" s="32">
        <v>0.14000000000000001</v>
      </c>
      <c r="CB43" s="32">
        <v>0.01</v>
      </c>
      <c r="CC43" s="32">
        <v>0.14000000000000001</v>
      </c>
      <c r="CD43" s="32">
        <v>0.28999999999999998</v>
      </c>
      <c r="CE43" s="32">
        <v>0.09</v>
      </c>
      <c r="CF43" s="32">
        <v>-0.17</v>
      </c>
      <c r="CG43" s="32">
        <v>0.42</v>
      </c>
      <c r="CH43" s="32">
        <v>0.19</v>
      </c>
      <c r="CI43" s="32">
        <v>-0.18</v>
      </c>
      <c r="CJ43" s="32">
        <v>0.12</v>
      </c>
      <c r="CK43" s="32">
        <v>0.45</v>
      </c>
      <c r="CL43" s="32">
        <v>0.31</v>
      </c>
      <c r="CM43" s="32">
        <v>0.06</v>
      </c>
      <c r="CN43" s="32">
        <v>0.03</v>
      </c>
      <c r="CO43" s="32">
        <v>0.14000000000000001</v>
      </c>
      <c r="CP43" s="32">
        <v>0.16</v>
      </c>
      <c r="CQ43" s="32">
        <v>0.43</v>
      </c>
      <c r="CR43" s="32">
        <v>0.19</v>
      </c>
      <c r="CS43" s="32">
        <v>0.24</v>
      </c>
      <c r="CT43" s="32">
        <v>0.24</v>
      </c>
      <c r="CU43" s="32">
        <v>0.09</v>
      </c>
      <c r="CV43" s="32">
        <v>0.17</v>
      </c>
      <c r="CW43" s="32">
        <v>0.34</v>
      </c>
      <c r="CX43" s="32">
        <v>0.27</v>
      </c>
      <c r="CY43" s="32">
        <v>0.45</v>
      </c>
      <c r="CZ43" s="32">
        <v>0.14000000000000001</v>
      </c>
      <c r="DA43" s="32">
        <v>0.21</v>
      </c>
      <c r="DB43" s="32">
        <v>0.18</v>
      </c>
      <c r="DC43" s="32">
        <v>0.3</v>
      </c>
      <c r="DD43" s="32">
        <v>0.34</v>
      </c>
      <c r="DE43" s="32">
        <v>0.22</v>
      </c>
      <c r="DF43" s="32">
        <v>0.06</v>
      </c>
      <c r="DG43" s="32">
        <v>0.19</v>
      </c>
      <c r="DH43" s="32">
        <v>0.06</v>
      </c>
      <c r="DI43" s="32">
        <v>0.46</v>
      </c>
      <c r="DJ43" s="32">
        <v>0.43</v>
      </c>
      <c r="DK43" s="32">
        <v>0.47</v>
      </c>
      <c r="DL43" s="32">
        <v>0.08</v>
      </c>
      <c r="DM43" s="32">
        <v>0.5</v>
      </c>
      <c r="DN43" s="32">
        <v>0.3</v>
      </c>
      <c r="DO43" s="32">
        <v>0.14000000000000001</v>
      </c>
      <c r="DP43" s="32">
        <v>0.44</v>
      </c>
      <c r="DQ43" s="32">
        <v>0.2</v>
      </c>
      <c r="DR43" s="32">
        <v>0.04</v>
      </c>
      <c r="DS43" s="32">
        <v>0.15</v>
      </c>
      <c r="DT43" s="32">
        <v>-0.01</v>
      </c>
      <c r="DU43" s="32">
        <v>0.21</v>
      </c>
      <c r="DV43" s="32">
        <v>0.08</v>
      </c>
      <c r="DW43" s="32">
        <v>0.22</v>
      </c>
      <c r="DX43" s="32">
        <v>0.13</v>
      </c>
      <c r="DY43" s="32">
        <v>0.35</v>
      </c>
      <c r="DZ43" s="32">
        <v>0.03</v>
      </c>
      <c r="EA43" s="32">
        <v>0.17</v>
      </c>
      <c r="EB43" s="32">
        <v>0.31</v>
      </c>
      <c r="EC43" s="32">
        <v>-0.05</v>
      </c>
      <c r="ED43" s="32">
        <v>0.15</v>
      </c>
      <c r="EE43" s="32">
        <v>0.08</v>
      </c>
      <c r="EF43" s="32">
        <v>0.13</v>
      </c>
      <c r="EG43" s="32">
        <v>0.08</v>
      </c>
      <c r="EH43" s="32">
        <v>0.09</v>
      </c>
      <c r="EI43" s="32">
        <v>0.01</v>
      </c>
      <c r="EJ43" s="32">
        <v>0.16</v>
      </c>
      <c r="EK43" s="32">
        <v>0.09</v>
      </c>
      <c r="EL43" s="32">
        <v>0.13</v>
      </c>
      <c r="EM43" s="32">
        <v>0.04</v>
      </c>
      <c r="EN43" s="32">
        <v>0.19</v>
      </c>
      <c r="EO43" s="32">
        <v>0.14000000000000001</v>
      </c>
    </row>
    <row r="44" spans="1:145" x14ac:dyDescent="0.25">
      <c r="A44" s="31" t="s">
        <v>120</v>
      </c>
      <c r="B44" s="32">
        <v>0.26</v>
      </c>
      <c r="C44" s="32">
        <v>0.03</v>
      </c>
      <c r="D44" s="32">
        <v>0.02</v>
      </c>
      <c r="E44" s="32">
        <v>0.1</v>
      </c>
      <c r="F44" s="32">
        <v>0.39</v>
      </c>
      <c r="G44" s="32">
        <v>0.02</v>
      </c>
      <c r="H44" s="32">
        <v>0</v>
      </c>
      <c r="I44" s="32">
        <v>0.36</v>
      </c>
      <c r="J44" s="32">
        <v>0.56000000000000005</v>
      </c>
      <c r="K44" s="32">
        <v>0.33</v>
      </c>
      <c r="L44" s="32">
        <v>0.05</v>
      </c>
      <c r="M44" s="32">
        <v>0.16</v>
      </c>
      <c r="N44" s="32">
        <v>0.42</v>
      </c>
      <c r="O44" s="32">
        <v>-0.01</v>
      </c>
      <c r="P44" s="32">
        <v>0.33</v>
      </c>
      <c r="Q44" s="32">
        <v>0</v>
      </c>
      <c r="R44" s="32">
        <v>0.28999999999999998</v>
      </c>
      <c r="S44" s="32">
        <v>0.1</v>
      </c>
      <c r="T44" s="32">
        <v>0.14000000000000001</v>
      </c>
      <c r="U44" s="32">
        <v>0.09</v>
      </c>
      <c r="V44" s="32">
        <v>-0.03</v>
      </c>
      <c r="W44" s="32">
        <v>0.1</v>
      </c>
      <c r="X44" s="32">
        <v>0.13</v>
      </c>
      <c r="Y44" s="32">
        <v>0.33</v>
      </c>
      <c r="Z44" s="32">
        <v>0.01</v>
      </c>
      <c r="AA44" s="32">
        <v>0.18</v>
      </c>
      <c r="AB44" s="32">
        <v>0.28999999999999998</v>
      </c>
      <c r="AC44" s="32">
        <v>-0.14000000000000001</v>
      </c>
      <c r="AD44" s="32">
        <v>0.01</v>
      </c>
      <c r="AE44" s="32">
        <v>-0.03</v>
      </c>
      <c r="AF44" s="32">
        <v>-0.05</v>
      </c>
      <c r="AG44" s="32">
        <v>0.23</v>
      </c>
      <c r="AH44" s="32">
        <v>0.25</v>
      </c>
      <c r="AI44" s="32">
        <v>0.11</v>
      </c>
      <c r="AJ44" s="32">
        <v>-0.04</v>
      </c>
      <c r="AK44" s="32">
        <v>-7.0000000000000007E-2</v>
      </c>
      <c r="AL44" s="32">
        <v>0.21</v>
      </c>
      <c r="AM44" s="32">
        <v>0.11</v>
      </c>
      <c r="AN44" s="32">
        <v>0.25</v>
      </c>
      <c r="AO44" s="32">
        <v>1</v>
      </c>
      <c r="AP44" s="32">
        <v>0.13</v>
      </c>
      <c r="AQ44" s="32">
        <v>0.12</v>
      </c>
      <c r="AR44" s="32">
        <v>0.14000000000000001</v>
      </c>
      <c r="AS44" s="32">
        <v>-0.04</v>
      </c>
      <c r="AT44" s="32">
        <v>0.12</v>
      </c>
      <c r="AU44" s="32">
        <v>0.31</v>
      </c>
      <c r="AV44" s="32">
        <v>0.09</v>
      </c>
      <c r="AW44" s="32">
        <v>-0.06</v>
      </c>
      <c r="AX44" s="32">
        <v>0.54</v>
      </c>
      <c r="AY44" s="32">
        <v>0.2</v>
      </c>
      <c r="AZ44" s="32">
        <v>0</v>
      </c>
      <c r="BA44" s="32">
        <v>0.19</v>
      </c>
      <c r="BB44" s="32">
        <v>0.05</v>
      </c>
      <c r="BC44" s="32">
        <v>0</v>
      </c>
      <c r="BD44" s="32">
        <v>0.02</v>
      </c>
      <c r="BE44" s="32">
        <v>0.47</v>
      </c>
      <c r="BF44" s="32">
        <v>7.0000000000000007E-2</v>
      </c>
      <c r="BG44" s="32">
        <v>0.28999999999999998</v>
      </c>
      <c r="BH44" s="32">
        <v>-0.02</v>
      </c>
      <c r="BI44" s="32">
        <v>-0.05</v>
      </c>
      <c r="BJ44" s="32">
        <v>-7.0000000000000007E-2</v>
      </c>
      <c r="BK44" s="32">
        <v>-0.02</v>
      </c>
      <c r="BL44" s="32">
        <v>0.15</v>
      </c>
      <c r="BM44" s="32">
        <v>0.21</v>
      </c>
      <c r="BN44" s="32">
        <v>0.21</v>
      </c>
      <c r="BO44" s="32">
        <v>0.06</v>
      </c>
      <c r="BP44" s="32">
        <v>-0.05</v>
      </c>
      <c r="BQ44" s="32">
        <v>-7.0000000000000007E-2</v>
      </c>
      <c r="BR44" s="32">
        <v>-0.01</v>
      </c>
      <c r="BS44" s="32">
        <v>0.06</v>
      </c>
      <c r="BT44" s="32">
        <v>0.12</v>
      </c>
      <c r="BU44" s="32">
        <v>-0.11</v>
      </c>
      <c r="BV44" s="32">
        <v>-0.09</v>
      </c>
      <c r="BW44" s="32">
        <v>7.0000000000000007E-2</v>
      </c>
      <c r="BX44" s="32">
        <v>0.42</v>
      </c>
      <c r="BY44" s="32">
        <v>0.14000000000000001</v>
      </c>
      <c r="BZ44" s="32">
        <v>0.04</v>
      </c>
      <c r="CA44" s="32">
        <v>-0.04</v>
      </c>
      <c r="CB44" s="32">
        <v>-0.02</v>
      </c>
      <c r="CC44" s="32">
        <v>0.18</v>
      </c>
      <c r="CD44" s="32">
        <v>0.17</v>
      </c>
      <c r="CE44" s="32">
        <v>0.09</v>
      </c>
      <c r="CF44" s="32">
        <v>7.0000000000000007E-2</v>
      </c>
      <c r="CG44" s="32">
        <v>0.11</v>
      </c>
      <c r="CH44" s="32">
        <v>0</v>
      </c>
      <c r="CI44" s="32">
        <v>0.1</v>
      </c>
      <c r="CJ44" s="32">
        <v>0.18</v>
      </c>
      <c r="CK44" s="32">
        <v>0.12</v>
      </c>
      <c r="CL44" s="32">
        <v>0.15</v>
      </c>
      <c r="CM44" s="32">
        <v>-0.1</v>
      </c>
      <c r="CN44" s="32">
        <v>-0.02</v>
      </c>
      <c r="CO44" s="32">
        <v>-0.1</v>
      </c>
      <c r="CP44" s="32">
        <v>0.12</v>
      </c>
      <c r="CQ44" s="32">
        <v>0.12</v>
      </c>
      <c r="CR44" s="32">
        <v>-7.0000000000000007E-2</v>
      </c>
      <c r="CS44" s="32">
        <v>0.04</v>
      </c>
      <c r="CT44" s="32">
        <v>0.01</v>
      </c>
      <c r="CU44" s="32">
        <v>-7.0000000000000007E-2</v>
      </c>
      <c r="CV44" s="32">
        <v>-0.04</v>
      </c>
      <c r="CW44" s="32">
        <v>0.13</v>
      </c>
      <c r="CX44" s="32">
        <v>0.12</v>
      </c>
      <c r="CY44" s="32">
        <v>0.12</v>
      </c>
      <c r="CZ44" s="32">
        <v>0.03</v>
      </c>
      <c r="DA44" s="32">
        <v>0.18</v>
      </c>
      <c r="DB44" s="32">
        <v>-0.04</v>
      </c>
      <c r="DC44" s="32">
        <v>0</v>
      </c>
      <c r="DD44" s="32">
        <v>0.1</v>
      </c>
      <c r="DE44" s="32">
        <v>0</v>
      </c>
      <c r="DF44" s="32">
        <v>0.06</v>
      </c>
      <c r="DG44" s="32">
        <v>0.04</v>
      </c>
      <c r="DH44" s="32">
        <v>-0.13</v>
      </c>
      <c r="DI44" s="32">
        <v>0.06</v>
      </c>
      <c r="DJ44" s="32">
        <v>0.15</v>
      </c>
      <c r="DK44" s="32">
        <v>0.08</v>
      </c>
      <c r="DL44" s="32">
        <v>-0.08</v>
      </c>
      <c r="DM44" s="32">
        <v>0.15</v>
      </c>
      <c r="DN44" s="32">
        <v>0.11</v>
      </c>
      <c r="DO44" s="32">
        <v>-0.01</v>
      </c>
      <c r="DP44" s="32">
        <v>0.13</v>
      </c>
      <c r="DQ44" s="32">
        <v>-0.14000000000000001</v>
      </c>
      <c r="DR44" s="32">
        <v>0.04</v>
      </c>
      <c r="DS44" s="32">
        <v>-0.01</v>
      </c>
      <c r="DT44" s="32">
        <v>-0.16</v>
      </c>
      <c r="DU44" s="32">
        <v>-0.09</v>
      </c>
      <c r="DV44" s="32">
        <v>-0.02</v>
      </c>
      <c r="DW44" s="32">
        <v>0.03</v>
      </c>
      <c r="DX44" s="32">
        <v>-0.06</v>
      </c>
      <c r="DY44" s="32">
        <v>-0.02</v>
      </c>
      <c r="DZ44" s="32">
        <v>-0.01</v>
      </c>
      <c r="EA44" s="32">
        <v>0.11</v>
      </c>
      <c r="EB44" s="32">
        <v>0</v>
      </c>
      <c r="EC44" s="32">
        <v>-0.04</v>
      </c>
      <c r="ED44" s="32">
        <v>0.08</v>
      </c>
      <c r="EE44" s="32">
        <v>-0.05</v>
      </c>
      <c r="EF44" s="32">
        <v>0.01</v>
      </c>
      <c r="EG44" s="32">
        <v>-0.08</v>
      </c>
      <c r="EH44" s="32">
        <v>7.0000000000000007E-2</v>
      </c>
      <c r="EI44" s="32">
        <v>-0.1</v>
      </c>
      <c r="EJ44" s="32">
        <v>0.1</v>
      </c>
      <c r="EK44" s="32">
        <v>0</v>
      </c>
      <c r="EL44" s="32">
        <v>-0.05</v>
      </c>
      <c r="EM44" s="32">
        <v>-0.04</v>
      </c>
      <c r="EN44" s="32">
        <v>0.22</v>
      </c>
      <c r="EO44" s="32">
        <v>0.03</v>
      </c>
    </row>
    <row r="45" spans="1:145" x14ac:dyDescent="0.25">
      <c r="A45" s="31" t="s">
        <v>121</v>
      </c>
      <c r="B45" s="32">
        <v>0.23</v>
      </c>
      <c r="C45" s="32">
        <v>-0.06</v>
      </c>
      <c r="D45" s="32">
        <v>0.03</v>
      </c>
      <c r="E45" s="32">
        <v>0.13</v>
      </c>
      <c r="F45" s="32">
        <v>0.28000000000000003</v>
      </c>
      <c r="G45" s="32">
        <v>0.05</v>
      </c>
      <c r="H45" s="32">
        <v>0.02</v>
      </c>
      <c r="I45" s="32">
        <v>0.28999999999999998</v>
      </c>
      <c r="J45" s="32">
        <v>0.12</v>
      </c>
      <c r="K45" s="32">
        <v>0.31</v>
      </c>
      <c r="L45" s="32">
        <v>0.09</v>
      </c>
      <c r="M45" s="32">
        <v>0.26</v>
      </c>
      <c r="N45" s="32">
        <v>0.39</v>
      </c>
      <c r="O45" s="32">
        <v>0.14000000000000001</v>
      </c>
      <c r="P45" s="32">
        <v>0.17</v>
      </c>
      <c r="Q45" s="32">
        <v>0.09</v>
      </c>
      <c r="R45" s="32">
        <v>0.35</v>
      </c>
      <c r="S45" s="32">
        <v>0.1</v>
      </c>
      <c r="T45" s="32">
        <v>0.26</v>
      </c>
      <c r="U45" s="32">
        <v>0.19</v>
      </c>
      <c r="V45" s="32">
        <v>0.13</v>
      </c>
      <c r="W45" s="32">
        <v>0.1</v>
      </c>
      <c r="X45" s="32">
        <v>0.3</v>
      </c>
      <c r="Y45" s="32">
        <v>0.28999999999999998</v>
      </c>
      <c r="Z45" s="32">
        <v>0.06</v>
      </c>
      <c r="AA45" s="32">
        <v>0.22</v>
      </c>
      <c r="AB45" s="32">
        <v>0.32</v>
      </c>
      <c r="AC45" s="32">
        <v>0.02</v>
      </c>
      <c r="AD45" s="32">
        <v>-0.04</v>
      </c>
      <c r="AE45" s="32">
        <v>0.08</v>
      </c>
      <c r="AF45" s="32">
        <v>0.04</v>
      </c>
      <c r="AG45" s="32">
        <v>0.17</v>
      </c>
      <c r="AH45" s="32">
        <v>0.21</v>
      </c>
      <c r="AI45" s="32">
        <v>-0.05</v>
      </c>
      <c r="AJ45" s="32">
        <v>0.08</v>
      </c>
      <c r="AK45" s="32">
        <v>0.13</v>
      </c>
      <c r="AL45" s="32">
        <v>0.28999999999999998</v>
      </c>
      <c r="AM45" s="32">
        <v>0.12</v>
      </c>
      <c r="AN45" s="32">
        <v>0.41</v>
      </c>
      <c r="AO45" s="32">
        <v>0.13</v>
      </c>
      <c r="AP45" s="32">
        <v>1</v>
      </c>
      <c r="AQ45" s="32">
        <v>-7.0000000000000007E-2</v>
      </c>
      <c r="AR45" s="32">
        <v>0.2</v>
      </c>
      <c r="AS45" s="32">
        <v>0.12</v>
      </c>
      <c r="AT45" s="32">
        <v>0.36</v>
      </c>
      <c r="AU45" s="32">
        <v>0.13</v>
      </c>
      <c r="AV45" s="32">
        <v>0.17</v>
      </c>
      <c r="AW45" s="32">
        <v>0.13</v>
      </c>
      <c r="AX45" s="32">
        <v>0.27</v>
      </c>
      <c r="AY45" s="32">
        <v>0.27</v>
      </c>
      <c r="AZ45" s="32">
        <v>0.09</v>
      </c>
      <c r="BA45" s="32">
        <v>0.28000000000000003</v>
      </c>
      <c r="BB45" s="32">
        <v>0.26</v>
      </c>
      <c r="BC45" s="32">
        <v>0.14000000000000001</v>
      </c>
      <c r="BD45" s="32">
        <v>0.13</v>
      </c>
      <c r="BE45" s="32">
        <v>0.21</v>
      </c>
      <c r="BF45" s="32">
        <v>0.12</v>
      </c>
      <c r="BG45" s="32">
        <v>0.3</v>
      </c>
      <c r="BH45" s="32">
        <v>0.12</v>
      </c>
      <c r="BI45" s="32">
        <v>0.11</v>
      </c>
      <c r="BJ45" s="32">
        <v>-0.01</v>
      </c>
      <c r="BK45" s="32">
        <v>0.06</v>
      </c>
      <c r="BL45" s="32">
        <v>0.17</v>
      </c>
      <c r="BM45" s="32">
        <v>0.28000000000000003</v>
      </c>
      <c r="BN45" s="32">
        <v>0.14000000000000001</v>
      </c>
      <c r="BO45" s="32">
        <v>0.27</v>
      </c>
      <c r="BP45" s="32">
        <v>0.16</v>
      </c>
      <c r="BQ45" s="32">
        <v>0.16</v>
      </c>
      <c r="BR45" s="32">
        <v>0.41</v>
      </c>
      <c r="BS45" s="32">
        <v>-7.0000000000000007E-2</v>
      </c>
      <c r="BT45" s="32">
        <v>0.24</v>
      </c>
      <c r="BU45" s="32">
        <v>0.1</v>
      </c>
      <c r="BV45" s="32">
        <v>0.23</v>
      </c>
      <c r="BW45" s="32">
        <v>0.22</v>
      </c>
      <c r="BX45" s="32">
        <v>0.2</v>
      </c>
      <c r="BY45" s="32">
        <v>0.32</v>
      </c>
      <c r="BZ45" s="32">
        <v>0.21</v>
      </c>
      <c r="CA45" s="32">
        <v>0.06</v>
      </c>
      <c r="CB45" s="32">
        <v>0</v>
      </c>
      <c r="CC45" s="32">
        <v>0.15</v>
      </c>
      <c r="CD45" s="32">
        <v>0.33</v>
      </c>
      <c r="CE45" s="32">
        <v>0.01</v>
      </c>
      <c r="CF45" s="32">
        <v>-0.1</v>
      </c>
      <c r="CG45" s="32">
        <v>0.37</v>
      </c>
      <c r="CH45" s="32">
        <v>0.18</v>
      </c>
      <c r="CI45" s="32">
        <v>-7.0000000000000007E-2</v>
      </c>
      <c r="CJ45" s="32">
        <v>0.34</v>
      </c>
      <c r="CK45" s="32">
        <v>0.4</v>
      </c>
      <c r="CL45" s="32">
        <v>0.22</v>
      </c>
      <c r="CM45" s="32">
        <v>0.14000000000000001</v>
      </c>
      <c r="CN45" s="32">
        <v>0.05</v>
      </c>
      <c r="CO45" s="32">
        <v>0.17</v>
      </c>
      <c r="CP45" s="32">
        <v>0.15</v>
      </c>
      <c r="CQ45" s="32">
        <v>0.33</v>
      </c>
      <c r="CR45" s="32">
        <v>0.1</v>
      </c>
      <c r="CS45" s="32">
        <v>0.06</v>
      </c>
      <c r="CT45" s="32">
        <v>0.37</v>
      </c>
      <c r="CU45" s="32">
        <v>0.13</v>
      </c>
      <c r="CV45" s="32">
        <v>0.17</v>
      </c>
      <c r="CW45" s="32">
        <v>0.34</v>
      </c>
      <c r="CX45" s="32">
        <v>0.26</v>
      </c>
      <c r="CY45" s="32">
        <v>0.32</v>
      </c>
      <c r="CZ45" s="32">
        <v>0.15</v>
      </c>
      <c r="DA45" s="32">
        <v>0.3</v>
      </c>
      <c r="DB45" s="32">
        <v>0.19</v>
      </c>
      <c r="DC45" s="32">
        <v>0.18</v>
      </c>
      <c r="DD45" s="32">
        <v>0.37</v>
      </c>
      <c r="DE45" s="32">
        <v>0.14000000000000001</v>
      </c>
      <c r="DF45" s="32">
        <v>0.18</v>
      </c>
      <c r="DG45" s="32">
        <v>0.19</v>
      </c>
      <c r="DH45" s="32">
        <v>0.04</v>
      </c>
      <c r="DI45" s="32">
        <v>0.34</v>
      </c>
      <c r="DJ45" s="32">
        <v>0.38</v>
      </c>
      <c r="DK45" s="32">
        <v>0.33</v>
      </c>
      <c r="DL45" s="32">
        <v>0.09</v>
      </c>
      <c r="DM45" s="32">
        <v>0.4</v>
      </c>
      <c r="DN45" s="32">
        <v>0.36</v>
      </c>
      <c r="DO45" s="32">
        <v>0.16</v>
      </c>
      <c r="DP45" s="32">
        <v>0.33</v>
      </c>
      <c r="DQ45" s="32">
        <v>0.06</v>
      </c>
      <c r="DR45" s="32">
        <v>7.0000000000000007E-2</v>
      </c>
      <c r="DS45" s="32">
        <v>0.15</v>
      </c>
      <c r="DT45" s="32">
        <v>0.08</v>
      </c>
      <c r="DU45" s="32">
        <v>0.3</v>
      </c>
      <c r="DV45" s="32">
        <v>0.14000000000000001</v>
      </c>
      <c r="DW45" s="32">
        <v>0.3</v>
      </c>
      <c r="DX45" s="32">
        <v>-0.03</v>
      </c>
      <c r="DY45" s="32">
        <v>0.35</v>
      </c>
      <c r="DZ45" s="32">
        <v>0.09</v>
      </c>
      <c r="EA45" s="32">
        <v>0.25</v>
      </c>
      <c r="EB45" s="32">
        <v>0.3</v>
      </c>
      <c r="EC45" s="32">
        <v>-0.01</v>
      </c>
      <c r="ED45" s="32">
        <v>0.24</v>
      </c>
      <c r="EE45" s="32">
        <v>0.08</v>
      </c>
      <c r="EF45" s="32">
        <v>0.13</v>
      </c>
      <c r="EG45" s="32">
        <v>0.03</v>
      </c>
      <c r="EH45" s="32">
        <v>0.19</v>
      </c>
      <c r="EI45" s="32">
        <v>-0.09</v>
      </c>
      <c r="EJ45" s="32">
        <v>0.23</v>
      </c>
      <c r="EK45" s="32">
        <v>0.15</v>
      </c>
      <c r="EL45" s="32">
        <v>0.1</v>
      </c>
      <c r="EM45" s="32">
        <v>0.16</v>
      </c>
      <c r="EN45" s="32">
        <v>0.24</v>
      </c>
      <c r="EO45" s="32">
        <v>0.19</v>
      </c>
    </row>
    <row r="46" spans="1:145" x14ac:dyDescent="0.25">
      <c r="A46" s="31" t="s">
        <v>122</v>
      </c>
      <c r="B46" s="32">
        <v>0.12</v>
      </c>
      <c r="C46" s="32">
        <v>0.01</v>
      </c>
      <c r="D46" s="32">
        <v>-0.1</v>
      </c>
      <c r="E46" s="32">
        <v>0.1</v>
      </c>
      <c r="F46" s="32">
        <v>0.25</v>
      </c>
      <c r="G46" s="32">
        <v>-0.02</v>
      </c>
      <c r="H46" s="32">
        <v>-0.09</v>
      </c>
      <c r="I46" s="32">
        <v>0.13</v>
      </c>
      <c r="J46" s="32">
        <v>0.21</v>
      </c>
      <c r="K46" s="32">
        <v>7.0000000000000007E-2</v>
      </c>
      <c r="L46" s="32">
        <v>-0.01</v>
      </c>
      <c r="M46" s="32">
        <v>-0.12</v>
      </c>
      <c r="N46" s="32">
        <v>0.09</v>
      </c>
      <c r="O46" s="32">
        <v>-0.02</v>
      </c>
      <c r="P46" s="32">
        <v>0.27</v>
      </c>
      <c r="Q46" s="32">
        <v>-0.05</v>
      </c>
      <c r="R46" s="32">
        <v>0.24</v>
      </c>
      <c r="S46" s="32">
        <v>-0.14000000000000001</v>
      </c>
      <c r="T46" s="32">
        <v>-0.01</v>
      </c>
      <c r="U46" s="32">
        <v>-0.12</v>
      </c>
      <c r="V46" s="32">
        <v>-0.08</v>
      </c>
      <c r="W46" s="32">
        <v>0.05</v>
      </c>
      <c r="X46" s="32">
        <v>-0.01</v>
      </c>
      <c r="Y46" s="32">
        <v>0.08</v>
      </c>
      <c r="Z46" s="32">
        <v>-0.02</v>
      </c>
      <c r="AA46" s="32">
        <v>-0.09</v>
      </c>
      <c r="AB46" s="32">
        <v>0.08</v>
      </c>
      <c r="AC46" s="32">
        <v>7.0000000000000007E-2</v>
      </c>
      <c r="AD46" s="32">
        <v>0.05</v>
      </c>
      <c r="AE46" s="32">
        <v>-0.24</v>
      </c>
      <c r="AF46" s="32">
        <v>-0.08</v>
      </c>
      <c r="AG46" s="32">
        <v>0.28000000000000003</v>
      </c>
      <c r="AH46" s="32">
        <v>0.24</v>
      </c>
      <c r="AI46" s="32">
        <v>0.86</v>
      </c>
      <c r="AJ46" s="32">
        <v>-0.05</v>
      </c>
      <c r="AK46" s="32">
        <v>-0.08</v>
      </c>
      <c r="AL46" s="32">
        <v>0.01</v>
      </c>
      <c r="AM46" s="32">
        <v>-0.15</v>
      </c>
      <c r="AN46" s="32">
        <v>-0.14000000000000001</v>
      </c>
      <c r="AO46" s="32">
        <v>0.12</v>
      </c>
      <c r="AP46" s="32">
        <v>-7.0000000000000007E-2</v>
      </c>
      <c r="AQ46" s="32">
        <v>1</v>
      </c>
      <c r="AR46" s="32">
        <v>0.02</v>
      </c>
      <c r="AS46" s="32">
        <v>-0.12</v>
      </c>
      <c r="AT46" s="32">
        <v>-7.0000000000000007E-2</v>
      </c>
      <c r="AU46" s="32">
        <v>0.17</v>
      </c>
      <c r="AV46" s="32">
        <v>0.04</v>
      </c>
      <c r="AW46" s="32">
        <v>-0.06</v>
      </c>
      <c r="AX46" s="32">
        <v>0.05</v>
      </c>
      <c r="AY46" s="32">
        <v>0.05</v>
      </c>
      <c r="AZ46" s="32">
        <v>-0.19</v>
      </c>
      <c r="BA46" s="32">
        <v>-0.02</v>
      </c>
      <c r="BB46" s="32">
        <v>-0.13</v>
      </c>
      <c r="BC46" s="32">
        <v>-0.04</v>
      </c>
      <c r="BD46" s="32">
        <v>-0.13</v>
      </c>
      <c r="BE46" s="32">
        <v>0.12</v>
      </c>
      <c r="BF46" s="32">
        <v>0.01</v>
      </c>
      <c r="BG46" s="32">
        <v>-0.01</v>
      </c>
      <c r="BH46" s="32">
        <v>-0.15</v>
      </c>
      <c r="BI46" s="32">
        <v>-0.04</v>
      </c>
      <c r="BJ46" s="32">
        <v>-0.02</v>
      </c>
      <c r="BK46" s="32">
        <v>-0.14000000000000001</v>
      </c>
      <c r="BL46" s="32">
        <v>-0.05</v>
      </c>
      <c r="BM46" s="32">
        <v>0.05</v>
      </c>
      <c r="BN46" s="32">
        <v>0.11</v>
      </c>
      <c r="BO46" s="32">
        <v>-0.17</v>
      </c>
      <c r="BP46" s="32">
        <v>-7.0000000000000007E-2</v>
      </c>
      <c r="BQ46" s="32">
        <v>-0.15</v>
      </c>
      <c r="BR46" s="32">
        <v>-0.05</v>
      </c>
      <c r="BS46" s="32">
        <v>0.74</v>
      </c>
      <c r="BT46" s="32">
        <v>-0.24</v>
      </c>
      <c r="BU46" s="32">
        <v>-0.06</v>
      </c>
      <c r="BV46" s="32">
        <v>-0.17</v>
      </c>
      <c r="BW46" s="32">
        <v>0</v>
      </c>
      <c r="BX46" s="32">
        <v>-0.01</v>
      </c>
      <c r="BY46" s="32">
        <v>-0.13</v>
      </c>
      <c r="BZ46" s="32">
        <v>-0.2</v>
      </c>
      <c r="CA46" s="32">
        <v>-0.12</v>
      </c>
      <c r="CB46" s="32">
        <v>0.16</v>
      </c>
      <c r="CC46" s="32">
        <v>0.01</v>
      </c>
      <c r="CD46" s="32">
        <v>-0.08</v>
      </c>
      <c r="CE46" s="32">
        <v>0.11</v>
      </c>
      <c r="CF46" s="32">
        <v>0.78</v>
      </c>
      <c r="CG46" s="32">
        <v>-0.15</v>
      </c>
      <c r="CH46" s="32">
        <v>-0.13</v>
      </c>
      <c r="CI46" s="32">
        <v>0.78</v>
      </c>
      <c r="CJ46" s="32">
        <v>7.0000000000000007E-2</v>
      </c>
      <c r="CK46" s="32">
        <v>0.09</v>
      </c>
      <c r="CL46" s="32">
        <v>-0.18</v>
      </c>
      <c r="CM46" s="32">
        <v>-0.14000000000000001</v>
      </c>
      <c r="CN46" s="32">
        <v>0.05</v>
      </c>
      <c r="CO46" s="32">
        <v>-0.09</v>
      </c>
      <c r="CP46" s="32">
        <v>7.0000000000000007E-2</v>
      </c>
      <c r="CQ46" s="32">
        <v>-0.26</v>
      </c>
      <c r="CR46" s="32">
        <v>-0.18</v>
      </c>
      <c r="CS46" s="32">
        <v>-0.03</v>
      </c>
      <c r="CT46" s="32">
        <v>-0.09</v>
      </c>
      <c r="CU46" s="32">
        <v>-0.02</v>
      </c>
      <c r="CV46" s="32">
        <v>-0.18</v>
      </c>
      <c r="CW46" s="32">
        <v>-0.1</v>
      </c>
      <c r="CX46" s="32">
        <v>-0.13</v>
      </c>
      <c r="CY46" s="32">
        <v>-0.27</v>
      </c>
      <c r="CZ46" s="32">
        <v>0.02</v>
      </c>
      <c r="DA46" s="32">
        <v>-0.06</v>
      </c>
      <c r="DB46" s="32">
        <v>-0.12</v>
      </c>
      <c r="DC46" s="32">
        <v>-0.36</v>
      </c>
      <c r="DD46" s="32">
        <v>-0.16</v>
      </c>
      <c r="DE46" s="32">
        <v>-0.1</v>
      </c>
      <c r="DF46" s="32">
        <v>0.03</v>
      </c>
      <c r="DG46" s="32">
        <v>-0.1</v>
      </c>
      <c r="DH46" s="32">
        <v>-0.11</v>
      </c>
      <c r="DI46" s="32">
        <v>-0.35</v>
      </c>
      <c r="DJ46" s="32">
        <v>-0.21</v>
      </c>
      <c r="DK46" s="32">
        <v>-0.35</v>
      </c>
      <c r="DL46" s="32">
        <v>-0.22</v>
      </c>
      <c r="DM46" s="32">
        <v>-0.28000000000000003</v>
      </c>
      <c r="DN46" s="32">
        <v>-0.06</v>
      </c>
      <c r="DO46" s="32">
        <v>-0.06</v>
      </c>
      <c r="DP46" s="32">
        <v>-0.28999999999999998</v>
      </c>
      <c r="DQ46" s="32">
        <v>-7.0000000000000007E-2</v>
      </c>
      <c r="DR46" s="32">
        <v>0.06</v>
      </c>
      <c r="DS46" s="32">
        <v>-0.04</v>
      </c>
      <c r="DT46" s="32">
        <v>-0.1</v>
      </c>
      <c r="DU46" s="32">
        <v>-0.15</v>
      </c>
      <c r="DV46" s="32">
        <v>-0.02</v>
      </c>
      <c r="DW46" s="32">
        <v>-0.19</v>
      </c>
      <c r="DX46" s="32">
        <v>-0.13</v>
      </c>
      <c r="DY46" s="32">
        <v>-0.17</v>
      </c>
      <c r="DZ46" s="32">
        <v>-0.04</v>
      </c>
      <c r="EA46" s="32">
        <v>-0.18</v>
      </c>
      <c r="EB46" s="32">
        <v>-0.13</v>
      </c>
      <c r="EC46" s="32">
        <v>0</v>
      </c>
      <c r="ED46" s="32">
        <v>-0.1</v>
      </c>
      <c r="EE46" s="32">
        <v>-0.16</v>
      </c>
      <c r="EF46" s="32">
        <v>0.01</v>
      </c>
      <c r="EG46" s="32">
        <v>-0.14000000000000001</v>
      </c>
      <c r="EH46" s="32">
        <v>-7.0000000000000007E-2</v>
      </c>
      <c r="EI46" s="32">
        <v>-0.15</v>
      </c>
      <c r="EJ46" s="32">
        <v>-0.06</v>
      </c>
      <c r="EK46" s="32">
        <v>0.02</v>
      </c>
      <c r="EL46" s="32">
        <v>-0.14000000000000001</v>
      </c>
      <c r="EM46" s="32">
        <v>-0.05</v>
      </c>
      <c r="EN46" s="32">
        <v>-0.08</v>
      </c>
      <c r="EO46" s="32">
        <v>-0.01</v>
      </c>
    </row>
    <row r="47" spans="1:145" x14ac:dyDescent="0.25">
      <c r="A47" s="31" t="s">
        <v>123</v>
      </c>
      <c r="B47" s="32">
        <v>0.23</v>
      </c>
      <c r="C47" s="32">
        <v>0</v>
      </c>
      <c r="D47" s="32">
        <v>7.0000000000000007E-2</v>
      </c>
      <c r="E47" s="32">
        <v>0.08</v>
      </c>
      <c r="F47" s="32">
        <v>0.05</v>
      </c>
      <c r="G47" s="32">
        <v>0</v>
      </c>
      <c r="H47" s="32">
        <v>-0.02</v>
      </c>
      <c r="I47" s="32">
        <v>0.18</v>
      </c>
      <c r="J47" s="32">
        <v>0.09</v>
      </c>
      <c r="K47" s="32">
        <v>0.13</v>
      </c>
      <c r="L47" s="32">
        <v>-0.01</v>
      </c>
      <c r="M47" s="32">
        <v>0.24</v>
      </c>
      <c r="N47" s="32">
        <v>0.2</v>
      </c>
      <c r="O47" s="32">
        <v>7.0000000000000007E-2</v>
      </c>
      <c r="P47" s="32">
        <v>0.1</v>
      </c>
      <c r="Q47" s="32">
        <v>0.03</v>
      </c>
      <c r="R47" s="32">
        <v>0.15</v>
      </c>
      <c r="S47" s="32">
        <v>0.01</v>
      </c>
      <c r="T47" s="32">
        <v>0.81</v>
      </c>
      <c r="U47" s="32">
        <v>0.11</v>
      </c>
      <c r="V47" s="32">
        <v>-0.05</v>
      </c>
      <c r="W47" s="32">
        <v>0.1</v>
      </c>
      <c r="X47" s="32">
        <v>0.75</v>
      </c>
      <c r="Y47" s="32">
        <v>0.34</v>
      </c>
      <c r="Z47" s="32">
        <v>0.02</v>
      </c>
      <c r="AA47" s="32">
        <v>0.16</v>
      </c>
      <c r="AB47" s="32">
        <v>0.36</v>
      </c>
      <c r="AC47" s="32">
        <v>-0.02</v>
      </c>
      <c r="AD47" s="32">
        <v>-0.03</v>
      </c>
      <c r="AE47" s="32">
        <v>0.16</v>
      </c>
      <c r="AF47" s="32">
        <v>0.09</v>
      </c>
      <c r="AG47" s="32">
        <v>0.1</v>
      </c>
      <c r="AH47" s="32">
        <v>0.11</v>
      </c>
      <c r="AI47" s="32">
        <v>0.1</v>
      </c>
      <c r="AJ47" s="32">
        <v>0.02</v>
      </c>
      <c r="AK47" s="32">
        <v>0.08</v>
      </c>
      <c r="AL47" s="32">
        <v>0.28999999999999998</v>
      </c>
      <c r="AM47" s="32">
        <v>0.15</v>
      </c>
      <c r="AN47" s="32">
        <v>0.26</v>
      </c>
      <c r="AO47" s="32">
        <v>0.14000000000000001</v>
      </c>
      <c r="AP47" s="32">
        <v>0.2</v>
      </c>
      <c r="AQ47" s="32">
        <v>0.02</v>
      </c>
      <c r="AR47" s="32">
        <v>1</v>
      </c>
      <c r="AS47" s="32">
        <v>0.08</v>
      </c>
      <c r="AT47" s="32">
        <v>0.55000000000000004</v>
      </c>
      <c r="AU47" s="32">
        <v>0.08</v>
      </c>
      <c r="AV47" s="32">
        <v>0.11</v>
      </c>
      <c r="AW47" s="32">
        <v>0.01</v>
      </c>
      <c r="AX47" s="32">
        <v>0.27</v>
      </c>
      <c r="AY47" s="32">
        <v>0.19</v>
      </c>
      <c r="AZ47" s="32">
        <v>0.11</v>
      </c>
      <c r="BA47" s="32">
        <v>0.32</v>
      </c>
      <c r="BB47" s="32">
        <v>0.7</v>
      </c>
      <c r="BC47" s="32">
        <v>0.06</v>
      </c>
      <c r="BD47" s="32">
        <v>0.17</v>
      </c>
      <c r="BE47" s="32">
        <v>0.16</v>
      </c>
      <c r="BF47" s="32">
        <v>0.12</v>
      </c>
      <c r="BG47" s="32">
        <v>0.25</v>
      </c>
      <c r="BH47" s="32">
        <v>0.09</v>
      </c>
      <c r="BI47" s="32">
        <v>0.1</v>
      </c>
      <c r="BJ47" s="32">
        <v>0.09</v>
      </c>
      <c r="BK47" s="32">
        <v>0.2</v>
      </c>
      <c r="BL47" s="32">
        <v>0.31</v>
      </c>
      <c r="BM47" s="32">
        <v>0.22</v>
      </c>
      <c r="BN47" s="32">
        <v>0.17</v>
      </c>
      <c r="BO47" s="32">
        <v>0.21</v>
      </c>
      <c r="BP47" s="32">
        <v>0.16</v>
      </c>
      <c r="BQ47" s="32">
        <v>0.25</v>
      </c>
      <c r="BR47" s="32">
        <v>0.31</v>
      </c>
      <c r="BS47" s="32">
        <v>0.03</v>
      </c>
      <c r="BT47" s="32">
        <v>0.38</v>
      </c>
      <c r="BU47" s="32">
        <v>0.22</v>
      </c>
      <c r="BV47" s="32">
        <v>0.25</v>
      </c>
      <c r="BW47" s="32">
        <v>0.16</v>
      </c>
      <c r="BX47" s="32">
        <v>0.11</v>
      </c>
      <c r="BY47" s="32">
        <v>0.28000000000000003</v>
      </c>
      <c r="BZ47" s="32">
        <v>0.31</v>
      </c>
      <c r="CA47" s="32">
        <v>-0.04</v>
      </c>
      <c r="CB47" s="32">
        <v>0.08</v>
      </c>
      <c r="CC47" s="32">
        <v>0.16</v>
      </c>
      <c r="CD47" s="32">
        <v>0.2</v>
      </c>
      <c r="CE47" s="32">
        <v>0.28000000000000003</v>
      </c>
      <c r="CF47" s="32">
        <v>0.05</v>
      </c>
      <c r="CG47" s="32">
        <v>0.32</v>
      </c>
      <c r="CH47" s="32">
        <v>0.14000000000000001</v>
      </c>
      <c r="CI47" s="32">
        <v>0.04</v>
      </c>
      <c r="CJ47" s="32">
        <v>7.0000000000000007E-2</v>
      </c>
      <c r="CK47" s="32">
        <v>0.18</v>
      </c>
      <c r="CL47" s="32">
        <v>0.19</v>
      </c>
      <c r="CM47" s="32">
        <v>0.15</v>
      </c>
      <c r="CN47" s="32">
        <v>0.04</v>
      </c>
      <c r="CO47" s="32">
        <v>0.03</v>
      </c>
      <c r="CP47" s="32">
        <v>0.11</v>
      </c>
      <c r="CQ47" s="32">
        <v>0.43</v>
      </c>
      <c r="CR47" s="32">
        <v>0.17</v>
      </c>
      <c r="CS47" s="32">
        <v>0.33</v>
      </c>
      <c r="CT47" s="32">
        <v>0.21</v>
      </c>
      <c r="CU47" s="32">
        <v>0.15</v>
      </c>
      <c r="CV47" s="32">
        <v>0.27</v>
      </c>
      <c r="CW47" s="32">
        <v>0.27</v>
      </c>
      <c r="CX47" s="32">
        <v>0.36</v>
      </c>
      <c r="CY47" s="32">
        <v>0.4</v>
      </c>
      <c r="CZ47" s="32">
        <v>0.19</v>
      </c>
      <c r="DA47" s="32">
        <v>0.16</v>
      </c>
      <c r="DB47" s="32">
        <v>0.13</v>
      </c>
      <c r="DC47" s="32">
        <v>0.24</v>
      </c>
      <c r="DD47" s="32">
        <v>0.22</v>
      </c>
      <c r="DE47" s="32">
        <v>0.2</v>
      </c>
      <c r="DF47" s="32">
        <v>0.15</v>
      </c>
      <c r="DG47" s="32">
        <v>0.16</v>
      </c>
      <c r="DH47" s="32">
        <v>0.12</v>
      </c>
      <c r="DI47" s="32">
        <v>0.35</v>
      </c>
      <c r="DJ47" s="32">
        <v>0.35</v>
      </c>
      <c r="DK47" s="32">
        <v>0.43</v>
      </c>
      <c r="DL47" s="32">
        <v>-0.01</v>
      </c>
      <c r="DM47" s="32">
        <v>0.38</v>
      </c>
      <c r="DN47" s="32">
        <v>0.2</v>
      </c>
      <c r="DO47" s="32">
        <v>0.2</v>
      </c>
      <c r="DP47" s="32">
        <v>0.3</v>
      </c>
      <c r="DQ47" s="32">
        <v>0.14000000000000001</v>
      </c>
      <c r="DR47" s="32">
        <v>0.22</v>
      </c>
      <c r="DS47" s="32">
        <v>0.16</v>
      </c>
      <c r="DT47" s="32">
        <v>0.15</v>
      </c>
      <c r="DU47" s="32">
        <v>0.32</v>
      </c>
      <c r="DV47" s="32">
        <v>0.14000000000000001</v>
      </c>
      <c r="DW47" s="32">
        <v>0.24</v>
      </c>
      <c r="DX47" s="32">
        <v>0.19</v>
      </c>
      <c r="DY47" s="32">
        <v>0.3</v>
      </c>
      <c r="DZ47" s="32">
        <v>0.11</v>
      </c>
      <c r="EA47" s="32">
        <v>0.13</v>
      </c>
      <c r="EB47" s="32">
        <v>0.33</v>
      </c>
      <c r="EC47" s="32">
        <v>0</v>
      </c>
      <c r="ED47" s="32">
        <v>0.15</v>
      </c>
      <c r="EE47" s="32">
        <v>0.14000000000000001</v>
      </c>
      <c r="EF47" s="32">
        <v>0.28000000000000003</v>
      </c>
      <c r="EG47" s="32">
        <v>0.09</v>
      </c>
      <c r="EH47" s="32">
        <v>0.15</v>
      </c>
      <c r="EI47" s="32">
        <v>0.03</v>
      </c>
      <c r="EJ47" s="32">
        <v>0.23</v>
      </c>
      <c r="EK47" s="32">
        <v>0.2</v>
      </c>
      <c r="EL47" s="32">
        <v>0.16</v>
      </c>
      <c r="EM47" s="32">
        <v>0.08</v>
      </c>
      <c r="EN47" s="32">
        <v>0.04</v>
      </c>
      <c r="EO47" s="32">
        <v>0.06</v>
      </c>
    </row>
    <row r="48" spans="1:145" x14ac:dyDescent="0.25">
      <c r="A48" s="31" t="s">
        <v>124</v>
      </c>
      <c r="B48" s="32">
        <v>-0.13</v>
      </c>
      <c r="C48" s="32">
        <v>0.12</v>
      </c>
      <c r="D48" s="32">
        <v>0.12</v>
      </c>
      <c r="E48" s="32">
        <v>0.19</v>
      </c>
      <c r="F48" s="32">
        <v>0</v>
      </c>
      <c r="G48" s="32">
        <v>0.16</v>
      </c>
      <c r="H48" s="32">
        <v>0.31</v>
      </c>
      <c r="I48" s="32">
        <v>-0.01</v>
      </c>
      <c r="J48" s="32">
        <v>0.06</v>
      </c>
      <c r="K48" s="32">
        <v>0</v>
      </c>
      <c r="L48" s="32">
        <v>0.2</v>
      </c>
      <c r="M48" s="32">
        <v>0.23</v>
      </c>
      <c r="N48" s="32">
        <v>0.05</v>
      </c>
      <c r="O48" s="32">
        <v>0.25</v>
      </c>
      <c r="P48" s="32">
        <v>0.04</v>
      </c>
      <c r="Q48" s="32">
        <v>0.02</v>
      </c>
      <c r="R48" s="32">
        <v>0.02</v>
      </c>
      <c r="S48" s="32">
        <v>0.21</v>
      </c>
      <c r="T48" s="32">
        <v>0.1</v>
      </c>
      <c r="U48" s="32">
        <v>0.48</v>
      </c>
      <c r="V48" s="32">
        <v>0.3</v>
      </c>
      <c r="W48" s="32">
        <v>0.22</v>
      </c>
      <c r="X48" s="32">
        <v>0.12</v>
      </c>
      <c r="Y48" s="32">
        <v>0.04</v>
      </c>
      <c r="Z48" s="32">
        <v>0.31</v>
      </c>
      <c r="AA48" s="32">
        <v>0.24</v>
      </c>
      <c r="AB48" s="32">
        <v>-0.04</v>
      </c>
      <c r="AC48" s="32">
        <v>0.08</v>
      </c>
      <c r="AD48" s="32">
        <v>0.16</v>
      </c>
      <c r="AE48" s="32">
        <v>0.36</v>
      </c>
      <c r="AF48" s="32">
        <v>0.41</v>
      </c>
      <c r="AG48" s="32">
        <v>-0.09</v>
      </c>
      <c r="AH48" s="32">
        <v>-7.0000000000000007E-2</v>
      </c>
      <c r="AI48" s="32">
        <v>-0.22</v>
      </c>
      <c r="AJ48" s="32">
        <v>0.28000000000000003</v>
      </c>
      <c r="AK48" s="32">
        <v>0.49</v>
      </c>
      <c r="AL48" s="32">
        <v>0.12</v>
      </c>
      <c r="AM48" s="32">
        <v>0.2</v>
      </c>
      <c r="AN48" s="32">
        <v>0.22</v>
      </c>
      <c r="AO48" s="32">
        <v>-0.04</v>
      </c>
      <c r="AP48" s="32">
        <v>0.12</v>
      </c>
      <c r="AQ48" s="32">
        <v>-0.12</v>
      </c>
      <c r="AR48" s="32">
        <v>0.08</v>
      </c>
      <c r="AS48" s="32">
        <v>1</v>
      </c>
      <c r="AT48" s="32">
        <v>0.1</v>
      </c>
      <c r="AU48" s="32">
        <v>0</v>
      </c>
      <c r="AV48" s="32">
        <v>0.22</v>
      </c>
      <c r="AW48" s="32">
        <v>0.28999999999999998</v>
      </c>
      <c r="AX48" s="32">
        <v>0.04</v>
      </c>
      <c r="AY48" s="32">
        <v>0.01</v>
      </c>
      <c r="AZ48" s="32">
        <v>0.27</v>
      </c>
      <c r="BA48" s="32">
        <v>0.15</v>
      </c>
      <c r="BB48" s="32">
        <v>0.15</v>
      </c>
      <c r="BC48" s="32">
        <v>0.15</v>
      </c>
      <c r="BD48" s="32">
        <v>0.52</v>
      </c>
      <c r="BE48" s="32">
        <v>0.05</v>
      </c>
      <c r="BF48" s="32">
        <v>0.31</v>
      </c>
      <c r="BG48" s="32">
        <v>0.1</v>
      </c>
      <c r="BH48" s="32">
        <v>0.33</v>
      </c>
      <c r="BI48" s="32">
        <v>0.04</v>
      </c>
      <c r="BJ48" s="32">
        <v>0.08</v>
      </c>
      <c r="BK48" s="32">
        <v>0.18</v>
      </c>
      <c r="BL48" s="32">
        <v>0.25</v>
      </c>
      <c r="BM48" s="32">
        <v>0.04</v>
      </c>
      <c r="BN48" s="32">
        <v>-0.03</v>
      </c>
      <c r="BO48" s="32">
        <v>0.19</v>
      </c>
      <c r="BP48" s="32">
        <v>0.05</v>
      </c>
      <c r="BQ48" s="32">
        <v>0.28999999999999998</v>
      </c>
      <c r="BR48" s="32">
        <v>0.13</v>
      </c>
      <c r="BS48" s="32">
        <v>-0.15</v>
      </c>
      <c r="BT48" s="32">
        <v>0.15</v>
      </c>
      <c r="BU48" s="32">
        <v>0.27</v>
      </c>
      <c r="BV48" s="32">
        <v>7.0000000000000007E-2</v>
      </c>
      <c r="BW48" s="32">
        <v>0.28999999999999998</v>
      </c>
      <c r="BX48" s="32">
        <v>-0.01</v>
      </c>
      <c r="BY48" s="32">
        <v>0.17</v>
      </c>
      <c r="BZ48" s="32">
        <v>0.15</v>
      </c>
      <c r="CA48" s="32">
        <v>0.35</v>
      </c>
      <c r="CB48" s="32">
        <v>0.11</v>
      </c>
      <c r="CC48" s="32">
        <v>0.01</v>
      </c>
      <c r="CD48" s="32">
        <v>0.1</v>
      </c>
      <c r="CE48" s="32">
        <v>7.0000000000000007E-2</v>
      </c>
      <c r="CF48" s="32">
        <v>-0.16</v>
      </c>
      <c r="CG48" s="32">
        <v>0.06</v>
      </c>
      <c r="CH48" s="32">
        <v>0.42</v>
      </c>
      <c r="CI48" s="32">
        <v>-0.21</v>
      </c>
      <c r="CJ48" s="32">
        <v>0.06</v>
      </c>
      <c r="CK48" s="32">
        <v>0.04</v>
      </c>
      <c r="CL48" s="32">
        <v>0.12</v>
      </c>
      <c r="CM48" s="32">
        <v>0.15</v>
      </c>
      <c r="CN48" s="32">
        <v>0.24</v>
      </c>
      <c r="CO48" s="32">
        <v>0.21</v>
      </c>
      <c r="CP48" s="32">
        <v>0.11</v>
      </c>
      <c r="CQ48" s="32">
        <v>0.14000000000000001</v>
      </c>
      <c r="CR48" s="32">
        <v>0.2</v>
      </c>
      <c r="CS48" s="32">
        <v>0.14000000000000001</v>
      </c>
      <c r="CT48" s="32">
        <v>0.26</v>
      </c>
      <c r="CU48" s="32">
        <v>0.18</v>
      </c>
      <c r="CV48" s="32">
        <v>7.0000000000000007E-2</v>
      </c>
      <c r="CW48" s="32">
        <v>0.17</v>
      </c>
      <c r="CX48" s="32">
        <v>0.18</v>
      </c>
      <c r="CY48" s="32">
        <v>0.1</v>
      </c>
      <c r="CZ48" s="32">
        <v>7.0000000000000007E-2</v>
      </c>
      <c r="DA48" s="32">
        <v>0.06</v>
      </c>
      <c r="DB48" s="32">
        <v>0.2</v>
      </c>
      <c r="DC48" s="32">
        <v>0.27</v>
      </c>
      <c r="DD48" s="32">
        <v>0.15</v>
      </c>
      <c r="DE48" s="32">
        <v>0.26</v>
      </c>
      <c r="DF48" s="32">
        <v>0</v>
      </c>
      <c r="DG48" s="32">
        <v>0.22</v>
      </c>
      <c r="DH48" s="32">
        <v>0.06</v>
      </c>
      <c r="DI48" s="32">
        <v>7.0000000000000007E-2</v>
      </c>
      <c r="DJ48" s="32">
        <v>0.1</v>
      </c>
      <c r="DK48" s="32">
        <v>0.14000000000000001</v>
      </c>
      <c r="DL48" s="32">
        <v>0.31</v>
      </c>
      <c r="DM48" s="32">
        <v>0.14000000000000001</v>
      </c>
      <c r="DN48" s="32">
        <v>0.09</v>
      </c>
      <c r="DO48" s="32">
        <v>0.09</v>
      </c>
      <c r="DP48" s="32">
        <v>0.15</v>
      </c>
      <c r="DQ48" s="32">
        <v>0.08</v>
      </c>
      <c r="DR48" s="32">
        <v>0.1</v>
      </c>
      <c r="DS48" s="32">
        <v>0.01</v>
      </c>
      <c r="DT48" s="32">
        <v>0.04</v>
      </c>
      <c r="DU48" s="32">
        <v>0.14000000000000001</v>
      </c>
      <c r="DV48" s="32">
        <v>0.04</v>
      </c>
      <c r="DW48" s="32">
        <v>0.06</v>
      </c>
      <c r="DX48" s="32">
        <v>0.11</v>
      </c>
      <c r="DY48" s="32">
        <v>0.08</v>
      </c>
      <c r="DZ48" s="32">
        <v>0.03</v>
      </c>
      <c r="EA48" s="32">
        <v>0.1</v>
      </c>
      <c r="EB48" s="32">
        <v>0.1</v>
      </c>
      <c r="EC48" s="32">
        <v>0.15</v>
      </c>
      <c r="ED48" s="32">
        <v>0.13</v>
      </c>
      <c r="EE48" s="32">
        <v>0.11</v>
      </c>
      <c r="EF48" s="32">
        <v>0.09</v>
      </c>
      <c r="EG48" s="32">
        <v>0.12</v>
      </c>
      <c r="EH48" s="32">
        <v>-0.03</v>
      </c>
      <c r="EI48" s="32">
        <v>0.11</v>
      </c>
      <c r="EJ48" s="32">
        <v>0.15</v>
      </c>
      <c r="EK48" s="32">
        <v>0.09</v>
      </c>
      <c r="EL48" s="32">
        <v>0.16</v>
      </c>
      <c r="EM48" s="32">
        <v>-0.03</v>
      </c>
      <c r="EN48" s="32">
        <v>7.0000000000000007E-2</v>
      </c>
      <c r="EO48" s="32">
        <v>0.12</v>
      </c>
    </row>
    <row r="49" spans="1:145" x14ac:dyDescent="0.25">
      <c r="A49" s="31" t="s">
        <v>125</v>
      </c>
      <c r="B49" s="32">
        <v>0.28999999999999998</v>
      </c>
      <c r="C49" s="32">
        <v>0</v>
      </c>
      <c r="D49" s="32">
        <v>0.01</v>
      </c>
      <c r="E49" s="32">
        <v>0.12</v>
      </c>
      <c r="F49" s="32">
        <v>0.08</v>
      </c>
      <c r="G49" s="32">
        <v>-0.05</v>
      </c>
      <c r="H49" s="32">
        <v>0</v>
      </c>
      <c r="I49" s="32">
        <v>0.23</v>
      </c>
      <c r="J49" s="32">
        <v>0.04</v>
      </c>
      <c r="K49" s="32">
        <v>0.17</v>
      </c>
      <c r="L49" s="32">
        <v>0.04</v>
      </c>
      <c r="M49" s="32">
        <v>0.37</v>
      </c>
      <c r="N49" s="32">
        <v>0.24</v>
      </c>
      <c r="O49" s="32">
        <v>0.02</v>
      </c>
      <c r="P49" s="32">
        <v>0.11</v>
      </c>
      <c r="Q49" s="32">
        <v>-7.0000000000000007E-2</v>
      </c>
      <c r="R49" s="32">
        <v>0.11</v>
      </c>
      <c r="S49" s="32">
        <v>0.02</v>
      </c>
      <c r="T49" s="32">
        <v>0.62</v>
      </c>
      <c r="U49" s="32">
        <v>0.09</v>
      </c>
      <c r="V49" s="32">
        <v>0.04</v>
      </c>
      <c r="W49" s="32">
        <v>0.11</v>
      </c>
      <c r="X49" s="32">
        <v>0.56999999999999995</v>
      </c>
      <c r="Y49" s="32">
        <v>0.52</v>
      </c>
      <c r="Z49" s="32">
        <v>0.06</v>
      </c>
      <c r="AA49" s="32">
        <v>0.12</v>
      </c>
      <c r="AB49" s="32">
        <v>0.52</v>
      </c>
      <c r="AC49" s="32">
        <v>0.02</v>
      </c>
      <c r="AD49" s="32">
        <v>-0.06</v>
      </c>
      <c r="AE49" s="32">
        <v>0.22</v>
      </c>
      <c r="AF49" s="32">
        <v>0.01</v>
      </c>
      <c r="AG49" s="32">
        <v>-0.02</v>
      </c>
      <c r="AH49" s="32">
        <v>0.01</v>
      </c>
      <c r="AI49" s="32">
        <v>-0.03</v>
      </c>
      <c r="AJ49" s="32">
        <v>-0.04</v>
      </c>
      <c r="AK49" s="32">
        <v>0.08</v>
      </c>
      <c r="AL49" s="32">
        <v>0.3</v>
      </c>
      <c r="AM49" s="32">
        <v>0.1</v>
      </c>
      <c r="AN49" s="32">
        <v>0.34</v>
      </c>
      <c r="AO49" s="32">
        <v>0.12</v>
      </c>
      <c r="AP49" s="32">
        <v>0.36</v>
      </c>
      <c r="AQ49" s="32">
        <v>-7.0000000000000007E-2</v>
      </c>
      <c r="AR49" s="32">
        <v>0.55000000000000004</v>
      </c>
      <c r="AS49" s="32">
        <v>0.1</v>
      </c>
      <c r="AT49" s="32">
        <v>1</v>
      </c>
      <c r="AU49" s="32">
        <v>0.04</v>
      </c>
      <c r="AV49" s="32">
        <v>0.16</v>
      </c>
      <c r="AW49" s="32">
        <v>0.09</v>
      </c>
      <c r="AX49" s="32">
        <v>0.25</v>
      </c>
      <c r="AY49" s="32">
        <v>0.36</v>
      </c>
      <c r="AZ49" s="32">
        <v>0.2</v>
      </c>
      <c r="BA49" s="32">
        <v>0.31</v>
      </c>
      <c r="BB49" s="32">
        <v>0.6</v>
      </c>
      <c r="BC49" s="32">
        <v>0.06</v>
      </c>
      <c r="BD49" s="32">
        <v>7.0000000000000007E-2</v>
      </c>
      <c r="BE49" s="32">
        <v>0.14000000000000001</v>
      </c>
      <c r="BF49" s="32">
        <v>0.09</v>
      </c>
      <c r="BG49" s="32">
        <v>0.4</v>
      </c>
      <c r="BH49" s="32">
        <v>0.13</v>
      </c>
      <c r="BI49" s="32">
        <v>0.13</v>
      </c>
      <c r="BJ49" s="32">
        <v>-0.05</v>
      </c>
      <c r="BK49" s="32">
        <v>0.17</v>
      </c>
      <c r="BL49" s="32">
        <v>0.25</v>
      </c>
      <c r="BM49" s="32">
        <v>0.26</v>
      </c>
      <c r="BN49" s="32">
        <v>0.14000000000000001</v>
      </c>
      <c r="BO49" s="32">
        <v>0.34</v>
      </c>
      <c r="BP49" s="32">
        <v>0.27</v>
      </c>
      <c r="BQ49" s="32">
        <v>0.21</v>
      </c>
      <c r="BR49" s="32">
        <v>0.36</v>
      </c>
      <c r="BS49" s="32">
        <v>-0.09</v>
      </c>
      <c r="BT49" s="32">
        <v>0.3</v>
      </c>
      <c r="BU49" s="32">
        <v>0.08</v>
      </c>
      <c r="BV49" s="32">
        <v>0.31</v>
      </c>
      <c r="BW49" s="32">
        <v>0.28999999999999998</v>
      </c>
      <c r="BX49" s="32">
        <v>0.09</v>
      </c>
      <c r="BY49" s="32">
        <v>0.4</v>
      </c>
      <c r="BZ49" s="32">
        <v>0.32</v>
      </c>
      <c r="CA49" s="32">
        <v>-0.02</v>
      </c>
      <c r="CB49" s="32">
        <v>0.02</v>
      </c>
      <c r="CC49" s="32">
        <v>0.24</v>
      </c>
      <c r="CD49" s="32">
        <v>0.32</v>
      </c>
      <c r="CE49" s="32">
        <v>0.22</v>
      </c>
      <c r="CF49" s="32">
        <v>-7.0000000000000007E-2</v>
      </c>
      <c r="CG49" s="32">
        <v>0.43</v>
      </c>
      <c r="CH49" s="32">
        <v>0.14000000000000001</v>
      </c>
      <c r="CI49" s="32">
        <v>-0.06</v>
      </c>
      <c r="CJ49" s="32">
        <v>0.11</v>
      </c>
      <c r="CK49" s="32">
        <v>0.37</v>
      </c>
      <c r="CL49" s="32">
        <v>0.28999999999999998</v>
      </c>
      <c r="CM49" s="32">
        <v>0.19</v>
      </c>
      <c r="CN49" s="32">
        <v>0.02</v>
      </c>
      <c r="CO49" s="32">
        <v>0.23</v>
      </c>
      <c r="CP49" s="32">
        <v>0.12</v>
      </c>
      <c r="CQ49" s="32">
        <v>0.51</v>
      </c>
      <c r="CR49" s="32">
        <v>0.21</v>
      </c>
      <c r="CS49" s="32">
        <v>0.23</v>
      </c>
      <c r="CT49" s="32">
        <v>0.3</v>
      </c>
      <c r="CU49" s="32">
        <v>0.12</v>
      </c>
      <c r="CV49" s="32">
        <v>0.27</v>
      </c>
      <c r="CW49" s="32">
        <v>0.31</v>
      </c>
      <c r="CX49" s="32">
        <v>0.4</v>
      </c>
      <c r="CY49" s="32">
        <v>0.45</v>
      </c>
      <c r="CZ49" s="32">
        <v>0.19</v>
      </c>
      <c r="DA49" s="32">
        <v>0.28999999999999998</v>
      </c>
      <c r="DB49" s="32">
        <v>0.3</v>
      </c>
      <c r="DC49" s="32">
        <v>0.28000000000000003</v>
      </c>
      <c r="DD49" s="32">
        <v>0.38</v>
      </c>
      <c r="DE49" s="32">
        <v>0.22</v>
      </c>
      <c r="DF49" s="32">
        <v>0.22</v>
      </c>
      <c r="DG49" s="32">
        <v>0.1</v>
      </c>
      <c r="DH49" s="32">
        <v>0.15</v>
      </c>
      <c r="DI49" s="32">
        <v>0.45</v>
      </c>
      <c r="DJ49" s="32">
        <v>0.44</v>
      </c>
      <c r="DK49" s="32">
        <v>0.5</v>
      </c>
      <c r="DL49" s="32">
        <v>-0.05</v>
      </c>
      <c r="DM49" s="32">
        <v>0.46</v>
      </c>
      <c r="DN49" s="32">
        <v>0.31</v>
      </c>
      <c r="DO49" s="32">
        <v>0.25</v>
      </c>
      <c r="DP49" s="32">
        <v>0.41</v>
      </c>
      <c r="DQ49" s="32">
        <v>0.15</v>
      </c>
      <c r="DR49" s="32">
        <v>0.13</v>
      </c>
      <c r="DS49" s="32">
        <v>0.28000000000000003</v>
      </c>
      <c r="DT49" s="32">
        <v>0.19</v>
      </c>
      <c r="DU49" s="32">
        <v>0.45</v>
      </c>
      <c r="DV49" s="32">
        <v>0.23</v>
      </c>
      <c r="DW49" s="32">
        <v>0.41</v>
      </c>
      <c r="DX49" s="32">
        <v>0.17</v>
      </c>
      <c r="DY49" s="32">
        <v>0.56000000000000005</v>
      </c>
      <c r="DZ49" s="32">
        <v>0.14000000000000001</v>
      </c>
      <c r="EA49" s="32">
        <v>0.23</v>
      </c>
      <c r="EB49" s="32">
        <v>0.51</v>
      </c>
      <c r="EC49" s="32">
        <v>0.03</v>
      </c>
      <c r="ED49" s="32">
        <v>0.25</v>
      </c>
      <c r="EE49" s="32">
        <v>0.14000000000000001</v>
      </c>
      <c r="EF49" s="32">
        <v>0.14000000000000001</v>
      </c>
      <c r="EG49" s="32">
        <v>0.11</v>
      </c>
      <c r="EH49" s="32">
        <v>0.26</v>
      </c>
      <c r="EI49" s="32">
        <v>7.0000000000000007E-2</v>
      </c>
      <c r="EJ49" s="32">
        <v>0.3</v>
      </c>
      <c r="EK49" s="32">
        <v>0.21</v>
      </c>
      <c r="EL49" s="32">
        <v>0.2</v>
      </c>
      <c r="EM49" s="32">
        <v>0.11</v>
      </c>
      <c r="EN49" s="32">
        <v>0.18</v>
      </c>
      <c r="EO49" s="32">
        <v>0.16</v>
      </c>
    </row>
    <row r="50" spans="1:145" x14ac:dyDescent="0.25">
      <c r="A50" s="31" t="s">
        <v>126</v>
      </c>
      <c r="B50" s="32">
        <v>0.3</v>
      </c>
      <c r="C50" s="32">
        <v>0.05</v>
      </c>
      <c r="D50" s="32">
        <v>-0.04</v>
      </c>
      <c r="E50" s="32">
        <v>0.08</v>
      </c>
      <c r="F50" s="32">
        <v>0.4</v>
      </c>
      <c r="G50" s="32">
        <v>-0.02</v>
      </c>
      <c r="H50" s="32">
        <v>0.02</v>
      </c>
      <c r="I50" s="32">
        <v>0.41</v>
      </c>
      <c r="J50" s="32">
        <v>0.42</v>
      </c>
      <c r="K50" s="32">
        <v>0.43</v>
      </c>
      <c r="L50" s="32">
        <v>0.1</v>
      </c>
      <c r="M50" s="32">
        <v>0.24</v>
      </c>
      <c r="N50" s="32">
        <v>0.22</v>
      </c>
      <c r="O50" s="32">
        <v>0.09</v>
      </c>
      <c r="P50" s="32">
        <v>0.66</v>
      </c>
      <c r="Q50" s="32">
        <v>0.01</v>
      </c>
      <c r="R50" s="32">
        <v>0.44</v>
      </c>
      <c r="S50" s="32">
        <v>0.08</v>
      </c>
      <c r="T50" s="32">
        <v>0.08</v>
      </c>
      <c r="U50" s="32">
        <v>0.08</v>
      </c>
      <c r="V50" s="32">
        <v>0.02</v>
      </c>
      <c r="W50" s="32">
        <v>0.14000000000000001</v>
      </c>
      <c r="X50" s="32">
        <v>0.08</v>
      </c>
      <c r="Y50" s="32">
        <v>0.19</v>
      </c>
      <c r="Z50" s="32">
        <v>0.11</v>
      </c>
      <c r="AA50" s="32">
        <v>0.16</v>
      </c>
      <c r="AB50" s="32">
        <v>0.17</v>
      </c>
      <c r="AC50" s="32">
        <v>-0.04</v>
      </c>
      <c r="AD50" s="32">
        <v>0.05</v>
      </c>
      <c r="AE50" s="32">
        <v>-0.04</v>
      </c>
      <c r="AF50" s="32">
        <v>0</v>
      </c>
      <c r="AG50" s="32">
        <v>0.25</v>
      </c>
      <c r="AH50" s="32">
        <v>0.26</v>
      </c>
      <c r="AI50" s="32">
        <v>0.16</v>
      </c>
      <c r="AJ50" s="32">
        <v>-7.0000000000000007E-2</v>
      </c>
      <c r="AK50" s="32">
        <v>0.06</v>
      </c>
      <c r="AL50" s="32">
        <v>0.18</v>
      </c>
      <c r="AM50" s="32">
        <v>0.06</v>
      </c>
      <c r="AN50" s="32">
        <v>0.38</v>
      </c>
      <c r="AO50" s="32">
        <v>0.31</v>
      </c>
      <c r="AP50" s="32">
        <v>0.13</v>
      </c>
      <c r="AQ50" s="32">
        <v>0.17</v>
      </c>
      <c r="AR50" s="32">
        <v>0.08</v>
      </c>
      <c r="AS50" s="32">
        <v>0</v>
      </c>
      <c r="AT50" s="32">
        <v>0.04</v>
      </c>
      <c r="AU50" s="32">
        <v>1</v>
      </c>
      <c r="AV50" s="32">
        <v>0.14000000000000001</v>
      </c>
      <c r="AW50" s="32">
        <v>0.14000000000000001</v>
      </c>
      <c r="AX50" s="32">
        <v>0.34</v>
      </c>
      <c r="AY50" s="32">
        <v>0.24</v>
      </c>
      <c r="AZ50" s="32">
        <v>0.02</v>
      </c>
      <c r="BA50" s="32">
        <v>0.2</v>
      </c>
      <c r="BB50" s="32">
        <v>0</v>
      </c>
      <c r="BC50" s="32">
        <v>0.03</v>
      </c>
      <c r="BD50" s="32">
        <v>-0.06</v>
      </c>
      <c r="BE50" s="32">
        <v>0.27</v>
      </c>
      <c r="BF50" s="32">
        <v>0.02</v>
      </c>
      <c r="BG50" s="32">
        <v>0.02</v>
      </c>
      <c r="BH50" s="32">
        <v>-0.02</v>
      </c>
      <c r="BI50" s="32">
        <v>-0.04</v>
      </c>
      <c r="BJ50" s="32">
        <v>-7.0000000000000007E-2</v>
      </c>
      <c r="BK50" s="32">
        <v>-0.01</v>
      </c>
      <c r="BL50" s="32">
        <v>7.0000000000000007E-2</v>
      </c>
      <c r="BM50" s="32">
        <v>0.35</v>
      </c>
      <c r="BN50" s="32">
        <v>0.2</v>
      </c>
      <c r="BO50" s="32">
        <v>0.12</v>
      </c>
      <c r="BP50" s="32">
        <v>-0.04</v>
      </c>
      <c r="BQ50" s="32">
        <v>0.03</v>
      </c>
      <c r="BR50" s="32">
        <v>0.13</v>
      </c>
      <c r="BS50" s="32">
        <v>0.11</v>
      </c>
      <c r="BT50" s="32">
        <v>0.11</v>
      </c>
      <c r="BU50" s="32">
        <v>-0.01</v>
      </c>
      <c r="BV50" s="32">
        <v>0.01</v>
      </c>
      <c r="BW50" s="32">
        <v>0.14000000000000001</v>
      </c>
      <c r="BX50" s="32">
        <v>0.27</v>
      </c>
      <c r="BY50" s="32">
        <v>0.13</v>
      </c>
      <c r="BZ50" s="32">
        <v>0.18</v>
      </c>
      <c r="CA50" s="32">
        <v>0.09</v>
      </c>
      <c r="CB50" s="32">
        <v>0.01</v>
      </c>
      <c r="CC50" s="32">
        <v>0.13</v>
      </c>
      <c r="CD50" s="32">
        <v>0.05</v>
      </c>
      <c r="CE50" s="32">
        <v>0.03</v>
      </c>
      <c r="CF50" s="32">
        <v>0.13</v>
      </c>
      <c r="CG50" s="32">
        <v>0.08</v>
      </c>
      <c r="CH50" s="32">
        <v>0</v>
      </c>
      <c r="CI50" s="32">
        <v>0.1</v>
      </c>
      <c r="CJ50" s="32">
        <v>0.09</v>
      </c>
      <c r="CK50" s="32">
        <v>0.19</v>
      </c>
      <c r="CL50" s="32">
        <v>0.09</v>
      </c>
      <c r="CM50" s="32">
        <v>-7.0000000000000007E-2</v>
      </c>
      <c r="CN50" s="32">
        <v>0.01</v>
      </c>
      <c r="CO50" s="32">
        <v>-0.05</v>
      </c>
      <c r="CP50" s="32">
        <v>0.13</v>
      </c>
      <c r="CQ50" s="32">
        <v>0.1</v>
      </c>
      <c r="CR50" s="32">
        <v>-0.03</v>
      </c>
      <c r="CS50" s="32">
        <v>0.14000000000000001</v>
      </c>
      <c r="CT50" s="32">
        <v>0.01</v>
      </c>
      <c r="CU50" s="32">
        <v>0.03</v>
      </c>
      <c r="CV50" s="32">
        <v>-0.02</v>
      </c>
      <c r="CW50" s="32">
        <v>-0.03</v>
      </c>
      <c r="CX50" s="32">
        <v>0.03</v>
      </c>
      <c r="CY50" s="32">
        <v>0.08</v>
      </c>
      <c r="CZ50" s="32">
        <v>7.0000000000000007E-2</v>
      </c>
      <c r="DA50" s="32">
        <v>-0.01</v>
      </c>
      <c r="DB50" s="32">
        <v>-0.02</v>
      </c>
      <c r="DC50" s="32">
        <v>-0.01</v>
      </c>
      <c r="DD50" s="32">
        <v>0.04</v>
      </c>
      <c r="DE50" s="32">
        <v>-0.05</v>
      </c>
      <c r="DF50" s="32">
        <v>-0.01</v>
      </c>
      <c r="DG50" s="32">
        <v>-0.04</v>
      </c>
      <c r="DH50" s="32">
        <v>-7.0000000000000007E-2</v>
      </c>
      <c r="DI50" s="32">
        <v>0.06</v>
      </c>
      <c r="DJ50" s="32">
        <v>0.12</v>
      </c>
      <c r="DK50" s="32">
        <v>0.08</v>
      </c>
      <c r="DL50" s="32">
        <v>-0.03</v>
      </c>
      <c r="DM50" s="32">
        <v>0.15</v>
      </c>
      <c r="DN50" s="32">
        <v>0.13</v>
      </c>
      <c r="DO50" s="32">
        <v>-0.05</v>
      </c>
      <c r="DP50" s="32">
        <v>0.11</v>
      </c>
      <c r="DQ50" s="32">
        <v>-0.01</v>
      </c>
      <c r="DR50" s="32">
        <v>-0.02</v>
      </c>
      <c r="DS50" s="32">
        <v>-0.02</v>
      </c>
      <c r="DT50" s="32">
        <v>-0.12</v>
      </c>
      <c r="DU50" s="32">
        <v>-0.11</v>
      </c>
      <c r="DV50" s="32">
        <v>0</v>
      </c>
      <c r="DW50" s="32">
        <v>-0.02</v>
      </c>
      <c r="DX50" s="32">
        <v>-0.06</v>
      </c>
      <c r="DY50" s="32">
        <v>-0.08</v>
      </c>
      <c r="DZ50" s="32">
        <v>0</v>
      </c>
      <c r="EA50" s="32">
        <v>0.01</v>
      </c>
      <c r="EB50" s="32">
        <v>-0.01</v>
      </c>
      <c r="EC50" s="32">
        <v>-0.1</v>
      </c>
      <c r="ED50" s="32">
        <v>0.01</v>
      </c>
      <c r="EE50" s="32">
        <v>-0.06</v>
      </c>
      <c r="EF50" s="32">
        <v>-0.01</v>
      </c>
      <c r="EG50" s="32">
        <v>-0.02</v>
      </c>
      <c r="EH50" s="32">
        <v>0</v>
      </c>
      <c r="EI50" s="32">
        <v>-0.16</v>
      </c>
      <c r="EJ50" s="32">
        <v>-0.01</v>
      </c>
      <c r="EK50" s="32">
        <v>-0.02</v>
      </c>
      <c r="EL50" s="32">
        <v>-0.02</v>
      </c>
      <c r="EM50" s="32">
        <v>-0.05</v>
      </c>
      <c r="EN50" s="32">
        <v>7.0000000000000007E-2</v>
      </c>
      <c r="EO50" s="32">
        <v>0</v>
      </c>
    </row>
    <row r="51" spans="1:145" x14ac:dyDescent="0.25">
      <c r="A51" s="31" t="s">
        <v>127</v>
      </c>
      <c r="B51" s="32">
        <v>7.0000000000000007E-2</v>
      </c>
      <c r="C51" s="32">
        <v>0.28000000000000003</v>
      </c>
      <c r="D51" s="32">
        <v>0.1</v>
      </c>
      <c r="E51" s="32">
        <v>0.45</v>
      </c>
      <c r="F51" s="32">
        <v>0.08</v>
      </c>
      <c r="G51" s="32">
        <v>0.05</v>
      </c>
      <c r="H51" s="32">
        <v>0.19</v>
      </c>
      <c r="I51" s="32">
        <v>0.13</v>
      </c>
      <c r="J51" s="32">
        <v>0.02</v>
      </c>
      <c r="K51" s="32">
        <v>0.08</v>
      </c>
      <c r="L51" s="32">
        <v>0.3</v>
      </c>
      <c r="M51" s="32">
        <v>0.18</v>
      </c>
      <c r="N51" s="32">
        <v>0.16</v>
      </c>
      <c r="O51" s="32">
        <v>0.34</v>
      </c>
      <c r="P51" s="32">
        <v>0.18</v>
      </c>
      <c r="Q51" s="32">
        <v>0.05</v>
      </c>
      <c r="R51" s="32">
        <v>0.15</v>
      </c>
      <c r="S51" s="32">
        <v>0.28999999999999998</v>
      </c>
      <c r="T51" s="32">
        <v>0.14000000000000001</v>
      </c>
      <c r="U51" s="32">
        <v>0.37</v>
      </c>
      <c r="V51" s="32">
        <v>0.25</v>
      </c>
      <c r="W51" s="32">
        <v>0.38</v>
      </c>
      <c r="X51" s="32">
        <v>0.15</v>
      </c>
      <c r="Y51" s="32">
        <v>0.11</v>
      </c>
      <c r="Z51" s="32">
        <v>0.26</v>
      </c>
      <c r="AA51" s="32">
        <v>0.18</v>
      </c>
      <c r="AB51" s="32">
        <v>0.03</v>
      </c>
      <c r="AC51" s="32">
        <v>0.26</v>
      </c>
      <c r="AD51" s="32">
        <v>0.27</v>
      </c>
      <c r="AE51" s="32">
        <v>0.32</v>
      </c>
      <c r="AF51" s="32">
        <v>0.32</v>
      </c>
      <c r="AG51" s="32">
        <v>0.05</v>
      </c>
      <c r="AH51" s="32">
        <v>7.0000000000000007E-2</v>
      </c>
      <c r="AI51" s="32">
        <v>0.03</v>
      </c>
      <c r="AJ51" s="32">
        <v>0.22</v>
      </c>
      <c r="AK51" s="32">
        <v>0.32</v>
      </c>
      <c r="AL51" s="32">
        <v>0.12</v>
      </c>
      <c r="AM51" s="32">
        <v>0.13</v>
      </c>
      <c r="AN51" s="32">
        <v>0.17</v>
      </c>
      <c r="AO51" s="32">
        <v>0.09</v>
      </c>
      <c r="AP51" s="32">
        <v>0.17</v>
      </c>
      <c r="AQ51" s="32">
        <v>0.04</v>
      </c>
      <c r="AR51" s="32">
        <v>0.11</v>
      </c>
      <c r="AS51" s="32">
        <v>0.22</v>
      </c>
      <c r="AT51" s="32">
        <v>0.16</v>
      </c>
      <c r="AU51" s="32">
        <v>0.14000000000000001</v>
      </c>
      <c r="AV51" s="32">
        <v>1</v>
      </c>
      <c r="AW51" s="32">
        <v>0.36</v>
      </c>
      <c r="AX51" s="32">
        <v>0.16</v>
      </c>
      <c r="AY51" s="32">
        <v>0.13</v>
      </c>
      <c r="AZ51" s="32">
        <v>0.19</v>
      </c>
      <c r="BA51" s="32">
        <v>0.19</v>
      </c>
      <c r="BB51" s="32">
        <v>0.15</v>
      </c>
      <c r="BC51" s="32">
        <v>0.23</v>
      </c>
      <c r="BD51" s="32">
        <v>0.25</v>
      </c>
      <c r="BE51" s="32">
        <v>0.08</v>
      </c>
      <c r="BF51" s="32">
        <v>0.27</v>
      </c>
      <c r="BG51" s="32">
        <v>0.11</v>
      </c>
      <c r="BH51" s="32">
        <v>0.32</v>
      </c>
      <c r="BI51" s="32">
        <v>0.22</v>
      </c>
      <c r="BJ51" s="32">
        <v>0.12</v>
      </c>
      <c r="BK51" s="32">
        <v>0.21</v>
      </c>
      <c r="BL51" s="32">
        <v>0.11</v>
      </c>
      <c r="BM51" s="32">
        <v>0.12</v>
      </c>
      <c r="BN51" s="32">
        <v>0.04</v>
      </c>
      <c r="BO51" s="32">
        <v>0.16</v>
      </c>
      <c r="BP51" s="32">
        <v>0.11</v>
      </c>
      <c r="BQ51" s="32">
        <v>0.26</v>
      </c>
      <c r="BR51" s="32">
        <v>0.16</v>
      </c>
      <c r="BS51" s="32">
        <v>-0.03</v>
      </c>
      <c r="BT51" s="32">
        <v>0.09</v>
      </c>
      <c r="BU51" s="32">
        <v>0.09</v>
      </c>
      <c r="BV51" s="32">
        <v>0.08</v>
      </c>
      <c r="BW51" s="32">
        <v>0.16</v>
      </c>
      <c r="BX51" s="32">
        <v>0.11</v>
      </c>
      <c r="BY51" s="32">
        <v>0.08</v>
      </c>
      <c r="BZ51" s="32">
        <v>0.11</v>
      </c>
      <c r="CA51" s="32">
        <v>0.34</v>
      </c>
      <c r="CB51" s="32">
        <v>0</v>
      </c>
      <c r="CC51" s="32">
        <v>7.0000000000000007E-2</v>
      </c>
      <c r="CD51" s="32">
        <v>-0.02</v>
      </c>
      <c r="CE51" s="32">
        <v>0.04</v>
      </c>
      <c r="CF51" s="32">
        <v>-0.05</v>
      </c>
      <c r="CG51" s="32">
        <v>7.0000000000000007E-2</v>
      </c>
      <c r="CH51" s="32">
        <v>0.3</v>
      </c>
      <c r="CI51" s="32">
        <v>-0.03</v>
      </c>
      <c r="CJ51" s="32">
        <v>0.06</v>
      </c>
      <c r="CK51" s="32">
        <v>0.12</v>
      </c>
      <c r="CL51" s="32">
        <v>0.06</v>
      </c>
      <c r="CM51" s="32">
        <v>0.05</v>
      </c>
      <c r="CN51" s="32">
        <v>0.2</v>
      </c>
      <c r="CO51" s="32">
        <v>0.16</v>
      </c>
      <c r="CP51" s="32">
        <v>0.1</v>
      </c>
      <c r="CQ51" s="32">
        <v>0.11</v>
      </c>
      <c r="CR51" s="32">
        <v>0.14000000000000001</v>
      </c>
      <c r="CS51" s="32">
        <v>0.16</v>
      </c>
      <c r="CT51" s="32">
        <v>0.12</v>
      </c>
      <c r="CU51" s="32">
        <v>0.15</v>
      </c>
      <c r="CV51" s="32">
        <v>0.03</v>
      </c>
      <c r="CW51" s="32">
        <v>0.15</v>
      </c>
      <c r="CX51" s="32">
        <v>0.09</v>
      </c>
      <c r="CY51" s="32">
        <v>0.13</v>
      </c>
      <c r="CZ51" s="32">
        <v>0.02</v>
      </c>
      <c r="DA51" s="32">
        <v>0.03</v>
      </c>
      <c r="DB51" s="32">
        <v>0.23</v>
      </c>
      <c r="DC51" s="32">
        <v>0.21</v>
      </c>
      <c r="DD51" s="32">
        <v>0.08</v>
      </c>
      <c r="DE51" s="32">
        <v>0.18</v>
      </c>
      <c r="DF51" s="32">
        <v>0.02</v>
      </c>
      <c r="DG51" s="32">
        <v>0.12</v>
      </c>
      <c r="DH51" s="32">
        <v>0.18</v>
      </c>
      <c r="DI51" s="32">
        <v>0.14000000000000001</v>
      </c>
      <c r="DJ51" s="32">
        <v>0.02</v>
      </c>
      <c r="DK51" s="32">
        <v>0.12</v>
      </c>
      <c r="DL51" s="32">
        <v>0.18</v>
      </c>
      <c r="DM51" s="32">
        <v>0.09</v>
      </c>
      <c r="DN51" s="32">
        <v>0.02</v>
      </c>
      <c r="DO51" s="32">
        <v>0.15</v>
      </c>
      <c r="DP51" s="32">
        <v>0.03</v>
      </c>
      <c r="DQ51" s="32">
        <v>-0.02</v>
      </c>
      <c r="DR51" s="32">
        <v>0.1</v>
      </c>
      <c r="DS51" s="32">
        <v>-7.0000000000000007E-2</v>
      </c>
      <c r="DT51" s="32">
        <v>0.08</v>
      </c>
      <c r="DU51" s="32">
        <v>0.16</v>
      </c>
      <c r="DV51" s="32">
        <v>0.15</v>
      </c>
      <c r="DW51" s="32">
        <v>0.12</v>
      </c>
      <c r="DX51" s="32">
        <v>0.09</v>
      </c>
      <c r="DY51" s="32">
        <v>0.13</v>
      </c>
      <c r="DZ51" s="32">
        <v>0.02</v>
      </c>
      <c r="EA51" s="32">
        <v>0.09</v>
      </c>
      <c r="EB51" s="32">
        <v>0.15</v>
      </c>
      <c r="EC51" s="32">
        <v>0.04</v>
      </c>
      <c r="ED51" s="32">
        <v>0.2</v>
      </c>
      <c r="EE51" s="32">
        <v>0.09</v>
      </c>
      <c r="EF51" s="32">
        <v>0.11</v>
      </c>
      <c r="EG51" s="32">
        <v>0.1</v>
      </c>
      <c r="EH51" s="32">
        <v>0.04</v>
      </c>
      <c r="EI51" s="32">
        <v>0</v>
      </c>
      <c r="EJ51" s="32">
        <v>0.17</v>
      </c>
      <c r="EK51" s="32">
        <v>0.16</v>
      </c>
      <c r="EL51" s="32">
        <v>0.17</v>
      </c>
      <c r="EM51" s="32">
        <v>0.04</v>
      </c>
      <c r="EN51" s="32">
        <v>0.02</v>
      </c>
      <c r="EO51" s="32">
        <v>0.09</v>
      </c>
    </row>
    <row r="52" spans="1:145" x14ac:dyDescent="0.25">
      <c r="A52" s="31" t="s">
        <v>128</v>
      </c>
      <c r="B52" s="32">
        <v>-0.01</v>
      </c>
      <c r="C52" s="32">
        <v>0.19</v>
      </c>
      <c r="D52" s="32">
        <v>0.04</v>
      </c>
      <c r="E52" s="32">
        <v>0.16</v>
      </c>
      <c r="F52" s="32">
        <v>-0.04</v>
      </c>
      <c r="G52" s="32">
        <v>0.11</v>
      </c>
      <c r="H52" s="32">
        <v>0.35</v>
      </c>
      <c r="I52" s="32">
        <v>0.03</v>
      </c>
      <c r="J52" s="32">
        <v>0.02</v>
      </c>
      <c r="K52" s="32">
        <v>0.03</v>
      </c>
      <c r="L52" s="32">
        <v>0.16</v>
      </c>
      <c r="M52" s="32">
        <v>0.24</v>
      </c>
      <c r="N52" s="32">
        <v>0.06</v>
      </c>
      <c r="O52" s="32">
        <v>0.26</v>
      </c>
      <c r="P52" s="32">
        <v>0.12</v>
      </c>
      <c r="Q52" s="32">
        <v>0.13</v>
      </c>
      <c r="R52" s="32">
        <v>0.04</v>
      </c>
      <c r="S52" s="32">
        <v>0.32</v>
      </c>
      <c r="T52" s="32">
        <v>0.08</v>
      </c>
      <c r="U52" s="32">
        <v>0.35</v>
      </c>
      <c r="V52" s="32">
        <v>0.35</v>
      </c>
      <c r="W52" s="32">
        <v>0.24</v>
      </c>
      <c r="X52" s="32">
        <v>0.1</v>
      </c>
      <c r="Y52" s="32">
        <v>0.05</v>
      </c>
      <c r="Z52" s="32">
        <v>0.37</v>
      </c>
      <c r="AA52" s="32">
        <v>0.06</v>
      </c>
      <c r="AB52" s="32">
        <v>-0.01</v>
      </c>
      <c r="AC52" s="32">
        <v>0.21</v>
      </c>
      <c r="AD52" s="32">
        <v>0.32</v>
      </c>
      <c r="AE52" s="32">
        <v>0.3</v>
      </c>
      <c r="AF52" s="32">
        <v>0.33</v>
      </c>
      <c r="AG52" s="32">
        <v>-0.03</v>
      </c>
      <c r="AH52" s="32">
        <v>-7.0000000000000007E-2</v>
      </c>
      <c r="AI52" s="32">
        <v>-0.11</v>
      </c>
      <c r="AJ52" s="32">
        <v>0.09</v>
      </c>
      <c r="AK52" s="32">
        <v>0.38</v>
      </c>
      <c r="AL52" s="32">
        <v>0.03</v>
      </c>
      <c r="AM52" s="32">
        <v>0.18</v>
      </c>
      <c r="AN52" s="32">
        <v>0.23</v>
      </c>
      <c r="AO52" s="32">
        <v>-0.06</v>
      </c>
      <c r="AP52" s="32">
        <v>0.13</v>
      </c>
      <c r="AQ52" s="32">
        <v>-0.06</v>
      </c>
      <c r="AR52" s="32">
        <v>0.01</v>
      </c>
      <c r="AS52" s="32">
        <v>0.28999999999999998</v>
      </c>
      <c r="AT52" s="32">
        <v>0.09</v>
      </c>
      <c r="AU52" s="32">
        <v>0.14000000000000001</v>
      </c>
      <c r="AV52" s="32">
        <v>0.36</v>
      </c>
      <c r="AW52" s="32">
        <v>1</v>
      </c>
      <c r="AX52" s="32">
        <v>0.09</v>
      </c>
      <c r="AY52" s="32">
        <v>0.15</v>
      </c>
      <c r="AZ52" s="32">
        <v>0.3</v>
      </c>
      <c r="BA52" s="32">
        <v>0.23</v>
      </c>
      <c r="BB52" s="32">
        <v>0.11</v>
      </c>
      <c r="BC52" s="32">
        <v>0.22</v>
      </c>
      <c r="BD52" s="32">
        <v>0.35</v>
      </c>
      <c r="BE52" s="32">
        <v>0.1</v>
      </c>
      <c r="BF52" s="32">
        <v>0.35</v>
      </c>
      <c r="BG52" s="32">
        <v>0.12</v>
      </c>
      <c r="BH52" s="32">
        <v>0.36</v>
      </c>
      <c r="BI52" s="32">
        <v>0.12</v>
      </c>
      <c r="BJ52" s="32">
        <v>0.08</v>
      </c>
      <c r="BK52" s="32">
        <v>0.19</v>
      </c>
      <c r="BL52" s="32">
        <v>0.25</v>
      </c>
      <c r="BM52" s="32">
        <v>0.02</v>
      </c>
      <c r="BN52" s="32">
        <v>0.05</v>
      </c>
      <c r="BO52" s="32">
        <v>0.09</v>
      </c>
      <c r="BP52" s="32">
        <v>-0.02</v>
      </c>
      <c r="BQ52" s="32">
        <v>0.47</v>
      </c>
      <c r="BR52" s="32">
        <v>0.13</v>
      </c>
      <c r="BS52" s="32">
        <v>-7.0000000000000007E-2</v>
      </c>
      <c r="BT52" s="32">
        <v>0.22</v>
      </c>
      <c r="BU52" s="32">
        <v>0.28999999999999998</v>
      </c>
      <c r="BV52" s="32">
        <v>7.0000000000000007E-2</v>
      </c>
      <c r="BW52" s="32">
        <v>0.19</v>
      </c>
      <c r="BX52" s="32">
        <v>7.0000000000000007E-2</v>
      </c>
      <c r="BY52" s="32">
        <v>0.14000000000000001</v>
      </c>
      <c r="BZ52" s="32">
        <v>0.18</v>
      </c>
      <c r="CA52" s="32">
        <v>0.28999999999999998</v>
      </c>
      <c r="CB52" s="32">
        <v>-0.02</v>
      </c>
      <c r="CC52" s="32">
        <v>0.11</v>
      </c>
      <c r="CD52" s="32">
        <v>0.09</v>
      </c>
      <c r="CE52" s="32">
        <v>0.14000000000000001</v>
      </c>
      <c r="CF52" s="32">
        <v>-0.08</v>
      </c>
      <c r="CG52" s="32">
        <v>0.12</v>
      </c>
      <c r="CH52" s="32">
        <v>0.42</v>
      </c>
      <c r="CI52" s="32">
        <v>-7.0000000000000007E-2</v>
      </c>
      <c r="CJ52" s="32">
        <v>-0.04</v>
      </c>
      <c r="CK52" s="32">
        <v>0.18</v>
      </c>
      <c r="CL52" s="32">
        <v>0.12</v>
      </c>
      <c r="CM52" s="32">
        <v>0.13</v>
      </c>
      <c r="CN52" s="32">
        <v>0.28999999999999998</v>
      </c>
      <c r="CO52" s="32">
        <v>0.2</v>
      </c>
      <c r="CP52" s="32">
        <v>0.02</v>
      </c>
      <c r="CQ52" s="32">
        <v>0.1</v>
      </c>
      <c r="CR52" s="32">
        <v>0.15</v>
      </c>
      <c r="CS52" s="32">
        <v>0.24</v>
      </c>
      <c r="CT52" s="32">
        <v>0.15</v>
      </c>
      <c r="CU52" s="32">
        <v>0.08</v>
      </c>
      <c r="CV52" s="32">
        <v>0.02</v>
      </c>
      <c r="CW52" s="32">
        <v>0.11</v>
      </c>
      <c r="CX52" s="32">
        <v>0.13</v>
      </c>
      <c r="CY52" s="32">
        <v>0.1</v>
      </c>
      <c r="CZ52" s="32">
        <v>0.12</v>
      </c>
      <c r="DA52" s="32">
        <v>0.03</v>
      </c>
      <c r="DB52" s="32">
        <v>0.25</v>
      </c>
      <c r="DC52" s="32">
        <v>0.2</v>
      </c>
      <c r="DD52" s="32">
        <v>0.17</v>
      </c>
      <c r="DE52" s="32">
        <v>0.3</v>
      </c>
      <c r="DF52" s="32">
        <v>-0.04</v>
      </c>
      <c r="DG52" s="32">
        <v>0.25</v>
      </c>
      <c r="DH52" s="32">
        <v>0.12</v>
      </c>
      <c r="DI52" s="32">
        <v>0.12</v>
      </c>
      <c r="DJ52" s="32">
        <v>0.05</v>
      </c>
      <c r="DK52" s="32">
        <v>0.17</v>
      </c>
      <c r="DL52" s="32">
        <v>0.34</v>
      </c>
      <c r="DM52" s="32">
        <v>0.12</v>
      </c>
      <c r="DN52" s="32">
        <v>0.06</v>
      </c>
      <c r="DO52" s="32">
        <v>0.18</v>
      </c>
      <c r="DP52" s="32">
        <v>0.1</v>
      </c>
      <c r="DQ52" s="32">
        <v>0.14000000000000001</v>
      </c>
      <c r="DR52" s="32">
        <v>0.18</v>
      </c>
      <c r="DS52" s="32">
        <v>-0.06</v>
      </c>
      <c r="DT52" s="32">
        <v>0.06</v>
      </c>
      <c r="DU52" s="32">
        <v>0.11</v>
      </c>
      <c r="DV52" s="32">
        <v>0.03</v>
      </c>
      <c r="DW52" s="32">
        <v>0.04</v>
      </c>
      <c r="DX52" s="32">
        <v>0.2</v>
      </c>
      <c r="DY52" s="32">
        <v>0.13</v>
      </c>
      <c r="DZ52" s="32">
        <v>0.03</v>
      </c>
      <c r="EA52" s="32">
        <v>0.08</v>
      </c>
      <c r="EB52" s="32">
        <v>0.1</v>
      </c>
      <c r="EC52" s="32">
        <v>0.17</v>
      </c>
      <c r="ED52" s="32">
        <v>0.21</v>
      </c>
      <c r="EE52" s="32">
        <v>0.16</v>
      </c>
      <c r="EF52" s="32">
        <v>0.17</v>
      </c>
      <c r="EG52" s="32">
        <v>0.22</v>
      </c>
      <c r="EH52" s="32">
        <v>-0.04</v>
      </c>
      <c r="EI52" s="32">
        <v>0.14000000000000001</v>
      </c>
      <c r="EJ52" s="32">
        <v>0.14000000000000001</v>
      </c>
      <c r="EK52" s="32">
        <v>0.13</v>
      </c>
      <c r="EL52" s="32">
        <v>0.16</v>
      </c>
      <c r="EM52" s="32">
        <v>0.05</v>
      </c>
      <c r="EN52" s="32">
        <v>0.08</v>
      </c>
      <c r="EO52" s="32">
        <v>0.03</v>
      </c>
    </row>
    <row r="53" spans="1:145" x14ac:dyDescent="0.25">
      <c r="A53" s="31" t="s">
        <v>129</v>
      </c>
      <c r="B53" s="32">
        <v>0.34</v>
      </c>
      <c r="C53" s="32">
        <v>-0.01</v>
      </c>
      <c r="D53" s="32">
        <v>0.1</v>
      </c>
      <c r="E53" s="32">
        <v>0.13</v>
      </c>
      <c r="F53" s="32">
        <v>0.36</v>
      </c>
      <c r="G53" s="32">
        <v>0.05</v>
      </c>
      <c r="H53" s="32">
        <v>0.06</v>
      </c>
      <c r="I53" s="32">
        <v>0.41</v>
      </c>
      <c r="J53" s="32">
        <v>0.52</v>
      </c>
      <c r="K53" s="32">
        <v>0.4</v>
      </c>
      <c r="L53" s="32">
        <v>0.15</v>
      </c>
      <c r="M53" s="32">
        <v>0.27</v>
      </c>
      <c r="N53" s="32">
        <v>0.63</v>
      </c>
      <c r="O53" s="32">
        <v>0.09</v>
      </c>
      <c r="P53" s="32">
        <v>0.32</v>
      </c>
      <c r="Q53" s="32">
        <v>-0.01</v>
      </c>
      <c r="R53" s="32">
        <v>0.38</v>
      </c>
      <c r="S53" s="32">
        <v>0.16</v>
      </c>
      <c r="T53" s="32">
        <v>0.24</v>
      </c>
      <c r="U53" s="32">
        <v>0.15</v>
      </c>
      <c r="V53" s="32">
        <v>0.03</v>
      </c>
      <c r="W53" s="32">
        <v>0.14000000000000001</v>
      </c>
      <c r="X53" s="32">
        <v>0.28999999999999998</v>
      </c>
      <c r="Y53" s="32">
        <v>0.28000000000000003</v>
      </c>
      <c r="Z53" s="32">
        <v>0.1</v>
      </c>
      <c r="AA53" s="32">
        <v>0.24</v>
      </c>
      <c r="AB53" s="32">
        <v>0.28000000000000003</v>
      </c>
      <c r="AC53" s="32">
        <v>-7.0000000000000007E-2</v>
      </c>
      <c r="AD53" s="32">
        <v>0.04</v>
      </c>
      <c r="AE53" s="32">
        <v>0.06</v>
      </c>
      <c r="AF53" s="32">
        <v>0</v>
      </c>
      <c r="AG53" s="32">
        <v>0.21</v>
      </c>
      <c r="AH53" s="32">
        <v>0.25</v>
      </c>
      <c r="AI53" s="32">
        <v>0.11</v>
      </c>
      <c r="AJ53" s="32">
        <v>0.08</v>
      </c>
      <c r="AK53" s="32">
        <v>0</v>
      </c>
      <c r="AL53" s="32">
        <v>0.24</v>
      </c>
      <c r="AM53" s="32">
        <v>0.17</v>
      </c>
      <c r="AN53" s="32">
        <v>0.34</v>
      </c>
      <c r="AO53" s="32">
        <v>0.54</v>
      </c>
      <c r="AP53" s="32">
        <v>0.27</v>
      </c>
      <c r="AQ53" s="32">
        <v>0.05</v>
      </c>
      <c r="AR53" s="32">
        <v>0.27</v>
      </c>
      <c r="AS53" s="32">
        <v>0.04</v>
      </c>
      <c r="AT53" s="32">
        <v>0.25</v>
      </c>
      <c r="AU53" s="32">
        <v>0.34</v>
      </c>
      <c r="AV53" s="32">
        <v>0.16</v>
      </c>
      <c r="AW53" s="32">
        <v>0.09</v>
      </c>
      <c r="AX53" s="32">
        <v>1</v>
      </c>
      <c r="AY53" s="32">
        <v>0.24</v>
      </c>
      <c r="AZ53" s="32">
        <v>0.04</v>
      </c>
      <c r="BA53" s="32">
        <v>0.36</v>
      </c>
      <c r="BB53" s="32">
        <v>0.23</v>
      </c>
      <c r="BC53" s="32">
        <v>0.1</v>
      </c>
      <c r="BD53" s="32">
        <v>0.1</v>
      </c>
      <c r="BE53" s="32">
        <v>0.52</v>
      </c>
      <c r="BF53" s="32">
        <v>0.12</v>
      </c>
      <c r="BG53" s="32">
        <v>0.23</v>
      </c>
      <c r="BH53" s="32">
        <v>0.11</v>
      </c>
      <c r="BI53" s="32">
        <v>0.06</v>
      </c>
      <c r="BJ53" s="32">
        <v>0.08</v>
      </c>
      <c r="BK53" s="32">
        <v>0.05</v>
      </c>
      <c r="BL53" s="32">
        <v>0.12</v>
      </c>
      <c r="BM53" s="32">
        <v>0.28000000000000003</v>
      </c>
      <c r="BN53" s="32">
        <v>0.14000000000000001</v>
      </c>
      <c r="BO53" s="32">
        <v>0.25</v>
      </c>
      <c r="BP53" s="32">
        <v>0.08</v>
      </c>
      <c r="BQ53" s="32">
        <v>0.06</v>
      </c>
      <c r="BR53" s="32">
        <v>0.21</v>
      </c>
      <c r="BS53" s="32">
        <v>0.02</v>
      </c>
      <c r="BT53" s="32">
        <v>0.24</v>
      </c>
      <c r="BU53" s="32">
        <v>0.01</v>
      </c>
      <c r="BV53" s="32">
        <v>0.14000000000000001</v>
      </c>
      <c r="BW53" s="32">
        <v>0.19</v>
      </c>
      <c r="BX53" s="32">
        <v>0.44</v>
      </c>
      <c r="BY53" s="32">
        <v>0.21</v>
      </c>
      <c r="BZ53" s="32">
        <v>0.14000000000000001</v>
      </c>
      <c r="CA53" s="32">
        <v>0.04</v>
      </c>
      <c r="CB53" s="32">
        <v>0</v>
      </c>
      <c r="CC53" s="32">
        <v>0.11</v>
      </c>
      <c r="CD53" s="32">
        <v>0.2</v>
      </c>
      <c r="CE53" s="32">
        <v>0.11</v>
      </c>
      <c r="CF53" s="32">
        <v>7.0000000000000007E-2</v>
      </c>
      <c r="CG53" s="32">
        <v>0.21</v>
      </c>
      <c r="CH53" s="32">
        <v>0.06</v>
      </c>
      <c r="CI53" s="32">
        <v>0.08</v>
      </c>
      <c r="CJ53" s="32">
        <v>0.22</v>
      </c>
      <c r="CK53" s="32">
        <v>0.18</v>
      </c>
      <c r="CL53" s="32">
        <v>0.19</v>
      </c>
      <c r="CM53" s="32">
        <v>-7.0000000000000007E-2</v>
      </c>
      <c r="CN53" s="32">
        <v>0.04</v>
      </c>
      <c r="CO53" s="32">
        <v>-0.04</v>
      </c>
      <c r="CP53" s="32">
        <v>0.1</v>
      </c>
      <c r="CQ53" s="32">
        <v>0.28999999999999998</v>
      </c>
      <c r="CR53" s="32">
        <v>0.01</v>
      </c>
      <c r="CS53" s="32">
        <v>0.14000000000000001</v>
      </c>
      <c r="CT53" s="32">
        <v>0.09</v>
      </c>
      <c r="CU53" s="32">
        <v>0.02</v>
      </c>
      <c r="CV53" s="32">
        <v>-0.11</v>
      </c>
      <c r="CW53" s="32">
        <v>0.08</v>
      </c>
      <c r="CX53" s="32">
        <v>0.1</v>
      </c>
      <c r="CY53" s="32">
        <v>0.24</v>
      </c>
      <c r="CZ53" s="32">
        <v>0.11</v>
      </c>
      <c r="DA53" s="32">
        <v>0.2</v>
      </c>
      <c r="DB53" s="32">
        <v>0.09</v>
      </c>
      <c r="DC53" s="32">
        <v>0.11</v>
      </c>
      <c r="DD53" s="32">
        <v>0.16</v>
      </c>
      <c r="DE53" s="32">
        <v>0.05</v>
      </c>
      <c r="DF53" s="32">
        <v>0.12</v>
      </c>
      <c r="DG53" s="32">
        <v>0.13</v>
      </c>
      <c r="DH53" s="32">
        <v>-7.0000000000000007E-2</v>
      </c>
      <c r="DI53" s="32">
        <v>0.25</v>
      </c>
      <c r="DJ53" s="32">
        <v>0.26</v>
      </c>
      <c r="DK53" s="32">
        <v>0.24</v>
      </c>
      <c r="DL53" s="32">
        <v>0.03</v>
      </c>
      <c r="DM53" s="32">
        <v>0.28000000000000003</v>
      </c>
      <c r="DN53" s="32">
        <v>0.17</v>
      </c>
      <c r="DO53" s="32">
        <v>0.08</v>
      </c>
      <c r="DP53" s="32">
        <v>0.25</v>
      </c>
      <c r="DQ53" s="32">
        <v>-0.01</v>
      </c>
      <c r="DR53" s="32">
        <v>0.08</v>
      </c>
      <c r="DS53" s="32">
        <v>0.02</v>
      </c>
      <c r="DT53" s="32">
        <v>-0.09</v>
      </c>
      <c r="DU53" s="32">
        <v>7.0000000000000007E-2</v>
      </c>
      <c r="DV53" s="32">
        <v>7.0000000000000007E-2</v>
      </c>
      <c r="DW53" s="32">
        <v>0.01</v>
      </c>
      <c r="DX53" s="32">
        <v>0.02</v>
      </c>
      <c r="DY53" s="32">
        <v>0.05</v>
      </c>
      <c r="DZ53" s="32">
        <v>0.04</v>
      </c>
      <c r="EA53" s="32">
        <v>0.11</v>
      </c>
      <c r="EB53" s="32">
        <v>0.1</v>
      </c>
      <c r="EC53" s="32">
        <v>-0.13</v>
      </c>
      <c r="ED53" s="32">
        <v>0.18</v>
      </c>
      <c r="EE53" s="32">
        <v>-0.03</v>
      </c>
      <c r="EF53" s="32">
        <v>-0.03</v>
      </c>
      <c r="EG53" s="32">
        <v>-0.03</v>
      </c>
      <c r="EH53" s="32">
        <v>0.03</v>
      </c>
      <c r="EI53" s="32">
        <v>-0.11</v>
      </c>
      <c r="EJ53" s="32">
        <v>0.23</v>
      </c>
      <c r="EK53" s="32">
        <v>0.11</v>
      </c>
      <c r="EL53" s="32">
        <v>0</v>
      </c>
      <c r="EM53" s="32">
        <v>0.03</v>
      </c>
      <c r="EN53" s="32">
        <v>0.23</v>
      </c>
      <c r="EO53" s="32">
        <v>7.0000000000000007E-2</v>
      </c>
    </row>
    <row r="54" spans="1:145" x14ac:dyDescent="0.25">
      <c r="A54" s="31" t="s">
        <v>131</v>
      </c>
      <c r="B54" s="32">
        <v>0.27</v>
      </c>
      <c r="C54" s="32">
        <v>0.12</v>
      </c>
      <c r="D54" s="32">
        <v>-0.03</v>
      </c>
      <c r="E54" s="32">
        <v>0.1</v>
      </c>
      <c r="F54" s="32">
        <v>0.34</v>
      </c>
      <c r="G54" s="32">
        <v>0.03</v>
      </c>
      <c r="H54" s="32">
        <v>0</v>
      </c>
      <c r="I54" s="32">
        <v>0.37</v>
      </c>
      <c r="J54" s="32">
        <v>0.21</v>
      </c>
      <c r="K54" s="32">
        <v>0.28000000000000003</v>
      </c>
      <c r="L54" s="32">
        <v>0.27</v>
      </c>
      <c r="M54" s="32">
        <v>0.37</v>
      </c>
      <c r="N54" s="32">
        <v>0.28000000000000003</v>
      </c>
      <c r="O54" s="32">
        <v>0.01</v>
      </c>
      <c r="P54" s="32">
        <v>0.31</v>
      </c>
      <c r="Q54" s="32">
        <v>-7.0000000000000007E-2</v>
      </c>
      <c r="R54" s="32">
        <v>0.31</v>
      </c>
      <c r="S54" s="32">
        <v>0.04</v>
      </c>
      <c r="T54" s="32">
        <v>0.26</v>
      </c>
      <c r="U54" s="32">
        <v>0.03</v>
      </c>
      <c r="V54" s="32">
        <v>0.08</v>
      </c>
      <c r="W54" s="32">
        <v>0.15</v>
      </c>
      <c r="X54" s="32">
        <v>0.27</v>
      </c>
      <c r="Y54" s="32">
        <v>0.45</v>
      </c>
      <c r="Z54" s="32">
        <v>0.02</v>
      </c>
      <c r="AA54" s="32">
        <v>0.13</v>
      </c>
      <c r="AB54" s="32">
        <v>0.39</v>
      </c>
      <c r="AC54" s="32">
        <v>-0.02</v>
      </c>
      <c r="AD54" s="32">
        <v>0.08</v>
      </c>
      <c r="AE54" s="32">
        <v>0.08</v>
      </c>
      <c r="AF54" s="32">
        <v>0.04</v>
      </c>
      <c r="AG54" s="32">
        <v>0.11</v>
      </c>
      <c r="AH54" s="32">
        <v>0.12</v>
      </c>
      <c r="AI54" s="32">
        <v>0.06</v>
      </c>
      <c r="AJ54" s="32">
        <v>-0.04</v>
      </c>
      <c r="AK54" s="32">
        <v>0.08</v>
      </c>
      <c r="AL54" s="32">
        <v>0.23</v>
      </c>
      <c r="AM54" s="32">
        <v>7.0000000000000007E-2</v>
      </c>
      <c r="AN54" s="32">
        <v>0.38</v>
      </c>
      <c r="AO54" s="32">
        <v>0.2</v>
      </c>
      <c r="AP54" s="32">
        <v>0.27</v>
      </c>
      <c r="AQ54" s="32">
        <v>0.05</v>
      </c>
      <c r="AR54" s="32">
        <v>0.19</v>
      </c>
      <c r="AS54" s="32">
        <v>0.01</v>
      </c>
      <c r="AT54" s="32">
        <v>0.36</v>
      </c>
      <c r="AU54" s="32">
        <v>0.24</v>
      </c>
      <c r="AV54" s="32">
        <v>0.13</v>
      </c>
      <c r="AW54" s="32">
        <v>0.15</v>
      </c>
      <c r="AX54" s="32">
        <v>0.24</v>
      </c>
      <c r="AY54" s="32">
        <v>1</v>
      </c>
      <c r="AZ54" s="32">
        <v>0.18</v>
      </c>
      <c r="BA54" s="32">
        <v>0.28999999999999998</v>
      </c>
      <c r="BB54" s="32">
        <v>0.25</v>
      </c>
      <c r="BC54" s="32">
        <v>0.04</v>
      </c>
      <c r="BD54" s="32">
        <v>0.02</v>
      </c>
      <c r="BE54" s="32">
        <v>0.27</v>
      </c>
      <c r="BF54" s="32">
        <v>0.03</v>
      </c>
      <c r="BG54" s="32">
        <v>0.23</v>
      </c>
      <c r="BH54" s="32">
        <v>7.0000000000000007E-2</v>
      </c>
      <c r="BI54" s="32">
        <v>0.01</v>
      </c>
      <c r="BJ54" s="32">
        <v>-7.0000000000000007E-2</v>
      </c>
      <c r="BK54" s="32">
        <v>0.08</v>
      </c>
      <c r="BL54" s="32">
        <v>0.16</v>
      </c>
      <c r="BM54" s="32">
        <v>0.41</v>
      </c>
      <c r="BN54" s="32">
        <v>0.21</v>
      </c>
      <c r="BO54" s="32">
        <v>0.14000000000000001</v>
      </c>
      <c r="BP54" s="32">
        <v>0.14000000000000001</v>
      </c>
      <c r="BQ54" s="32">
        <v>0.2</v>
      </c>
      <c r="BR54" s="32">
        <v>0.36</v>
      </c>
      <c r="BS54" s="32">
        <v>0</v>
      </c>
      <c r="BT54" s="32">
        <v>0.21</v>
      </c>
      <c r="BU54" s="32">
        <v>0.06</v>
      </c>
      <c r="BV54" s="32">
        <v>0.2</v>
      </c>
      <c r="BW54" s="32">
        <v>0.27</v>
      </c>
      <c r="BX54" s="32">
        <v>0.17</v>
      </c>
      <c r="BY54" s="32">
        <v>0.26</v>
      </c>
      <c r="BZ54" s="32">
        <v>0.21</v>
      </c>
      <c r="CA54" s="32">
        <v>0.01</v>
      </c>
      <c r="CB54" s="32">
        <v>-0.02</v>
      </c>
      <c r="CC54" s="32">
        <v>0.27</v>
      </c>
      <c r="CD54" s="32">
        <v>0.22</v>
      </c>
      <c r="CE54" s="32">
        <v>0.18</v>
      </c>
      <c r="CF54" s="32">
        <v>0.04</v>
      </c>
      <c r="CG54" s="32">
        <v>0.31</v>
      </c>
      <c r="CH54" s="32">
        <v>0.15</v>
      </c>
      <c r="CI54" s="32">
        <v>0.06</v>
      </c>
      <c r="CJ54" s="32">
        <v>0.12</v>
      </c>
      <c r="CK54" s="32">
        <v>0.3</v>
      </c>
      <c r="CL54" s="32">
        <v>0.2</v>
      </c>
      <c r="CM54" s="32">
        <v>0.04</v>
      </c>
      <c r="CN54" s="32">
        <v>0.06</v>
      </c>
      <c r="CO54" s="32">
        <v>0.14000000000000001</v>
      </c>
      <c r="CP54" s="32">
        <v>0.13</v>
      </c>
      <c r="CQ54" s="32">
        <v>0.37</v>
      </c>
      <c r="CR54" s="32">
        <v>0.15</v>
      </c>
      <c r="CS54" s="32">
        <v>0.19</v>
      </c>
      <c r="CT54" s="32">
        <v>0.19</v>
      </c>
      <c r="CU54" s="32">
        <v>0.03</v>
      </c>
      <c r="CV54" s="32">
        <v>0.13</v>
      </c>
      <c r="CW54" s="32">
        <v>0.19</v>
      </c>
      <c r="CX54" s="32">
        <v>0.2</v>
      </c>
      <c r="CY54" s="32">
        <v>0.3</v>
      </c>
      <c r="CZ54" s="32">
        <v>0.15</v>
      </c>
      <c r="DA54" s="32">
        <v>0.17</v>
      </c>
      <c r="DB54" s="32">
        <v>0.1</v>
      </c>
      <c r="DC54" s="32">
        <v>0.12</v>
      </c>
      <c r="DD54" s="32">
        <v>0.28999999999999998</v>
      </c>
      <c r="DE54" s="32">
        <v>0.15</v>
      </c>
      <c r="DF54" s="32">
        <v>0.08</v>
      </c>
      <c r="DG54" s="32">
        <v>0.1</v>
      </c>
      <c r="DH54" s="32">
        <v>0.14000000000000001</v>
      </c>
      <c r="DI54" s="32">
        <v>0.33</v>
      </c>
      <c r="DJ54" s="32">
        <v>0.33</v>
      </c>
      <c r="DK54" s="32">
        <v>0.37</v>
      </c>
      <c r="DL54" s="32">
        <v>-0.01</v>
      </c>
      <c r="DM54" s="32">
        <v>0.37</v>
      </c>
      <c r="DN54" s="32">
        <v>0.34</v>
      </c>
      <c r="DO54" s="32">
        <v>0.12</v>
      </c>
      <c r="DP54" s="32">
        <v>0.33</v>
      </c>
      <c r="DQ54" s="32">
        <v>0.04</v>
      </c>
      <c r="DR54" s="32">
        <v>0.09</v>
      </c>
      <c r="DS54" s="32">
        <v>0.08</v>
      </c>
      <c r="DT54" s="32">
        <v>-0.03</v>
      </c>
      <c r="DU54" s="32">
        <v>0.11</v>
      </c>
      <c r="DV54" s="32">
        <v>0.13</v>
      </c>
      <c r="DW54" s="32">
        <v>0.2</v>
      </c>
      <c r="DX54" s="32">
        <v>0.15</v>
      </c>
      <c r="DY54" s="32">
        <v>0.31</v>
      </c>
      <c r="DZ54" s="32">
        <v>0.04</v>
      </c>
      <c r="EA54" s="32">
        <v>0.2</v>
      </c>
      <c r="EB54" s="32">
        <v>0.2</v>
      </c>
      <c r="EC54" s="32">
        <v>-0.03</v>
      </c>
      <c r="ED54" s="32">
        <v>0.14000000000000001</v>
      </c>
      <c r="EE54" s="32">
        <v>0.09</v>
      </c>
      <c r="EF54" s="32">
        <v>0.18</v>
      </c>
      <c r="EG54" s="32">
        <v>0.18</v>
      </c>
      <c r="EH54" s="32">
        <v>0.14000000000000001</v>
      </c>
      <c r="EI54" s="32">
        <v>0.08</v>
      </c>
      <c r="EJ54" s="32">
        <v>0.14000000000000001</v>
      </c>
      <c r="EK54" s="32">
        <v>0.14000000000000001</v>
      </c>
      <c r="EL54" s="32">
        <v>0.13</v>
      </c>
      <c r="EM54" s="32">
        <v>0.08</v>
      </c>
      <c r="EN54" s="32">
        <v>0.09</v>
      </c>
      <c r="EO54" s="32">
        <v>0.04</v>
      </c>
    </row>
    <row r="55" spans="1:145" x14ac:dyDescent="0.25">
      <c r="A55" s="31" t="s">
        <v>132</v>
      </c>
      <c r="B55" s="32">
        <v>0.03</v>
      </c>
      <c r="C55" s="32">
        <v>0.08</v>
      </c>
      <c r="D55" s="32">
        <v>0.2</v>
      </c>
      <c r="E55" s="32">
        <v>0.23</v>
      </c>
      <c r="F55" s="32">
        <v>-0.02</v>
      </c>
      <c r="G55" s="32">
        <v>0.11</v>
      </c>
      <c r="H55" s="32">
        <v>0.28000000000000003</v>
      </c>
      <c r="I55" s="32">
        <v>0.08</v>
      </c>
      <c r="J55" s="32">
        <v>-0.04</v>
      </c>
      <c r="K55" s="32">
        <v>0.05</v>
      </c>
      <c r="L55" s="32">
        <v>0.26</v>
      </c>
      <c r="M55" s="32">
        <v>0.27</v>
      </c>
      <c r="N55" s="32">
        <v>0.12</v>
      </c>
      <c r="O55" s="32">
        <v>0.27</v>
      </c>
      <c r="P55" s="32">
        <v>7.0000000000000007E-2</v>
      </c>
      <c r="Q55" s="32">
        <v>0.1</v>
      </c>
      <c r="R55" s="32">
        <v>0.01</v>
      </c>
      <c r="S55" s="32">
        <v>0.28000000000000003</v>
      </c>
      <c r="T55" s="32">
        <v>0.14000000000000001</v>
      </c>
      <c r="U55" s="32">
        <v>0.28999999999999998</v>
      </c>
      <c r="V55" s="32">
        <v>0.27</v>
      </c>
      <c r="W55" s="32">
        <v>0.13</v>
      </c>
      <c r="X55" s="32">
        <v>0.15</v>
      </c>
      <c r="Y55" s="32">
        <v>0.16</v>
      </c>
      <c r="Z55" s="32">
        <v>0.24</v>
      </c>
      <c r="AA55" s="32">
        <v>0.3</v>
      </c>
      <c r="AB55" s="32">
        <v>0.09</v>
      </c>
      <c r="AC55" s="32">
        <v>0.13</v>
      </c>
      <c r="AD55" s="32">
        <v>0.17</v>
      </c>
      <c r="AE55" s="32">
        <v>0.65</v>
      </c>
      <c r="AF55" s="32">
        <v>0.41</v>
      </c>
      <c r="AG55" s="32">
        <v>-0.03</v>
      </c>
      <c r="AH55" s="32">
        <v>-0.05</v>
      </c>
      <c r="AI55" s="32">
        <v>-0.25</v>
      </c>
      <c r="AJ55" s="32">
        <v>0.21</v>
      </c>
      <c r="AK55" s="32">
        <v>0.34</v>
      </c>
      <c r="AL55" s="32">
        <v>0.13</v>
      </c>
      <c r="AM55" s="32">
        <v>0.2</v>
      </c>
      <c r="AN55" s="32">
        <v>0.26</v>
      </c>
      <c r="AO55" s="32">
        <v>0</v>
      </c>
      <c r="AP55" s="32">
        <v>0.09</v>
      </c>
      <c r="AQ55" s="32">
        <v>-0.19</v>
      </c>
      <c r="AR55" s="32">
        <v>0.11</v>
      </c>
      <c r="AS55" s="32">
        <v>0.27</v>
      </c>
      <c r="AT55" s="32">
        <v>0.2</v>
      </c>
      <c r="AU55" s="32">
        <v>0.02</v>
      </c>
      <c r="AV55" s="32">
        <v>0.19</v>
      </c>
      <c r="AW55" s="32">
        <v>0.3</v>
      </c>
      <c r="AX55" s="32">
        <v>0.04</v>
      </c>
      <c r="AY55" s="32">
        <v>0.18</v>
      </c>
      <c r="AZ55" s="32">
        <v>1</v>
      </c>
      <c r="BA55" s="32">
        <v>0.21</v>
      </c>
      <c r="BB55" s="32">
        <v>0.23</v>
      </c>
      <c r="BC55" s="32">
        <v>0.17</v>
      </c>
      <c r="BD55" s="32">
        <v>0.38</v>
      </c>
      <c r="BE55" s="32">
        <v>0.12</v>
      </c>
      <c r="BF55" s="32">
        <v>0.26</v>
      </c>
      <c r="BG55" s="32">
        <v>0.12</v>
      </c>
      <c r="BH55" s="32">
        <v>0.2</v>
      </c>
      <c r="BI55" s="32">
        <v>0.18</v>
      </c>
      <c r="BJ55" s="32">
        <v>0.1</v>
      </c>
      <c r="BK55" s="32">
        <v>0.68</v>
      </c>
      <c r="BL55" s="32">
        <v>0.17</v>
      </c>
      <c r="BM55" s="32">
        <v>0.1</v>
      </c>
      <c r="BN55" s="32">
        <v>-0.04</v>
      </c>
      <c r="BO55" s="32">
        <v>0.09</v>
      </c>
      <c r="BP55" s="32">
        <v>0.04</v>
      </c>
      <c r="BQ55" s="32">
        <v>0.33</v>
      </c>
      <c r="BR55" s="32">
        <v>0.18</v>
      </c>
      <c r="BS55" s="32">
        <v>-0.21</v>
      </c>
      <c r="BT55" s="32">
        <v>0.23</v>
      </c>
      <c r="BU55" s="32">
        <v>0.24</v>
      </c>
      <c r="BV55" s="32">
        <v>0.1</v>
      </c>
      <c r="BW55" s="32">
        <v>0.09</v>
      </c>
      <c r="BX55" s="32">
        <v>0</v>
      </c>
      <c r="BY55" s="32">
        <v>0.16</v>
      </c>
      <c r="BZ55" s="32">
        <v>0.17</v>
      </c>
      <c r="CA55" s="32">
        <v>0.34</v>
      </c>
      <c r="CB55" s="32">
        <v>-0.02</v>
      </c>
      <c r="CC55" s="32">
        <v>-0.03</v>
      </c>
      <c r="CD55" s="32">
        <v>0.08</v>
      </c>
      <c r="CE55" s="32">
        <v>0.16</v>
      </c>
      <c r="CF55" s="32">
        <v>-0.18</v>
      </c>
      <c r="CG55" s="32">
        <v>0.17</v>
      </c>
      <c r="CH55" s="32">
        <v>0.36</v>
      </c>
      <c r="CI55" s="32">
        <v>-0.22</v>
      </c>
      <c r="CJ55" s="32">
        <v>-7.0000000000000007E-2</v>
      </c>
      <c r="CK55" s="32">
        <v>0.1</v>
      </c>
      <c r="CL55" s="32">
        <v>0.14000000000000001</v>
      </c>
      <c r="CM55" s="32">
        <v>0.16</v>
      </c>
      <c r="CN55" s="32">
        <v>0.15</v>
      </c>
      <c r="CO55" s="32">
        <v>0.16</v>
      </c>
      <c r="CP55" s="32">
        <v>0.05</v>
      </c>
      <c r="CQ55" s="32">
        <v>0.31</v>
      </c>
      <c r="CR55" s="32">
        <v>0.27</v>
      </c>
      <c r="CS55" s="32">
        <v>0.28000000000000003</v>
      </c>
      <c r="CT55" s="32">
        <v>0.1</v>
      </c>
      <c r="CU55" s="32">
        <v>0.08</v>
      </c>
      <c r="CV55" s="32">
        <v>0.18</v>
      </c>
      <c r="CW55" s="32">
        <v>0.13</v>
      </c>
      <c r="CX55" s="32">
        <v>0.19</v>
      </c>
      <c r="CY55" s="32">
        <v>0.31</v>
      </c>
      <c r="CZ55" s="32">
        <v>0.12</v>
      </c>
      <c r="DA55" s="32">
        <v>0.09</v>
      </c>
      <c r="DB55" s="32">
        <v>0.18</v>
      </c>
      <c r="DC55" s="32">
        <v>0.41</v>
      </c>
      <c r="DD55" s="32">
        <v>0.23</v>
      </c>
      <c r="DE55" s="32">
        <v>0.31</v>
      </c>
      <c r="DF55" s="32">
        <v>-0.08</v>
      </c>
      <c r="DG55" s="32">
        <v>0.25</v>
      </c>
      <c r="DH55" s="32">
        <v>0.25</v>
      </c>
      <c r="DI55" s="32">
        <v>0.28000000000000003</v>
      </c>
      <c r="DJ55" s="32">
        <v>0.18</v>
      </c>
      <c r="DK55" s="32">
        <v>0.34</v>
      </c>
      <c r="DL55" s="32">
        <v>0.23</v>
      </c>
      <c r="DM55" s="32">
        <v>0.28000000000000003</v>
      </c>
      <c r="DN55" s="32">
        <v>0.08</v>
      </c>
      <c r="DO55" s="32">
        <v>0.23</v>
      </c>
      <c r="DP55" s="32">
        <v>0.21</v>
      </c>
      <c r="DQ55" s="32">
        <v>0.18</v>
      </c>
      <c r="DR55" s="32">
        <v>0.06</v>
      </c>
      <c r="DS55" s="32">
        <v>-0.1</v>
      </c>
      <c r="DT55" s="32">
        <v>0</v>
      </c>
      <c r="DU55" s="32">
        <v>0.16</v>
      </c>
      <c r="DV55" s="32">
        <v>0.05</v>
      </c>
      <c r="DW55" s="32">
        <v>0.12</v>
      </c>
      <c r="DX55" s="32">
        <v>0.34</v>
      </c>
      <c r="DY55" s="32">
        <v>0.17</v>
      </c>
      <c r="DZ55" s="32">
        <v>0.01</v>
      </c>
      <c r="EA55" s="32">
        <v>0.2</v>
      </c>
      <c r="EB55" s="32">
        <v>0.14000000000000001</v>
      </c>
      <c r="EC55" s="32">
        <v>0.1</v>
      </c>
      <c r="ED55" s="32">
        <v>0.3</v>
      </c>
      <c r="EE55" s="32">
        <v>0.24</v>
      </c>
      <c r="EF55" s="32">
        <v>0.14000000000000001</v>
      </c>
      <c r="EG55" s="32">
        <v>0.24</v>
      </c>
      <c r="EH55" s="32">
        <v>-0.01</v>
      </c>
      <c r="EI55" s="32">
        <v>0.28000000000000003</v>
      </c>
      <c r="EJ55" s="32">
        <v>0.21</v>
      </c>
      <c r="EK55" s="32">
        <v>0.14000000000000001</v>
      </c>
      <c r="EL55" s="32">
        <v>0.24</v>
      </c>
      <c r="EM55" s="32">
        <v>-0.04</v>
      </c>
      <c r="EN55" s="32">
        <v>0.11</v>
      </c>
      <c r="EO55" s="32">
        <v>-0.04</v>
      </c>
    </row>
    <row r="56" spans="1:145" x14ac:dyDescent="0.25">
      <c r="A56" s="31" t="s">
        <v>133</v>
      </c>
      <c r="B56" s="32">
        <v>0.19</v>
      </c>
      <c r="C56" s="32">
        <v>0.06</v>
      </c>
      <c r="D56" s="32">
        <v>-0.03</v>
      </c>
      <c r="E56" s="32">
        <v>0.18</v>
      </c>
      <c r="F56" s="32">
        <v>0.21</v>
      </c>
      <c r="G56" s="32">
        <v>0.01</v>
      </c>
      <c r="H56" s="32">
        <v>0.08</v>
      </c>
      <c r="I56" s="32">
        <v>0.22</v>
      </c>
      <c r="J56" s="32">
        <v>0.2</v>
      </c>
      <c r="K56" s="32">
        <v>0.3</v>
      </c>
      <c r="L56" s="32">
        <v>0.25</v>
      </c>
      <c r="M56" s="32">
        <v>0.37</v>
      </c>
      <c r="N56" s="32">
        <v>0.28999999999999998</v>
      </c>
      <c r="O56" s="32">
        <v>0.22</v>
      </c>
      <c r="P56" s="32">
        <v>0.16</v>
      </c>
      <c r="Q56" s="32">
        <v>0.03</v>
      </c>
      <c r="R56" s="32">
        <v>0.28999999999999998</v>
      </c>
      <c r="S56" s="32">
        <v>0.12</v>
      </c>
      <c r="T56" s="32">
        <v>0.33</v>
      </c>
      <c r="U56" s="32">
        <v>0.22</v>
      </c>
      <c r="V56" s="32">
        <v>0.09</v>
      </c>
      <c r="W56" s="32">
        <v>0.06</v>
      </c>
      <c r="X56" s="32">
        <v>0.38</v>
      </c>
      <c r="Y56" s="32">
        <v>0.17</v>
      </c>
      <c r="Z56" s="32">
        <v>0.19</v>
      </c>
      <c r="AA56" s="32">
        <v>0.22</v>
      </c>
      <c r="AB56" s="32">
        <v>0.16</v>
      </c>
      <c r="AC56" s="32">
        <v>0.06</v>
      </c>
      <c r="AD56" s="32">
        <v>0.19</v>
      </c>
      <c r="AE56" s="32">
        <v>0.22</v>
      </c>
      <c r="AF56" s="32">
        <v>7.0000000000000007E-2</v>
      </c>
      <c r="AG56" s="32">
        <v>0.19</v>
      </c>
      <c r="AH56" s="32">
        <v>0.24</v>
      </c>
      <c r="AI56" s="32">
        <v>0.01</v>
      </c>
      <c r="AJ56" s="32">
        <v>0.1</v>
      </c>
      <c r="AK56" s="32">
        <v>0.23</v>
      </c>
      <c r="AL56" s="32">
        <v>0.19</v>
      </c>
      <c r="AM56" s="32">
        <v>0.19</v>
      </c>
      <c r="AN56" s="32">
        <v>0.43</v>
      </c>
      <c r="AO56" s="32">
        <v>0.19</v>
      </c>
      <c r="AP56" s="32">
        <v>0.28000000000000003</v>
      </c>
      <c r="AQ56" s="32">
        <v>-0.02</v>
      </c>
      <c r="AR56" s="32">
        <v>0.32</v>
      </c>
      <c r="AS56" s="32">
        <v>0.15</v>
      </c>
      <c r="AT56" s="32">
        <v>0.31</v>
      </c>
      <c r="AU56" s="32">
        <v>0.2</v>
      </c>
      <c r="AV56" s="32">
        <v>0.19</v>
      </c>
      <c r="AW56" s="32">
        <v>0.23</v>
      </c>
      <c r="AX56" s="32">
        <v>0.36</v>
      </c>
      <c r="AY56" s="32">
        <v>0.28999999999999998</v>
      </c>
      <c r="AZ56" s="32">
        <v>0.21</v>
      </c>
      <c r="BA56" s="32">
        <v>1</v>
      </c>
      <c r="BB56" s="32">
        <v>0.35</v>
      </c>
      <c r="BC56" s="32">
        <v>0.15</v>
      </c>
      <c r="BD56" s="32">
        <v>0.28999999999999998</v>
      </c>
      <c r="BE56" s="32">
        <v>0.28000000000000003</v>
      </c>
      <c r="BF56" s="32">
        <v>0.15</v>
      </c>
      <c r="BG56" s="32">
        <v>0.22</v>
      </c>
      <c r="BH56" s="32">
        <v>0.09</v>
      </c>
      <c r="BI56" s="32">
        <v>0.09</v>
      </c>
      <c r="BJ56" s="32">
        <v>0.03</v>
      </c>
      <c r="BK56" s="32">
        <v>0.15</v>
      </c>
      <c r="BL56" s="32">
        <v>0.35</v>
      </c>
      <c r="BM56" s="32">
        <v>0.28000000000000003</v>
      </c>
      <c r="BN56" s="32">
        <v>0.27</v>
      </c>
      <c r="BO56" s="32">
        <v>0.25</v>
      </c>
      <c r="BP56" s="32">
        <v>0</v>
      </c>
      <c r="BQ56" s="32">
        <v>0.34</v>
      </c>
      <c r="BR56" s="32">
        <v>0.28999999999999998</v>
      </c>
      <c r="BS56" s="32">
        <v>-0.03</v>
      </c>
      <c r="BT56" s="32">
        <v>0.33</v>
      </c>
      <c r="BU56" s="32">
        <v>0.17</v>
      </c>
      <c r="BV56" s="32">
        <v>0.18</v>
      </c>
      <c r="BW56" s="32">
        <v>0.24</v>
      </c>
      <c r="BX56" s="32">
        <v>0.18</v>
      </c>
      <c r="BY56" s="32">
        <v>0.42</v>
      </c>
      <c r="BZ56" s="32">
        <v>0.23</v>
      </c>
      <c r="CA56" s="32">
        <v>0.05</v>
      </c>
      <c r="CB56" s="32">
        <v>0.01</v>
      </c>
      <c r="CC56" s="32">
        <v>0.1</v>
      </c>
      <c r="CD56" s="32">
        <v>0.21</v>
      </c>
      <c r="CE56" s="32">
        <v>0.17</v>
      </c>
      <c r="CF56" s="32">
        <v>-0.02</v>
      </c>
      <c r="CG56" s="32">
        <v>0.26</v>
      </c>
      <c r="CH56" s="32">
        <v>0.28000000000000003</v>
      </c>
      <c r="CI56" s="32">
        <v>-0.02</v>
      </c>
      <c r="CJ56" s="32">
        <v>0.05</v>
      </c>
      <c r="CK56" s="32">
        <v>0.3</v>
      </c>
      <c r="CL56" s="32">
        <v>0.35</v>
      </c>
      <c r="CM56" s="32">
        <v>0.12</v>
      </c>
      <c r="CN56" s="32">
        <v>0.03</v>
      </c>
      <c r="CO56" s="32">
        <v>0.11</v>
      </c>
      <c r="CP56" s="32">
        <v>0.1</v>
      </c>
      <c r="CQ56" s="32">
        <v>0.41</v>
      </c>
      <c r="CR56" s="32">
        <v>0.23</v>
      </c>
      <c r="CS56" s="32">
        <v>0.41</v>
      </c>
      <c r="CT56" s="32">
        <v>0.17</v>
      </c>
      <c r="CU56" s="32">
        <v>0.03</v>
      </c>
      <c r="CV56" s="32">
        <v>0.05</v>
      </c>
      <c r="CW56" s="32">
        <v>0.15</v>
      </c>
      <c r="CX56" s="32">
        <v>0.22</v>
      </c>
      <c r="CY56" s="32">
        <v>0.39</v>
      </c>
      <c r="CZ56" s="32">
        <v>0.05</v>
      </c>
      <c r="DA56" s="32">
        <v>0.06</v>
      </c>
      <c r="DB56" s="32">
        <v>0.16</v>
      </c>
      <c r="DC56" s="32">
        <v>0.23</v>
      </c>
      <c r="DD56" s="32">
        <v>0.19</v>
      </c>
      <c r="DE56" s="32">
        <v>0.23</v>
      </c>
      <c r="DF56" s="32">
        <v>0.02</v>
      </c>
      <c r="DG56" s="32">
        <v>0.18</v>
      </c>
      <c r="DH56" s="32">
        <v>0.13</v>
      </c>
      <c r="DI56" s="32">
        <v>0.34</v>
      </c>
      <c r="DJ56" s="32">
        <v>0.32</v>
      </c>
      <c r="DK56" s="32">
        <v>0.43</v>
      </c>
      <c r="DL56" s="32">
        <v>0.11</v>
      </c>
      <c r="DM56" s="32">
        <v>0.43</v>
      </c>
      <c r="DN56" s="32">
        <v>0.23</v>
      </c>
      <c r="DO56" s="32">
        <v>0.27</v>
      </c>
      <c r="DP56" s="32">
        <v>0.37</v>
      </c>
      <c r="DQ56" s="32">
        <v>0.26</v>
      </c>
      <c r="DR56" s="32">
        <v>0.13</v>
      </c>
      <c r="DS56" s="32">
        <v>0.01</v>
      </c>
      <c r="DT56" s="32">
        <v>0.04</v>
      </c>
      <c r="DU56" s="32">
        <v>0.17</v>
      </c>
      <c r="DV56" s="32">
        <v>0.06</v>
      </c>
      <c r="DW56" s="32">
        <v>0.1</v>
      </c>
      <c r="DX56" s="32">
        <v>0.27</v>
      </c>
      <c r="DY56" s="32">
        <v>0.21</v>
      </c>
      <c r="DZ56" s="32">
        <v>0</v>
      </c>
      <c r="EA56" s="32">
        <v>0.17</v>
      </c>
      <c r="EB56" s="32">
        <v>0.23</v>
      </c>
      <c r="EC56" s="32">
        <v>0</v>
      </c>
      <c r="ED56" s="32">
        <v>0.18</v>
      </c>
      <c r="EE56" s="32">
        <v>0.17</v>
      </c>
      <c r="EF56" s="32">
        <v>0.18</v>
      </c>
      <c r="EG56" s="32">
        <v>0.18</v>
      </c>
      <c r="EH56" s="32">
        <v>0.01</v>
      </c>
      <c r="EI56" s="32">
        <v>0.19</v>
      </c>
      <c r="EJ56" s="32">
        <v>0.16</v>
      </c>
      <c r="EK56" s="32">
        <v>0.17</v>
      </c>
      <c r="EL56" s="32">
        <v>0.16</v>
      </c>
      <c r="EM56" s="32">
        <v>0.18</v>
      </c>
      <c r="EN56" s="32">
        <v>0.06</v>
      </c>
      <c r="EO56" s="32">
        <v>0.11</v>
      </c>
    </row>
    <row r="57" spans="1:145" x14ac:dyDescent="0.25">
      <c r="A57" s="31" t="s">
        <v>134</v>
      </c>
      <c r="B57" s="32">
        <v>0.16</v>
      </c>
      <c r="C57" s="32">
        <v>-7.0000000000000007E-2</v>
      </c>
      <c r="D57" s="32">
        <v>0.05</v>
      </c>
      <c r="E57" s="32">
        <v>0.12</v>
      </c>
      <c r="F57" s="32">
        <v>-0.08</v>
      </c>
      <c r="G57" s="32">
        <v>0.08</v>
      </c>
      <c r="H57" s="32">
        <v>0.03</v>
      </c>
      <c r="I57" s="32">
        <v>0.08</v>
      </c>
      <c r="J57" s="32">
        <v>0.02</v>
      </c>
      <c r="K57" s="32">
        <v>0</v>
      </c>
      <c r="L57" s="32">
        <v>0.05</v>
      </c>
      <c r="M57" s="32">
        <v>0.33</v>
      </c>
      <c r="N57" s="32">
        <v>0.19</v>
      </c>
      <c r="O57" s="32">
        <v>0.08</v>
      </c>
      <c r="P57" s="32">
        <v>0</v>
      </c>
      <c r="Q57" s="32">
        <v>0.05</v>
      </c>
      <c r="R57" s="32">
        <v>-0.01</v>
      </c>
      <c r="S57" s="32">
        <v>-0.03</v>
      </c>
      <c r="T57" s="32">
        <v>0.74</v>
      </c>
      <c r="U57" s="32">
        <v>0.18</v>
      </c>
      <c r="V57" s="32">
        <v>0.04</v>
      </c>
      <c r="W57" s="32">
        <v>0.09</v>
      </c>
      <c r="X57" s="32">
        <v>0.7</v>
      </c>
      <c r="Y57" s="32">
        <v>0.28999999999999998</v>
      </c>
      <c r="Z57" s="32">
        <v>7.0000000000000007E-2</v>
      </c>
      <c r="AA57" s="32">
        <v>0.13</v>
      </c>
      <c r="AB57" s="32">
        <v>0.3</v>
      </c>
      <c r="AC57" s="32">
        <v>0.06</v>
      </c>
      <c r="AD57" s="32">
        <v>0</v>
      </c>
      <c r="AE57" s="32">
        <v>0.26</v>
      </c>
      <c r="AF57" s="32">
        <v>0.16</v>
      </c>
      <c r="AG57" s="32">
        <v>-0.04</v>
      </c>
      <c r="AH57" s="32">
        <v>-0.05</v>
      </c>
      <c r="AI57" s="32">
        <v>-0.09</v>
      </c>
      <c r="AJ57" s="32">
        <v>0.08</v>
      </c>
      <c r="AK57" s="32">
        <v>0.2</v>
      </c>
      <c r="AL57" s="32">
        <v>0.28000000000000003</v>
      </c>
      <c r="AM57" s="32">
        <v>0.21</v>
      </c>
      <c r="AN57" s="32">
        <v>0.25</v>
      </c>
      <c r="AO57" s="32">
        <v>0.05</v>
      </c>
      <c r="AP57" s="32">
        <v>0.26</v>
      </c>
      <c r="AQ57" s="32">
        <v>-0.13</v>
      </c>
      <c r="AR57" s="32">
        <v>0.7</v>
      </c>
      <c r="AS57" s="32">
        <v>0.15</v>
      </c>
      <c r="AT57" s="32">
        <v>0.6</v>
      </c>
      <c r="AU57" s="32">
        <v>0</v>
      </c>
      <c r="AV57" s="32">
        <v>0.15</v>
      </c>
      <c r="AW57" s="32">
        <v>0.11</v>
      </c>
      <c r="AX57" s="32">
        <v>0.23</v>
      </c>
      <c r="AY57" s="32">
        <v>0.25</v>
      </c>
      <c r="AZ57" s="32">
        <v>0.23</v>
      </c>
      <c r="BA57" s="32">
        <v>0.35</v>
      </c>
      <c r="BB57" s="32">
        <v>1</v>
      </c>
      <c r="BC57" s="32">
        <v>0.15</v>
      </c>
      <c r="BD57" s="32">
        <v>0.16</v>
      </c>
      <c r="BE57" s="32">
        <v>0.11</v>
      </c>
      <c r="BF57" s="32">
        <v>0.19</v>
      </c>
      <c r="BG57" s="32">
        <v>0.26</v>
      </c>
      <c r="BH57" s="32">
        <v>0.14000000000000001</v>
      </c>
      <c r="BI57" s="32">
        <v>0.11</v>
      </c>
      <c r="BJ57" s="32">
        <v>0.01</v>
      </c>
      <c r="BK57" s="32">
        <v>0.26</v>
      </c>
      <c r="BL57" s="32">
        <v>0.36</v>
      </c>
      <c r="BM57" s="32">
        <v>0.14000000000000001</v>
      </c>
      <c r="BN57" s="32">
        <v>0.12</v>
      </c>
      <c r="BO57" s="32">
        <v>0.27</v>
      </c>
      <c r="BP57" s="32">
        <v>0.23</v>
      </c>
      <c r="BQ57" s="32">
        <v>0.31</v>
      </c>
      <c r="BR57" s="32">
        <v>0.41</v>
      </c>
      <c r="BS57" s="32">
        <v>-0.1</v>
      </c>
      <c r="BT57" s="32">
        <v>0.51</v>
      </c>
      <c r="BU57" s="32">
        <v>0.19</v>
      </c>
      <c r="BV57" s="32">
        <v>0.26</v>
      </c>
      <c r="BW57" s="32">
        <v>0.25</v>
      </c>
      <c r="BX57" s="32">
        <v>0.06</v>
      </c>
      <c r="BY57" s="32">
        <v>0.36</v>
      </c>
      <c r="BZ57" s="32">
        <v>0.36</v>
      </c>
      <c r="CA57" s="32">
        <v>0.08</v>
      </c>
      <c r="CB57" s="32">
        <v>0</v>
      </c>
      <c r="CC57" s="32">
        <v>0.17</v>
      </c>
      <c r="CD57" s="32">
        <v>0.22</v>
      </c>
      <c r="CE57" s="32">
        <v>0.39</v>
      </c>
      <c r="CF57" s="32">
        <v>-0.13</v>
      </c>
      <c r="CG57" s="32">
        <v>0.38</v>
      </c>
      <c r="CH57" s="32">
        <v>0.28999999999999998</v>
      </c>
      <c r="CI57" s="32">
        <v>-0.13</v>
      </c>
      <c r="CJ57" s="32">
        <v>7.0000000000000007E-2</v>
      </c>
      <c r="CK57" s="32">
        <v>0.19</v>
      </c>
      <c r="CL57" s="32">
        <v>0.21</v>
      </c>
      <c r="CM57" s="32">
        <v>0.36</v>
      </c>
      <c r="CN57" s="32">
        <v>0.08</v>
      </c>
      <c r="CO57" s="32">
        <v>0.14000000000000001</v>
      </c>
      <c r="CP57" s="32">
        <v>0.12</v>
      </c>
      <c r="CQ57" s="32">
        <v>0.62</v>
      </c>
      <c r="CR57" s="32">
        <v>0.41</v>
      </c>
      <c r="CS57" s="32">
        <v>0.44</v>
      </c>
      <c r="CT57" s="32">
        <v>0.31</v>
      </c>
      <c r="CU57" s="32">
        <v>0.13</v>
      </c>
      <c r="CV57" s="32">
        <v>0.27</v>
      </c>
      <c r="CW57" s="32">
        <v>0.26</v>
      </c>
      <c r="CX57" s="32">
        <v>0.4</v>
      </c>
      <c r="CY57" s="32">
        <v>0.53</v>
      </c>
      <c r="CZ57" s="32">
        <v>0.18</v>
      </c>
      <c r="DA57" s="32">
        <v>0.16</v>
      </c>
      <c r="DB57" s="32">
        <v>0.36</v>
      </c>
      <c r="DC57" s="32">
        <v>0.4</v>
      </c>
      <c r="DD57" s="32">
        <v>0.38</v>
      </c>
      <c r="DE57" s="32">
        <v>0.35</v>
      </c>
      <c r="DF57" s="32">
        <v>0.11</v>
      </c>
      <c r="DG57" s="32">
        <v>0.25</v>
      </c>
      <c r="DH57" s="32">
        <v>0.32</v>
      </c>
      <c r="DI57" s="32">
        <v>0.53</v>
      </c>
      <c r="DJ57" s="32">
        <v>0.41</v>
      </c>
      <c r="DK57" s="32">
        <v>0.59</v>
      </c>
      <c r="DL57" s="32">
        <v>0.08</v>
      </c>
      <c r="DM57" s="32">
        <v>0.5</v>
      </c>
      <c r="DN57" s="32">
        <v>0.26</v>
      </c>
      <c r="DO57" s="32">
        <v>0.33</v>
      </c>
      <c r="DP57" s="32">
        <v>0.41</v>
      </c>
      <c r="DQ57" s="32">
        <v>0.24</v>
      </c>
      <c r="DR57" s="32">
        <v>0.28000000000000003</v>
      </c>
      <c r="DS57" s="32">
        <v>0.23</v>
      </c>
      <c r="DT57" s="32">
        <v>0.3</v>
      </c>
      <c r="DU57" s="32">
        <v>0.48</v>
      </c>
      <c r="DV57" s="32">
        <v>0.24</v>
      </c>
      <c r="DW57" s="32">
        <v>0.3</v>
      </c>
      <c r="DX57" s="32">
        <v>0.42</v>
      </c>
      <c r="DY57" s="32">
        <v>0.45</v>
      </c>
      <c r="DZ57" s="32">
        <v>0.19</v>
      </c>
      <c r="EA57" s="32">
        <v>0.2</v>
      </c>
      <c r="EB57" s="32">
        <v>0.52</v>
      </c>
      <c r="EC57" s="32">
        <v>0.11</v>
      </c>
      <c r="ED57" s="32">
        <v>0.28999999999999998</v>
      </c>
      <c r="EE57" s="32">
        <v>0.31</v>
      </c>
      <c r="EF57" s="32">
        <v>0.32</v>
      </c>
      <c r="EG57" s="32">
        <v>0.28000000000000003</v>
      </c>
      <c r="EH57" s="32">
        <v>0.21</v>
      </c>
      <c r="EI57" s="32">
        <v>0.27</v>
      </c>
      <c r="EJ57" s="32">
        <v>0.27</v>
      </c>
      <c r="EK57" s="32">
        <v>0.34</v>
      </c>
      <c r="EL57" s="32">
        <v>0.38</v>
      </c>
      <c r="EM57" s="32">
        <v>0.13</v>
      </c>
      <c r="EN57" s="32">
        <v>0.08</v>
      </c>
      <c r="EO57" s="32">
        <v>0.11</v>
      </c>
    </row>
    <row r="58" spans="1:145" x14ac:dyDescent="0.25">
      <c r="A58" s="31" t="s">
        <v>135</v>
      </c>
      <c r="B58" s="32">
        <v>0.1</v>
      </c>
      <c r="C58" s="32">
        <v>0.03</v>
      </c>
      <c r="D58" s="32">
        <v>0.06</v>
      </c>
      <c r="E58" s="32">
        <v>0.22</v>
      </c>
      <c r="F58" s="32">
        <v>7.0000000000000007E-2</v>
      </c>
      <c r="G58" s="32">
        <v>0.04</v>
      </c>
      <c r="H58" s="32">
        <v>0.16</v>
      </c>
      <c r="I58" s="32">
        <v>0.11</v>
      </c>
      <c r="J58" s="32">
        <v>-0.01</v>
      </c>
      <c r="K58" s="32">
        <v>0.02</v>
      </c>
      <c r="L58" s="32">
        <v>0.12</v>
      </c>
      <c r="M58" s="32">
        <v>0.14000000000000001</v>
      </c>
      <c r="N58" s="32">
        <v>0.06</v>
      </c>
      <c r="O58" s="32">
        <v>0.28000000000000003</v>
      </c>
      <c r="P58" s="32">
        <v>0.05</v>
      </c>
      <c r="Q58" s="32">
        <v>-0.09</v>
      </c>
      <c r="R58" s="32">
        <v>0.05</v>
      </c>
      <c r="S58" s="32">
        <v>0.19</v>
      </c>
      <c r="T58" s="32">
        <v>0.05</v>
      </c>
      <c r="U58" s="32">
        <v>0.18</v>
      </c>
      <c r="V58" s="32">
        <v>0.13</v>
      </c>
      <c r="W58" s="32">
        <v>0.11</v>
      </c>
      <c r="X58" s="32">
        <v>0.14000000000000001</v>
      </c>
      <c r="Y58" s="32">
        <v>0.05</v>
      </c>
      <c r="Z58" s="32">
        <v>0.19</v>
      </c>
      <c r="AA58" s="32">
        <v>0.16</v>
      </c>
      <c r="AB58" s="32">
        <v>-0.01</v>
      </c>
      <c r="AC58" s="32">
        <v>0.22</v>
      </c>
      <c r="AD58" s="32">
        <v>0.24</v>
      </c>
      <c r="AE58" s="32">
        <v>0.21</v>
      </c>
      <c r="AF58" s="32">
        <v>0.23</v>
      </c>
      <c r="AG58" s="32">
        <v>0</v>
      </c>
      <c r="AH58" s="32">
        <v>-0.02</v>
      </c>
      <c r="AI58" s="32">
        <v>-0.03</v>
      </c>
      <c r="AJ58" s="32">
        <v>0.14000000000000001</v>
      </c>
      <c r="AK58" s="32">
        <v>0.18</v>
      </c>
      <c r="AL58" s="32">
        <v>0.09</v>
      </c>
      <c r="AM58" s="32">
        <v>0.22</v>
      </c>
      <c r="AN58" s="32">
        <v>0.1</v>
      </c>
      <c r="AO58" s="32">
        <v>0</v>
      </c>
      <c r="AP58" s="32">
        <v>0.14000000000000001</v>
      </c>
      <c r="AQ58" s="32">
        <v>-0.04</v>
      </c>
      <c r="AR58" s="32">
        <v>0.06</v>
      </c>
      <c r="AS58" s="32">
        <v>0.15</v>
      </c>
      <c r="AT58" s="32">
        <v>0.06</v>
      </c>
      <c r="AU58" s="32">
        <v>0.03</v>
      </c>
      <c r="AV58" s="32">
        <v>0.23</v>
      </c>
      <c r="AW58" s="32">
        <v>0.22</v>
      </c>
      <c r="AX58" s="32">
        <v>0.1</v>
      </c>
      <c r="AY58" s="32">
        <v>0.04</v>
      </c>
      <c r="AZ58" s="32">
        <v>0.17</v>
      </c>
      <c r="BA58" s="32">
        <v>0.15</v>
      </c>
      <c r="BB58" s="32">
        <v>0.15</v>
      </c>
      <c r="BC58" s="32">
        <v>1</v>
      </c>
      <c r="BD58" s="32">
        <v>0.25</v>
      </c>
      <c r="BE58" s="32">
        <v>0.08</v>
      </c>
      <c r="BF58" s="32">
        <v>0.19</v>
      </c>
      <c r="BG58" s="32">
        <v>0.1</v>
      </c>
      <c r="BH58" s="32">
        <v>0.21</v>
      </c>
      <c r="BI58" s="32">
        <v>0.08</v>
      </c>
      <c r="BJ58" s="32">
        <v>7.0000000000000007E-2</v>
      </c>
      <c r="BK58" s="32">
        <v>0.24</v>
      </c>
      <c r="BL58" s="32">
        <v>0.05</v>
      </c>
      <c r="BM58" s="32">
        <v>-7.0000000000000007E-2</v>
      </c>
      <c r="BN58" s="32">
        <v>0.1</v>
      </c>
      <c r="BO58" s="32">
        <v>0.14000000000000001</v>
      </c>
      <c r="BP58" s="32">
        <v>0.12</v>
      </c>
      <c r="BQ58" s="32">
        <v>0.21</v>
      </c>
      <c r="BR58" s="32">
        <v>0.16</v>
      </c>
      <c r="BS58" s="32">
        <v>-0.05</v>
      </c>
      <c r="BT58" s="32">
        <v>0.2</v>
      </c>
      <c r="BU58" s="32">
        <v>0.14000000000000001</v>
      </c>
      <c r="BV58" s="32">
        <v>0</v>
      </c>
      <c r="BW58" s="32">
        <v>0.22</v>
      </c>
      <c r="BX58" s="32">
        <v>0.11</v>
      </c>
      <c r="BY58" s="32">
        <v>0.11</v>
      </c>
      <c r="BZ58" s="32">
        <v>0.09</v>
      </c>
      <c r="CA58" s="32">
        <v>0.22</v>
      </c>
      <c r="CB58" s="32">
        <v>-0.02</v>
      </c>
      <c r="CC58" s="32">
        <v>7.0000000000000007E-2</v>
      </c>
      <c r="CD58" s="32">
        <v>0.01</v>
      </c>
      <c r="CE58" s="32">
        <v>0.06</v>
      </c>
      <c r="CF58" s="32">
        <v>-0.02</v>
      </c>
      <c r="CG58" s="32">
        <v>0.11</v>
      </c>
      <c r="CH58" s="32">
        <v>0.14000000000000001</v>
      </c>
      <c r="CI58" s="32">
        <v>-0.04</v>
      </c>
      <c r="CJ58" s="32">
        <v>-0.06</v>
      </c>
      <c r="CK58" s="32">
        <v>0.03</v>
      </c>
      <c r="CL58" s="32">
        <v>0.06</v>
      </c>
      <c r="CM58" s="32">
        <v>0.09</v>
      </c>
      <c r="CN58" s="32">
        <v>0.05</v>
      </c>
      <c r="CO58" s="32">
        <v>0.15</v>
      </c>
      <c r="CP58" s="32">
        <v>0.05</v>
      </c>
      <c r="CQ58" s="32">
        <v>0.15</v>
      </c>
      <c r="CR58" s="32">
        <v>0.15</v>
      </c>
      <c r="CS58" s="32">
        <v>0.16</v>
      </c>
      <c r="CT58" s="32">
        <v>0.16</v>
      </c>
      <c r="CU58" s="32">
        <v>0.1</v>
      </c>
      <c r="CV58" s="32">
        <v>0</v>
      </c>
      <c r="CW58" s="32">
        <v>0.14000000000000001</v>
      </c>
      <c r="CX58" s="32">
        <v>7.0000000000000007E-2</v>
      </c>
      <c r="CY58" s="32">
        <v>0.09</v>
      </c>
      <c r="CZ58" s="32">
        <v>0.12</v>
      </c>
      <c r="DA58" s="32">
        <v>0.03</v>
      </c>
      <c r="DB58" s="32">
        <v>0.16</v>
      </c>
      <c r="DC58" s="32">
        <v>0.13</v>
      </c>
      <c r="DD58" s="32">
        <v>0.14000000000000001</v>
      </c>
      <c r="DE58" s="32">
        <v>0.01</v>
      </c>
      <c r="DF58" s="32">
        <v>7.0000000000000007E-2</v>
      </c>
      <c r="DG58" s="32">
        <v>0.11</v>
      </c>
      <c r="DH58" s="32">
        <v>0.22</v>
      </c>
      <c r="DI58" s="32">
        <v>0.19</v>
      </c>
      <c r="DJ58" s="32">
        <v>-0.01</v>
      </c>
      <c r="DK58" s="32">
        <v>0.18</v>
      </c>
      <c r="DL58" s="32">
        <v>0.17</v>
      </c>
      <c r="DM58" s="32">
        <v>0.1</v>
      </c>
      <c r="DN58" s="32">
        <v>0.06</v>
      </c>
      <c r="DO58" s="32">
        <v>7.0000000000000007E-2</v>
      </c>
      <c r="DP58" s="32">
        <v>0.06</v>
      </c>
      <c r="DQ58" s="32">
        <v>0.11</v>
      </c>
      <c r="DR58" s="32">
        <v>-0.01</v>
      </c>
      <c r="DS58" s="32">
        <v>-0.09</v>
      </c>
      <c r="DT58" s="32">
        <v>0.08</v>
      </c>
      <c r="DU58" s="32">
        <v>0.2</v>
      </c>
      <c r="DV58" s="32">
        <v>0.13</v>
      </c>
      <c r="DW58" s="32">
        <v>0.1</v>
      </c>
      <c r="DX58" s="32">
        <v>0.11</v>
      </c>
      <c r="DY58" s="32">
        <v>0.1</v>
      </c>
      <c r="DZ58" s="32">
        <v>0.06</v>
      </c>
      <c r="EA58" s="32">
        <v>0.08</v>
      </c>
      <c r="EB58" s="32">
        <v>0.06</v>
      </c>
      <c r="EC58" s="32">
        <v>0.03</v>
      </c>
      <c r="ED58" s="32">
        <v>0.17</v>
      </c>
      <c r="EE58" s="32">
        <v>0.11</v>
      </c>
      <c r="EF58" s="32">
        <v>0.04</v>
      </c>
      <c r="EG58" s="32">
        <v>0.08</v>
      </c>
      <c r="EH58" s="32">
        <v>0.04</v>
      </c>
      <c r="EI58" s="32">
        <v>7.0000000000000007E-2</v>
      </c>
      <c r="EJ58" s="32">
        <v>0.14000000000000001</v>
      </c>
      <c r="EK58" s="32">
        <v>0.18</v>
      </c>
      <c r="EL58" s="32">
        <v>0.15</v>
      </c>
      <c r="EM58" s="32">
        <v>0.06</v>
      </c>
      <c r="EN58" s="32">
        <v>0.03</v>
      </c>
      <c r="EO58" s="32">
        <v>-7.0000000000000007E-2</v>
      </c>
    </row>
    <row r="59" spans="1:145" x14ac:dyDescent="0.25">
      <c r="A59" s="31" t="s">
        <v>136</v>
      </c>
      <c r="B59" s="32">
        <v>0.01</v>
      </c>
      <c r="C59" s="32">
        <v>0.17</v>
      </c>
      <c r="D59" s="32">
        <v>0.16</v>
      </c>
      <c r="E59" s="32">
        <v>0.23</v>
      </c>
      <c r="F59" s="32">
        <v>0.01</v>
      </c>
      <c r="G59" s="32">
        <v>0.17</v>
      </c>
      <c r="H59" s="32">
        <v>0.24</v>
      </c>
      <c r="I59" s="32">
        <v>0.03</v>
      </c>
      <c r="J59" s="32">
        <v>0.04</v>
      </c>
      <c r="K59" s="32">
        <v>0.1</v>
      </c>
      <c r="L59" s="32">
        <v>0.22</v>
      </c>
      <c r="M59" s="32">
        <v>0.17</v>
      </c>
      <c r="N59" s="32">
        <v>0.08</v>
      </c>
      <c r="O59" s="32">
        <v>0.34</v>
      </c>
      <c r="P59" s="32">
        <v>0.04</v>
      </c>
      <c r="Q59" s="32">
        <v>0.05</v>
      </c>
      <c r="R59" s="32">
        <v>0.05</v>
      </c>
      <c r="S59" s="32">
        <v>0.33</v>
      </c>
      <c r="T59" s="32">
        <v>0.08</v>
      </c>
      <c r="U59" s="32">
        <v>0.5</v>
      </c>
      <c r="V59" s="32">
        <v>0.23</v>
      </c>
      <c r="W59" s="32">
        <v>0.26</v>
      </c>
      <c r="X59" s="32">
        <v>0.16</v>
      </c>
      <c r="Y59" s="32">
        <v>0.08</v>
      </c>
      <c r="Z59" s="32">
        <v>0.33</v>
      </c>
      <c r="AA59" s="32">
        <v>0.25</v>
      </c>
      <c r="AB59" s="32">
        <v>0.05</v>
      </c>
      <c r="AC59" s="32">
        <v>0.14000000000000001</v>
      </c>
      <c r="AD59" s="32">
        <v>0.28000000000000003</v>
      </c>
      <c r="AE59" s="32">
        <v>0.42</v>
      </c>
      <c r="AF59" s="32">
        <v>0.35</v>
      </c>
      <c r="AG59" s="32">
        <v>0.04</v>
      </c>
      <c r="AH59" s="32">
        <v>0.04</v>
      </c>
      <c r="AI59" s="32">
        <v>-0.19</v>
      </c>
      <c r="AJ59" s="32">
        <v>0.3</v>
      </c>
      <c r="AK59" s="32">
        <v>0.55000000000000004</v>
      </c>
      <c r="AL59" s="32">
        <v>0</v>
      </c>
      <c r="AM59" s="32">
        <v>0.32</v>
      </c>
      <c r="AN59" s="32">
        <v>0.18</v>
      </c>
      <c r="AO59" s="32">
        <v>0.02</v>
      </c>
      <c r="AP59" s="32">
        <v>0.13</v>
      </c>
      <c r="AQ59" s="32">
        <v>-0.13</v>
      </c>
      <c r="AR59" s="32">
        <v>0.17</v>
      </c>
      <c r="AS59" s="32">
        <v>0.52</v>
      </c>
      <c r="AT59" s="32">
        <v>7.0000000000000007E-2</v>
      </c>
      <c r="AU59" s="32">
        <v>-0.06</v>
      </c>
      <c r="AV59" s="32">
        <v>0.25</v>
      </c>
      <c r="AW59" s="32">
        <v>0.35</v>
      </c>
      <c r="AX59" s="32">
        <v>0.1</v>
      </c>
      <c r="AY59" s="32">
        <v>0.02</v>
      </c>
      <c r="AZ59" s="32">
        <v>0.38</v>
      </c>
      <c r="BA59" s="32">
        <v>0.28999999999999998</v>
      </c>
      <c r="BB59" s="32">
        <v>0.16</v>
      </c>
      <c r="BC59" s="32">
        <v>0.25</v>
      </c>
      <c r="BD59" s="32">
        <v>1</v>
      </c>
      <c r="BE59" s="32">
        <v>0.08</v>
      </c>
      <c r="BF59" s="32">
        <v>0.32</v>
      </c>
      <c r="BG59" s="32">
        <v>0.08</v>
      </c>
      <c r="BH59" s="32">
        <v>0.35</v>
      </c>
      <c r="BI59" s="32">
        <v>0.03</v>
      </c>
      <c r="BJ59" s="32">
        <v>0.09</v>
      </c>
      <c r="BK59" s="32">
        <v>0.34</v>
      </c>
      <c r="BL59" s="32">
        <v>0.24</v>
      </c>
      <c r="BM59" s="32">
        <v>0</v>
      </c>
      <c r="BN59" s="32">
        <v>0.09</v>
      </c>
      <c r="BO59" s="32">
        <v>0.17</v>
      </c>
      <c r="BP59" s="32">
        <v>0.09</v>
      </c>
      <c r="BQ59" s="32">
        <v>0.36</v>
      </c>
      <c r="BR59" s="32">
        <v>0.1</v>
      </c>
      <c r="BS59" s="32">
        <v>-0.13</v>
      </c>
      <c r="BT59" s="32">
        <v>0.15</v>
      </c>
      <c r="BU59" s="32">
        <v>0.35</v>
      </c>
      <c r="BV59" s="32">
        <v>0.12</v>
      </c>
      <c r="BW59" s="32">
        <v>0.18</v>
      </c>
      <c r="BX59" s="32">
        <v>7.0000000000000007E-2</v>
      </c>
      <c r="BY59" s="32">
        <v>0.18</v>
      </c>
      <c r="BZ59" s="32">
        <v>0.22</v>
      </c>
      <c r="CA59" s="32">
        <v>0.27</v>
      </c>
      <c r="CB59" s="32">
        <v>0.03</v>
      </c>
      <c r="CC59" s="32">
        <v>0.09</v>
      </c>
      <c r="CD59" s="32">
        <v>0.09</v>
      </c>
      <c r="CE59" s="32">
        <v>0.12</v>
      </c>
      <c r="CF59" s="32">
        <v>-0.13</v>
      </c>
      <c r="CG59" s="32">
        <v>0.09</v>
      </c>
      <c r="CH59" s="32">
        <v>0.36</v>
      </c>
      <c r="CI59" s="32">
        <v>-0.19</v>
      </c>
      <c r="CJ59" s="32">
        <v>7.0000000000000007E-2</v>
      </c>
      <c r="CK59" s="32">
        <v>0.03</v>
      </c>
      <c r="CL59" s="32">
        <v>0.04</v>
      </c>
      <c r="CM59" s="32">
        <v>0.12</v>
      </c>
      <c r="CN59" s="32">
        <v>0.28999999999999998</v>
      </c>
      <c r="CO59" s="32">
        <v>0.2</v>
      </c>
      <c r="CP59" s="32">
        <v>0.04</v>
      </c>
      <c r="CQ59" s="32">
        <v>0.14000000000000001</v>
      </c>
      <c r="CR59" s="32">
        <v>0.16</v>
      </c>
      <c r="CS59" s="32">
        <v>0.21</v>
      </c>
      <c r="CT59" s="32">
        <v>0.17</v>
      </c>
      <c r="CU59" s="32">
        <v>0.13</v>
      </c>
      <c r="CV59" s="32">
        <v>0.05</v>
      </c>
      <c r="CW59" s="32">
        <v>0.19</v>
      </c>
      <c r="CX59" s="32">
        <v>0.22</v>
      </c>
      <c r="CY59" s="32">
        <v>0.16</v>
      </c>
      <c r="CZ59" s="32">
        <v>0.15</v>
      </c>
      <c r="DA59" s="32">
        <v>0.08</v>
      </c>
      <c r="DB59" s="32">
        <v>0.16</v>
      </c>
      <c r="DC59" s="32">
        <v>0.37</v>
      </c>
      <c r="DD59" s="32">
        <v>0.13</v>
      </c>
      <c r="DE59" s="32">
        <v>0.24</v>
      </c>
      <c r="DF59" s="32">
        <v>-0.01</v>
      </c>
      <c r="DG59" s="32">
        <v>0.25</v>
      </c>
      <c r="DH59" s="32">
        <v>0.09</v>
      </c>
      <c r="DI59" s="32">
        <v>0.16</v>
      </c>
      <c r="DJ59" s="32">
        <v>0.09</v>
      </c>
      <c r="DK59" s="32">
        <v>0.17</v>
      </c>
      <c r="DL59" s="32">
        <v>0.33</v>
      </c>
      <c r="DM59" s="32">
        <v>0.21</v>
      </c>
      <c r="DN59" s="32">
        <v>0.05</v>
      </c>
      <c r="DO59" s="32">
        <v>0.1</v>
      </c>
      <c r="DP59" s="32">
        <v>0.16</v>
      </c>
      <c r="DQ59" s="32">
        <v>0.12</v>
      </c>
      <c r="DR59" s="32">
        <v>0.08</v>
      </c>
      <c r="DS59" s="32">
        <v>-0.09</v>
      </c>
      <c r="DT59" s="32">
        <v>0.05</v>
      </c>
      <c r="DU59" s="32">
        <v>0.2</v>
      </c>
      <c r="DV59" s="32">
        <v>-0.03</v>
      </c>
      <c r="DW59" s="32">
        <v>0.08</v>
      </c>
      <c r="DX59" s="32">
        <v>0.13</v>
      </c>
      <c r="DY59" s="32">
        <v>0.08</v>
      </c>
      <c r="DZ59" s="32">
        <v>7.0000000000000007E-2</v>
      </c>
      <c r="EA59" s="32">
        <v>0.11</v>
      </c>
      <c r="EB59" s="32">
        <v>0.05</v>
      </c>
      <c r="EC59" s="32">
        <v>0.1</v>
      </c>
      <c r="ED59" s="32">
        <v>0.15</v>
      </c>
      <c r="EE59" s="32">
        <v>0.17</v>
      </c>
      <c r="EF59" s="32">
        <v>0.09</v>
      </c>
      <c r="EG59" s="32">
        <v>0.13</v>
      </c>
      <c r="EH59" s="32">
        <v>0.06</v>
      </c>
      <c r="EI59" s="32">
        <v>0.09</v>
      </c>
      <c r="EJ59" s="32">
        <v>0.17</v>
      </c>
      <c r="EK59" s="32">
        <v>0.16</v>
      </c>
      <c r="EL59" s="32">
        <v>0.23</v>
      </c>
      <c r="EM59" s="32">
        <v>0.08</v>
      </c>
      <c r="EN59" s="32">
        <v>0.06</v>
      </c>
      <c r="EO59" s="32">
        <v>0.13</v>
      </c>
    </row>
    <row r="60" spans="1:145" x14ac:dyDescent="0.25">
      <c r="A60" s="31" t="s">
        <v>137</v>
      </c>
      <c r="B60" s="32">
        <v>0.3</v>
      </c>
      <c r="C60" s="32">
        <v>7.0000000000000007E-2</v>
      </c>
      <c r="D60" s="32">
        <v>-0.02</v>
      </c>
      <c r="E60" s="32">
        <v>0.08</v>
      </c>
      <c r="F60" s="32">
        <v>0.41</v>
      </c>
      <c r="G60" s="32">
        <v>-0.02</v>
      </c>
      <c r="H60" s="32">
        <v>0.09</v>
      </c>
      <c r="I60" s="32">
        <v>0.35</v>
      </c>
      <c r="J60" s="32">
        <v>0.56000000000000005</v>
      </c>
      <c r="K60" s="32">
        <v>0.41</v>
      </c>
      <c r="L60" s="32">
        <v>0.11</v>
      </c>
      <c r="M60" s="32">
        <v>0.28999999999999998</v>
      </c>
      <c r="N60" s="32">
        <v>0.51</v>
      </c>
      <c r="O60" s="32">
        <v>0.11</v>
      </c>
      <c r="P60" s="32">
        <v>0.28999999999999998</v>
      </c>
      <c r="Q60" s="32">
        <v>-0.08</v>
      </c>
      <c r="R60" s="32">
        <v>0.37</v>
      </c>
      <c r="S60" s="32">
        <v>0.16</v>
      </c>
      <c r="T60" s="32">
        <v>0.17</v>
      </c>
      <c r="U60" s="32">
        <v>0.22</v>
      </c>
      <c r="V60" s="32">
        <v>0.03</v>
      </c>
      <c r="W60" s="32">
        <v>0.1</v>
      </c>
      <c r="X60" s="32">
        <v>0.22</v>
      </c>
      <c r="Y60" s="32">
        <v>0.26</v>
      </c>
      <c r="Z60" s="32">
        <v>0.09</v>
      </c>
      <c r="AA60" s="32">
        <v>0.16</v>
      </c>
      <c r="AB60" s="32">
        <v>0.26</v>
      </c>
      <c r="AC60" s="32">
        <v>0</v>
      </c>
      <c r="AD60" s="32">
        <v>0.12</v>
      </c>
      <c r="AE60" s="32">
        <v>0.05</v>
      </c>
      <c r="AF60" s="32">
        <v>0.05</v>
      </c>
      <c r="AG60" s="32">
        <v>0.28000000000000003</v>
      </c>
      <c r="AH60" s="32">
        <v>0.26</v>
      </c>
      <c r="AI60" s="32">
        <v>0.15</v>
      </c>
      <c r="AJ60" s="32">
        <v>0.06</v>
      </c>
      <c r="AK60" s="32">
        <v>0.08</v>
      </c>
      <c r="AL60" s="32">
        <v>0.26</v>
      </c>
      <c r="AM60" s="32">
        <v>0.11</v>
      </c>
      <c r="AN60" s="32">
        <v>0.33</v>
      </c>
      <c r="AO60" s="32">
        <v>0.47</v>
      </c>
      <c r="AP60" s="32">
        <v>0.21</v>
      </c>
      <c r="AQ60" s="32">
        <v>0.12</v>
      </c>
      <c r="AR60" s="32">
        <v>0.16</v>
      </c>
      <c r="AS60" s="32">
        <v>0.05</v>
      </c>
      <c r="AT60" s="32">
        <v>0.14000000000000001</v>
      </c>
      <c r="AU60" s="32">
        <v>0.27</v>
      </c>
      <c r="AV60" s="32">
        <v>0.08</v>
      </c>
      <c r="AW60" s="32">
        <v>0.1</v>
      </c>
      <c r="AX60" s="32">
        <v>0.52</v>
      </c>
      <c r="AY60" s="32">
        <v>0.27</v>
      </c>
      <c r="AZ60" s="32">
        <v>0.12</v>
      </c>
      <c r="BA60" s="32">
        <v>0.28000000000000003</v>
      </c>
      <c r="BB60" s="32">
        <v>0.11</v>
      </c>
      <c r="BC60" s="32">
        <v>0.08</v>
      </c>
      <c r="BD60" s="32">
        <v>0.08</v>
      </c>
      <c r="BE60" s="32">
        <v>1</v>
      </c>
      <c r="BF60" s="32">
        <v>0.06</v>
      </c>
      <c r="BG60" s="32">
        <v>0.26</v>
      </c>
      <c r="BH60" s="32">
        <v>0.08</v>
      </c>
      <c r="BI60" s="32">
        <v>0.09</v>
      </c>
      <c r="BJ60" s="32">
        <v>0.02</v>
      </c>
      <c r="BK60" s="32">
        <v>0.04</v>
      </c>
      <c r="BL60" s="32">
        <v>0.17</v>
      </c>
      <c r="BM60" s="32">
        <v>0.28000000000000003</v>
      </c>
      <c r="BN60" s="32">
        <v>0.19</v>
      </c>
      <c r="BO60" s="32">
        <v>0.09</v>
      </c>
      <c r="BP60" s="32">
        <v>-0.09</v>
      </c>
      <c r="BQ60" s="32">
        <v>0.13</v>
      </c>
      <c r="BR60" s="32">
        <v>0.11</v>
      </c>
      <c r="BS60" s="32">
        <v>0.05</v>
      </c>
      <c r="BT60" s="32">
        <v>0.23</v>
      </c>
      <c r="BU60" s="32">
        <v>0.05</v>
      </c>
      <c r="BV60" s="32">
        <v>7.0000000000000007E-2</v>
      </c>
      <c r="BW60" s="32">
        <v>0.15</v>
      </c>
      <c r="BX60" s="32">
        <v>0.44</v>
      </c>
      <c r="BY60" s="32">
        <v>0.23</v>
      </c>
      <c r="BZ60" s="32">
        <v>0.15</v>
      </c>
      <c r="CA60" s="32">
        <v>7.0000000000000007E-2</v>
      </c>
      <c r="CB60" s="32">
        <v>0</v>
      </c>
      <c r="CC60" s="32">
        <v>0.14000000000000001</v>
      </c>
      <c r="CD60" s="32">
        <v>0.12</v>
      </c>
      <c r="CE60" s="32">
        <v>0.06</v>
      </c>
      <c r="CF60" s="32">
        <v>0.1</v>
      </c>
      <c r="CG60" s="32">
        <v>0.12</v>
      </c>
      <c r="CH60" s="32">
        <v>0.14000000000000001</v>
      </c>
      <c r="CI60" s="32">
        <v>7.0000000000000007E-2</v>
      </c>
      <c r="CJ60" s="32">
        <v>0.19</v>
      </c>
      <c r="CK60" s="32">
        <v>0.19</v>
      </c>
      <c r="CL60" s="32">
        <v>0.31</v>
      </c>
      <c r="CM60" s="32">
        <v>-0.11</v>
      </c>
      <c r="CN60" s="32">
        <v>0.05</v>
      </c>
      <c r="CO60" s="32">
        <v>0.04</v>
      </c>
      <c r="CP60" s="32">
        <v>0.08</v>
      </c>
      <c r="CQ60" s="32">
        <v>0.22</v>
      </c>
      <c r="CR60" s="32">
        <v>0.05</v>
      </c>
      <c r="CS60" s="32">
        <v>0.15</v>
      </c>
      <c r="CT60" s="32">
        <v>0.05</v>
      </c>
      <c r="CU60" s="32">
        <v>0</v>
      </c>
      <c r="CV60" s="32">
        <v>0.04</v>
      </c>
      <c r="CW60" s="32">
        <v>0.15</v>
      </c>
      <c r="CX60" s="32">
        <v>0.14000000000000001</v>
      </c>
      <c r="CY60" s="32">
        <v>0.21</v>
      </c>
      <c r="CZ60" s="32">
        <v>0.12</v>
      </c>
      <c r="DA60" s="32">
        <v>0.13</v>
      </c>
      <c r="DB60" s="32">
        <v>0.03</v>
      </c>
      <c r="DC60" s="32">
        <v>0.08</v>
      </c>
      <c r="DD60" s="32">
        <v>0.1</v>
      </c>
      <c r="DE60" s="32">
        <v>0.12</v>
      </c>
      <c r="DF60" s="32">
        <v>-0.01</v>
      </c>
      <c r="DG60" s="32">
        <v>0.17</v>
      </c>
      <c r="DH60" s="32">
        <v>-0.12</v>
      </c>
      <c r="DI60" s="32">
        <v>0.15</v>
      </c>
      <c r="DJ60" s="32">
        <v>0.22</v>
      </c>
      <c r="DK60" s="32">
        <v>0.19</v>
      </c>
      <c r="DL60" s="32">
        <v>0.05</v>
      </c>
      <c r="DM60" s="32">
        <v>0.23</v>
      </c>
      <c r="DN60" s="32">
        <v>0.12</v>
      </c>
      <c r="DO60" s="32">
        <v>0.05</v>
      </c>
      <c r="DP60" s="32">
        <v>0.21</v>
      </c>
      <c r="DQ60" s="32">
        <v>0.09</v>
      </c>
      <c r="DR60" s="32">
        <v>0.13</v>
      </c>
      <c r="DS60" s="32">
        <v>-0.03</v>
      </c>
      <c r="DT60" s="32">
        <v>-0.13</v>
      </c>
      <c r="DU60" s="32">
        <v>0.03</v>
      </c>
      <c r="DV60" s="32">
        <v>-0.04</v>
      </c>
      <c r="DW60" s="32">
        <v>0</v>
      </c>
      <c r="DX60" s="32">
        <v>0.02</v>
      </c>
      <c r="DY60" s="32">
        <v>0.05</v>
      </c>
      <c r="DZ60" s="32">
        <v>-0.04</v>
      </c>
      <c r="EA60" s="32">
        <v>0.14000000000000001</v>
      </c>
      <c r="EB60" s="32">
        <v>0.12</v>
      </c>
      <c r="EC60" s="32">
        <v>-0.02</v>
      </c>
      <c r="ED60" s="32">
        <v>0.1</v>
      </c>
      <c r="EE60" s="32">
        <v>-7.0000000000000007E-2</v>
      </c>
      <c r="EF60" s="32">
        <v>0.13</v>
      </c>
      <c r="EG60" s="32">
        <v>0.01</v>
      </c>
      <c r="EH60" s="32">
        <v>0.08</v>
      </c>
      <c r="EI60" s="32">
        <v>-0.02</v>
      </c>
      <c r="EJ60" s="32">
        <v>0.18</v>
      </c>
      <c r="EK60" s="32">
        <v>0.09</v>
      </c>
      <c r="EL60" s="32">
        <v>0.06</v>
      </c>
      <c r="EM60" s="32">
        <v>0.06</v>
      </c>
      <c r="EN60" s="32">
        <v>0.46</v>
      </c>
      <c r="EO60" s="32">
        <v>7.0000000000000007E-2</v>
      </c>
    </row>
    <row r="61" spans="1:145" x14ac:dyDescent="0.25">
      <c r="A61" s="31" t="s">
        <v>138</v>
      </c>
      <c r="B61" s="32">
        <v>0.04</v>
      </c>
      <c r="C61" s="32">
        <v>0</v>
      </c>
      <c r="D61" s="32">
        <v>0.13</v>
      </c>
      <c r="E61" s="32">
        <v>0.32</v>
      </c>
      <c r="F61" s="32">
        <v>0.03</v>
      </c>
      <c r="G61" s="32">
        <v>0.22</v>
      </c>
      <c r="H61" s="32">
        <v>0.24</v>
      </c>
      <c r="I61" s="32">
        <v>0.09</v>
      </c>
      <c r="J61" s="32">
        <v>0.04</v>
      </c>
      <c r="K61" s="32">
        <v>0.1</v>
      </c>
      <c r="L61" s="32">
        <v>0.17</v>
      </c>
      <c r="M61" s="32">
        <v>0.27</v>
      </c>
      <c r="N61" s="32">
        <v>0.17</v>
      </c>
      <c r="O61" s="32">
        <v>0.26</v>
      </c>
      <c r="P61" s="32">
        <v>0.08</v>
      </c>
      <c r="Q61" s="32">
        <v>7.0000000000000007E-2</v>
      </c>
      <c r="R61" s="32">
        <v>7.0000000000000007E-2</v>
      </c>
      <c r="S61" s="32">
        <v>0.22</v>
      </c>
      <c r="T61" s="32">
        <v>0.16</v>
      </c>
      <c r="U61" s="32">
        <v>0.32</v>
      </c>
      <c r="V61" s="32">
        <v>0.28000000000000003</v>
      </c>
      <c r="W61" s="32">
        <v>0.22</v>
      </c>
      <c r="X61" s="32">
        <v>0.12</v>
      </c>
      <c r="Y61" s="32">
        <v>-0.03</v>
      </c>
      <c r="Z61" s="32">
        <v>0.45</v>
      </c>
      <c r="AA61" s="32">
        <v>0.21</v>
      </c>
      <c r="AB61" s="32">
        <v>-0.03</v>
      </c>
      <c r="AC61" s="32">
        <v>0.18</v>
      </c>
      <c r="AD61" s="32">
        <v>0.2</v>
      </c>
      <c r="AE61" s="32">
        <v>0.32</v>
      </c>
      <c r="AF61" s="32">
        <v>0.28999999999999998</v>
      </c>
      <c r="AG61" s="32">
        <v>-0.03</v>
      </c>
      <c r="AH61" s="32">
        <v>-0.02</v>
      </c>
      <c r="AI61" s="32">
        <v>-7.0000000000000007E-2</v>
      </c>
      <c r="AJ61" s="32">
        <v>0.23</v>
      </c>
      <c r="AK61" s="32">
        <v>0.25</v>
      </c>
      <c r="AL61" s="32">
        <v>0.14000000000000001</v>
      </c>
      <c r="AM61" s="32">
        <v>0.23</v>
      </c>
      <c r="AN61" s="32">
        <v>0.19</v>
      </c>
      <c r="AO61" s="32">
        <v>7.0000000000000007E-2</v>
      </c>
      <c r="AP61" s="32">
        <v>0.12</v>
      </c>
      <c r="AQ61" s="32">
        <v>0.01</v>
      </c>
      <c r="AR61" s="32">
        <v>0.12</v>
      </c>
      <c r="AS61" s="32">
        <v>0.31</v>
      </c>
      <c r="AT61" s="32">
        <v>0.09</v>
      </c>
      <c r="AU61" s="32">
        <v>0.02</v>
      </c>
      <c r="AV61" s="32">
        <v>0.27</v>
      </c>
      <c r="AW61" s="32">
        <v>0.35</v>
      </c>
      <c r="AX61" s="32">
        <v>0.12</v>
      </c>
      <c r="AY61" s="32">
        <v>0.03</v>
      </c>
      <c r="AZ61" s="32">
        <v>0.26</v>
      </c>
      <c r="BA61" s="32">
        <v>0.15</v>
      </c>
      <c r="BB61" s="32">
        <v>0.19</v>
      </c>
      <c r="BC61" s="32">
        <v>0.19</v>
      </c>
      <c r="BD61" s="32">
        <v>0.32</v>
      </c>
      <c r="BE61" s="32">
        <v>0.06</v>
      </c>
      <c r="BF61" s="32">
        <v>1</v>
      </c>
      <c r="BG61" s="32">
        <v>0.19</v>
      </c>
      <c r="BH61" s="32">
        <v>0.25</v>
      </c>
      <c r="BI61" s="32">
        <v>0.17</v>
      </c>
      <c r="BJ61" s="32">
        <v>0.01</v>
      </c>
      <c r="BK61" s="32">
        <v>0.33</v>
      </c>
      <c r="BL61" s="32">
        <v>0.23</v>
      </c>
      <c r="BM61" s="32">
        <v>0.01</v>
      </c>
      <c r="BN61" s="32">
        <v>0.04</v>
      </c>
      <c r="BO61" s="32">
        <v>0.06</v>
      </c>
      <c r="BP61" s="32">
        <v>-0.02</v>
      </c>
      <c r="BQ61" s="32">
        <v>0.25</v>
      </c>
      <c r="BR61" s="32">
        <v>0.19</v>
      </c>
      <c r="BS61" s="32">
        <v>0</v>
      </c>
      <c r="BT61" s="32">
        <v>0.22</v>
      </c>
      <c r="BU61" s="32">
        <v>0.2</v>
      </c>
      <c r="BV61" s="32">
        <v>0.01</v>
      </c>
      <c r="BW61" s="32">
        <v>0.15</v>
      </c>
      <c r="BX61" s="32">
        <v>0.1</v>
      </c>
      <c r="BY61" s="32">
        <v>0.1</v>
      </c>
      <c r="BZ61" s="32">
        <v>0.2</v>
      </c>
      <c r="CA61" s="32">
        <v>0.24</v>
      </c>
      <c r="CB61" s="32">
        <v>-0.08</v>
      </c>
      <c r="CC61" s="32">
        <v>0.09</v>
      </c>
      <c r="CD61" s="32">
        <v>0.12</v>
      </c>
      <c r="CE61" s="32">
        <v>0.05</v>
      </c>
      <c r="CF61" s="32">
        <v>0.03</v>
      </c>
      <c r="CG61" s="32">
        <v>0.1</v>
      </c>
      <c r="CH61" s="32">
        <v>0.24</v>
      </c>
      <c r="CI61" s="32">
        <v>-0.04</v>
      </c>
      <c r="CJ61" s="32">
        <v>-0.01</v>
      </c>
      <c r="CK61" s="32">
        <v>0.12</v>
      </c>
      <c r="CL61" s="32">
        <v>0.04</v>
      </c>
      <c r="CM61" s="32">
        <v>0.04</v>
      </c>
      <c r="CN61" s="32">
        <v>0.27</v>
      </c>
      <c r="CO61" s="32">
        <v>0.2</v>
      </c>
      <c r="CP61" s="32">
        <v>0.16</v>
      </c>
      <c r="CQ61" s="32">
        <v>0.19</v>
      </c>
      <c r="CR61" s="32">
        <v>0.17</v>
      </c>
      <c r="CS61" s="32">
        <v>0.19</v>
      </c>
      <c r="CT61" s="32">
        <v>0.25</v>
      </c>
      <c r="CU61" s="32">
        <v>0.18</v>
      </c>
      <c r="CV61" s="32">
        <v>0.09</v>
      </c>
      <c r="CW61" s="32">
        <v>0.13</v>
      </c>
      <c r="CX61" s="32">
        <v>0.17</v>
      </c>
      <c r="CY61" s="32">
        <v>0.17</v>
      </c>
      <c r="CZ61" s="32">
        <v>7.0000000000000007E-2</v>
      </c>
      <c r="DA61" s="32">
        <v>0.09</v>
      </c>
      <c r="DB61" s="32">
        <v>0.23</v>
      </c>
      <c r="DC61" s="32">
        <v>0.27</v>
      </c>
      <c r="DD61" s="32">
        <v>0.12</v>
      </c>
      <c r="DE61" s="32">
        <v>0.21</v>
      </c>
      <c r="DF61" s="32">
        <v>-0.06</v>
      </c>
      <c r="DG61" s="32">
        <v>0.23</v>
      </c>
      <c r="DH61" s="32">
        <v>0.04</v>
      </c>
      <c r="DI61" s="32">
        <v>0.11</v>
      </c>
      <c r="DJ61" s="32">
        <v>0.12</v>
      </c>
      <c r="DK61" s="32">
        <v>0.16</v>
      </c>
      <c r="DL61" s="32">
        <v>0.24</v>
      </c>
      <c r="DM61" s="32">
        <v>0.2</v>
      </c>
      <c r="DN61" s="32">
        <v>0.03</v>
      </c>
      <c r="DO61" s="32">
        <v>0.15</v>
      </c>
      <c r="DP61" s="32">
        <v>0.18</v>
      </c>
      <c r="DQ61" s="32">
        <v>0.11</v>
      </c>
      <c r="DR61" s="32">
        <v>0.14000000000000001</v>
      </c>
      <c r="DS61" s="32">
        <v>0.02</v>
      </c>
      <c r="DT61" s="32">
        <v>-0.01</v>
      </c>
      <c r="DU61" s="32">
        <v>0.12</v>
      </c>
      <c r="DV61" s="32">
        <v>0.05</v>
      </c>
      <c r="DW61" s="32">
        <v>0.04</v>
      </c>
      <c r="DX61" s="32">
        <v>0.14000000000000001</v>
      </c>
      <c r="DY61" s="32">
        <v>0.11</v>
      </c>
      <c r="DZ61" s="32">
        <v>7.0000000000000007E-2</v>
      </c>
      <c r="EA61" s="32">
        <v>0.09</v>
      </c>
      <c r="EB61" s="32">
        <v>0.13</v>
      </c>
      <c r="EC61" s="32">
        <v>0.09</v>
      </c>
      <c r="ED61" s="32">
        <v>0.21</v>
      </c>
      <c r="EE61" s="32">
        <v>0.2</v>
      </c>
      <c r="EF61" s="32">
        <v>0.14000000000000001</v>
      </c>
      <c r="EG61" s="32">
        <v>0.13</v>
      </c>
      <c r="EH61" s="32">
        <v>0</v>
      </c>
      <c r="EI61" s="32">
        <v>0.1</v>
      </c>
      <c r="EJ61" s="32">
        <v>0.21</v>
      </c>
      <c r="EK61" s="32">
        <v>0.15</v>
      </c>
      <c r="EL61" s="32">
        <v>0.17</v>
      </c>
      <c r="EM61" s="32">
        <v>-0.03</v>
      </c>
      <c r="EN61" s="32">
        <v>0.09</v>
      </c>
      <c r="EO61" s="32">
        <v>0.14000000000000001</v>
      </c>
    </row>
    <row r="62" spans="1:145" x14ac:dyDescent="0.25">
      <c r="A62" s="31" t="s">
        <v>139</v>
      </c>
      <c r="B62" s="32">
        <v>0.21</v>
      </c>
      <c r="C62" s="32">
        <v>0.01</v>
      </c>
      <c r="D62" s="32">
        <v>0.04</v>
      </c>
      <c r="E62" s="32">
        <v>-0.01</v>
      </c>
      <c r="F62" s="32">
        <v>0.1</v>
      </c>
      <c r="G62" s="32">
        <v>-0.02</v>
      </c>
      <c r="H62" s="32">
        <v>0.03</v>
      </c>
      <c r="I62" s="32">
        <v>0.15</v>
      </c>
      <c r="J62" s="32">
        <v>0.2</v>
      </c>
      <c r="K62" s="32">
        <v>0.14000000000000001</v>
      </c>
      <c r="L62" s="32">
        <v>0.01</v>
      </c>
      <c r="M62" s="32">
        <v>0.33</v>
      </c>
      <c r="N62" s="32">
        <v>0.35</v>
      </c>
      <c r="O62" s="32">
        <v>-0.12</v>
      </c>
      <c r="P62" s="32">
        <v>7.0000000000000007E-2</v>
      </c>
      <c r="Q62" s="32">
        <v>0.03</v>
      </c>
      <c r="R62" s="32">
        <v>0.14000000000000001</v>
      </c>
      <c r="S62" s="32">
        <v>7.0000000000000007E-2</v>
      </c>
      <c r="T62" s="32">
        <v>0.31</v>
      </c>
      <c r="U62" s="32">
        <v>0.06</v>
      </c>
      <c r="V62" s="32">
        <v>-0.03</v>
      </c>
      <c r="W62" s="32">
        <v>-0.1</v>
      </c>
      <c r="X62" s="32">
        <v>0.27</v>
      </c>
      <c r="Y62" s="32">
        <v>0.32</v>
      </c>
      <c r="Z62" s="32">
        <v>0.05</v>
      </c>
      <c r="AA62" s="32">
        <v>-0.02</v>
      </c>
      <c r="AB62" s="32">
        <v>0.33</v>
      </c>
      <c r="AC62" s="32">
        <v>0.01</v>
      </c>
      <c r="AD62" s="32">
        <v>-0.01</v>
      </c>
      <c r="AE62" s="32">
        <v>0.12</v>
      </c>
      <c r="AF62" s="32">
        <v>0</v>
      </c>
      <c r="AG62" s="32">
        <v>-0.01</v>
      </c>
      <c r="AH62" s="32">
        <v>0</v>
      </c>
      <c r="AI62" s="32">
        <v>0.04</v>
      </c>
      <c r="AJ62" s="32">
        <v>0.02</v>
      </c>
      <c r="AK62" s="32">
        <v>0.01</v>
      </c>
      <c r="AL62" s="32">
        <v>0.14000000000000001</v>
      </c>
      <c r="AM62" s="32">
        <v>0.09</v>
      </c>
      <c r="AN62" s="32">
        <v>0.33</v>
      </c>
      <c r="AO62" s="32">
        <v>0.28999999999999998</v>
      </c>
      <c r="AP62" s="32">
        <v>0.3</v>
      </c>
      <c r="AQ62" s="32">
        <v>-0.01</v>
      </c>
      <c r="AR62" s="32">
        <v>0.25</v>
      </c>
      <c r="AS62" s="32">
        <v>0.1</v>
      </c>
      <c r="AT62" s="32">
        <v>0.4</v>
      </c>
      <c r="AU62" s="32">
        <v>0.02</v>
      </c>
      <c r="AV62" s="32">
        <v>0.11</v>
      </c>
      <c r="AW62" s="32">
        <v>0.12</v>
      </c>
      <c r="AX62" s="32">
        <v>0.23</v>
      </c>
      <c r="AY62" s="32">
        <v>0.23</v>
      </c>
      <c r="AZ62" s="32">
        <v>0.12</v>
      </c>
      <c r="BA62" s="32">
        <v>0.22</v>
      </c>
      <c r="BB62" s="32">
        <v>0.26</v>
      </c>
      <c r="BC62" s="32">
        <v>0.1</v>
      </c>
      <c r="BD62" s="32">
        <v>0.08</v>
      </c>
      <c r="BE62" s="32">
        <v>0.26</v>
      </c>
      <c r="BF62" s="32">
        <v>0.19</v>
      </c>
      <c r="BG62" s="32">
        <v>1</v>
      </c>
      <c r="BH62" s="32">
        <v>0.11</v>
      </c>
      <c r="BI62" s="32">
        <v>0.18</v>
      </c>
      <c r="BJ62" s="32">
        <v>-0.01</v>
      </c>
      <c r="BK62" s="32">
        <v>0.1</v>
      </c>
      <c r="BL62" s="32">
        <v>0.28999999999999998</v>
      </c>
      <c r="BM62" s="32">
        <v>0.18</v>
      </c>
      <c r="BN62" s="32">
        <v>0.02</v>
      </c>
      <c r="BO62" s="32">
        <v>0.15</v>
      </c>
      <c r="BP62" s="32">
        <v>0.21</v>
      </c>
      <c r="BQ62" s="32">
        <v>0.03</v>
      </c>
      <c r="BR62" s="32">
        <v>0.34</v>
      </c>
      <c r="BS62" s="32">
        <v>-0.04</v>
      </c>
      <c r="BT62" s="32">
        <v>0.22</v>
      </c>
      <c r="BU62" s="32">
        <v>7.0000000000000007E-2</v>
      </c>
      <c r="BV62" s="32">
        <v>0.2</v>
      </c>
      <c r="BW62" s="32">
        <v>0.37</v>
      </c>
      <c r="BX62" s="32">
        <v>0.32</v>
      </c>
      <c r="BY62" s="32">
        <v>0.28000000000000003</v>
      </c>
      <c r="BZ62" s="32">
        <v>0.19</v>
      </c>
      <c r="CA62" s="32">
        <v>0.03</v>
      </c>
      <c r="CB62" s="32">
        <v>-0.03</v>
      </c>
      <c r="CC62" s="32">
        <v>0.17</v>
      </c>
      <c r="CD62" s="32">
        <v>0.26</v>
      </c>
      <c r="CE62" s="32">
        <v>0.08</v>
      </c>
      <c r="CF62" s="32">
        <v>-0.04</v>
      </c>
      <c r="CG62" s="32">
        <v>0.34</v>
      </c>
      <c r="CH62" s="32">
        <v>0.12</v>
      </c>
      <c r="CI62" s="32">
        <v>-0.01</v>
      </c>
      <c r="CJ62" s="32">
        <v>0.13</v>
      </c>
      <c r="CK62" s="32">
        <v>0.28000000000000003</v>
      </c>
      <c r="CL62" s="32">
        <v>0.21</v>
      </c>
      <c r="CM62" s="32">
        <v>0.15</v>
      </c>
      <c r="CN62" s="32">
        <v>0.02</v>
      </c>
      <c r="CO62" s="32">
        <v>0.1</v>
      </c>
      <c r="CP62" s="32">
        <v>0.21</v>
      </c>
      <c r="CQ62" s="32">
        <v>0.33</v>
      </c>
      <c r="CR62" s="32">
        <v>0.15</v>
      </c>
      <c r="CS62" s="32">
        <v>0.1</v>
      </c>
      <c r="CT62" s="32">
        <v>0.23</v>
      </c>
      <c r="CU62" s="32">
        <v>0.09</v>
      </c>
      <c r="CV62" s="32">
        <v>0.18</v>
      </c>
      <c r="CW62" s="32">
        <v>0.38</v>
      </c>
      <c r="CX62" s="32">
        <v>0.25</v>
      </c>
      <c r="CY62" s="32">
        <v>0.24</v>
      </c>
      <c r="CZ62" s="32">
        <v>0.16</v>
      </c>
      <c r="DA62" s="32">
        <v>0.35</v>
      </c>
      <c r="DB62" s="32">
        <v>0.05</v>
      </c>
      <c r="DC62" s="32">
        <v>0.14000000000000001</v>
      </c>
      <c r="DD62" s="32">
        <v>0.38</v>
      </c>
      <c r="DE62" s="32">
        <v>0.28000000000000003</v>
      </c>
      <c r="DF62" s="32">
        <v>0.23</v>
      </c>
      <c r="DG62" s="32">
        <v>0.2</v>
      </c>
      <c r="DH62" s="32">
        <v>0.09</v>
      </c>
      <c r="DI62" s="32">
        <v>0.23</v>
      </c>
      <c r="DJ62" s="32">
        <v>0.3</v>
      </c>
      <c r="DK62" s="32">
        <v>0.31</v>
      </c>
      <c r="DL62" s="32">
        <v>7.0000000000000007E-2</v>
      </c>
      <c r="DM62" s="32">
        <v>0.3</v>
      </c>
      <c r="DN62" s="32">
        <v>0.27</v>
      </c>
      <c r="DO62" s="32">
        <v>0.13</v>
      </c>
      <c r="DP62" s="32">
        <v>0.28000000000000003</v>
      </c>
      <c r="DQ62" s="32">
        <v>0.08</v>
      </c>
      <c r="DR62" s="32">
        <v>0.16</v>
      </c>
      <c r="DS62" s="32">
        <v>0.2</v>
      </c>
      <c r="DT62" s="32">
        <v>0.14000000000000001</v>
      </c>
      <c r="DU62" s="32">
        <v>0.28000000000000003</v>
      </c>
      <c r="DV62" s="32">
        <v>0.2</v>
      </c>
      <c r="DW62" s="32">
        <v>0.32</v>
      </c>
      <c r="DX62" s="32">
        <v>0.1</v>
      </c>
      <c r="DY62" s="32">
        <v>0.37</v>
      </c>
      <c r="DZ62" s="32">
        <v>0.24</v>
      </c>
      <c r="EA62" s="32">
        <v>0.22</v>
      </c>
      <c r="EB62" s="32">
        <v>0.38</v>
      </c>
      <c r="EC62" s="32">
        <v>-0.04</v>
      </c>
      <c r="ED62" s="32">
        <v>0.17</v>
      </c>
      <c r="EE62" s="32">
        <v>0.09</v>
      </c>
      <c r="EF62" s="32">
        <v>0.19</v>
      </c>
      <c r="EG62" s="32">
        <v>7.0000000000000007E-2</v>
      </c>
      <c r="EH62" s="32">
        <v>0.19</v>
      </c>
      <c r="EI62" s="32">
        <v>0.05</v>
      </c>
      <c r="EJ62" s="32">
        <v>0.22</v>
      </c>
      <c r="EK62" s="32">
        <v>0.2</v>
      </c>
      <c r="EL62" s="32">
        <v>0.17</v>
      </c>
      <c r="EM62" s="32">
        <v>0.15</v>
      </c>
      <c r="EN62" s="32">
        <v>0.24</v>
      </c>
      <c r="EO62" s="32">
        <v>0.16</v>
      </c>
    </row>
    <row r="63" spans="1:145" x14ac:dyDescent="0.25">
      <c r="A63" s="31" t="s">
        <v>140</v>
      </c>
      <c r="B63" s="32">
        <v>0.04</v>
      </c>
      <c r="C63" s="32">
        <v>0.05</v>
      </c>
      <c r="D63" s="32">
        <v>0.11</v>
      </c>
      <c r="E63" s="32">
        <v>0.22</v>
      </c>
      <c r="F63" s="32">
        <v>-0.01</v>
      </c>
      <c r="G63" s="32">
        <v>0.03</v>
      </c>
      <c r="H63" s="32">
        <v>0.3</v>
      </c>
      <c r="I63" s="32">
        <v>0.03</v>
      </c>
      <c r="J63" s="32">
        <v>-0.04</v>
      </c>
      <c r="K63" s="32">
        <v>0.03</v>
      </c>
      <c r="L63" s="32">
        <v>0.26</v>
      </c>
      <c r="M63" s="32">
        <v>0.16</v>
      </c>
      <c r="N63" s="32">
        <v>0.15</v>
      </c>
      <c r="O63" s="32">
        <v>0.18</v>
      </c>
      <c r="P63" s="32">
        <v>-0.03</v>
      </c>
      <c r="Q63" s="32">
        <v>-0.05</v>
      </c>
      <c r="R63" s="32">
        <v>7.0000000000000007E-2</v>
      </c>
      <c r="S63" s="32">
        <v>0.24</v>
      </c>
      <c r="T63" s="32">
        <v>0.1</v>
      </c>
      <c r="U63" s="32">
        <v>0.35</v>
      </c>
      <c r="V63" s="32">
        <v>0.24</v>
      </c>
      <c r="W63" s="32">
        <v>0.17</v>
      </c>
      <c r="X63" s="32">
        <v>0.14000000000000001</v>
      </c>
      <c r="Y63" s="32">
        <v>0.03</v>
      </c>
      <c r="Z63" s="32">
        <v>0.33</v>
      </c>
      <c r="AA63" s="32">
        <v>7.0000000000000007E-2</v>
      </c>
      <c r="AB63" s="32">
        <v>0</v>
      </c>
      <c r="AC63" s="32">
        <v>0.26</v>
      </c>
      <c r="AD63" s="32">
        <v>0.2</v>
      </c>
      <c r="AE63" s="32">
        <v>0.25</v>
      </c>
      <c r="AF63" s="32">
        <v>0.24</v>
      </c>
      <c r="AG63" s="32">
        <v>-0.03</v>
      </c>
      <c r="AH63" s="32">
        <v>0.01</v>
      </c>
      <c r="AI63" s="32">
        <v>-0.14000000000000001</v>
      </c>
      <c r="AJ63" s="32">
        <v>0.16</v>
      </c>
      <c r="AK63" s="32">
        <v>0.3</v>
      </c>
      <c r="AL63" s="32">
        <v>0.06</v>
      </c>
      <c r="AM63" s="32">
        <v>0.17</v>
      </c>
      <c r="AN63" s="32">
        <v>0.2</v>
      </c>
      <c r="AO63" s="32">
        <v>-0.02</v>
      </c>
      <c r="AP63" s="32">
        <v>0.12</v>
      </c>
      <c r="AQ63" s="32">
        <v>-0.15</v>
      </c>
      <c r="AR63" s="32">
        <v>0.09</v>
      </c>
      <c r="AS63" s="32">
        <v>0.33</v>
      </c>
      <c r="AT63" s="32">
        <v>0.13</v>
      </c>
      <c r="AU63" s="32">
        <v>-0.02</v>
      </c>
      <c r="AV63" s="32">
        <v>0.32</v>
      </c>
      <c r="AW63" s="32">
        <v>0.36</v>
      </c>
      <c r="AX63" s="32">
        <v>0.11</v>
      </c>
      <c r="AY63" s="32">
        <v>7.0000000000000007E-2</v>
      </c>
      <c r="AZ63" s="32">
        <v>0.2</v>
      </c>
      <c r="BA63" s="32">
        <v>0.09</v>
      </c>
      <c r="BB63" s="32">
        <v>0.14000000000000001</v>
      </c>
      <c r="BC63" s="32">
        <v>0.21</v>
      </c>
      <c r="BD63" s="32">
        <v>0.35</v>
      </c>
      <c r="BE63" s="32">
        <v>0.08</v>
      </c>
      <c r="BF63" s="32">
        <v>0.25</v>
      </c>
      <c r="BG63" s="32">
        <v>0.11</v>
      </c>
      <c r="BH63" s="32">
        <v>1</v>
      </c>
      <c r="BI63" s="32">
        <v>0.16</v>
      </c>
      <c r="BJ63" s="32">
        <v>-7.0000000000000007E-2</v>
      </c>
      <c r="BK63" s="32">
        <v>0.15</v>
      </c>
      <c r="BL63" s="32">
        <v>0.11</v>
      </c>
      <c r="BM63" s="32">
        <v>0.12</v>
      </c>
      <c r="BN63" s="32">
        <v>0.01</v>
      </c>
      <c r="BO63" s="32">
        <v>0.21</v>
      </c>
      <c r="BP63" s="32">
        <v>0.15</v>
      </c>
      <c r="BQ63" s="32">
        <v>0.22</v>
      </c>
      <c r="BR63" s="32">
        <v>0.08</v>
      </c>
      <c r="BS63" s="32">
        <v>-0.16</v>
      </c>
      <c r="BT63" s="32">
        <v>0.22</v>
      </c>
      <c r="BU63" s="32">
        <v>0.28000000000000003</v>
      </c>
      <c r="BV63" s="32">
        <v>0.14000000000000001</v>
      </c>
      <c r="BW63" s="32">
        <v>0.17</v>
      </c>
      <c r="BX63" s="32">
        <v>0.02</v>
      </c>
      <c r="BY63" s="32">
        <v>0.1</v>
      </c>
      <c r="BZ63" s="32">
        <v>0.16</v>
      </c>
      <c r="CA63" s="32">
        <v>0.23</v>
      </c>
      <c r="CB63" s="32">
        <v>0</v>
      </c>
      <c r="CC63" s="32">
        <v>0.06</v>
      </c>
      <c r="CD63" s="32">
        <v>0.11</v>
      </c>
      <c r="CE63" s="32">
        <v>0.1</v>
      </c>
      <c r="CF63" s="32">
        <v>-0.18</v>
      </c>
      <c r="CG63" s="32">
        <v>0.15</v>
      </c>
      <c r="CH63" s="32">
        <v>0.28000000000000003</v>
      </c>
      <c r="CI63" s="32">
        <v>-0.16</v>
      </c>
      <c r="CJ63" s="32">
        <v>0.15</v>
      </c>
      <c r="CK63" s="32">
        <v>0.1</v>
      </c>
      <c r="CL63" s="32">
        <v>0.11</v>
      </c>
      <c r="CM63" s="32">
        <v>0.13</v>
      </c>
      <c r="CN63" s="32">
        <v>0.17</v>
      </c>
      <c r="CO63" s="32">
        <v>0.17</v>
      </c>
      <c r="CP63" s="32">
        <v>0.11</v>
      </c>
      <c r="CQ63" s="32">
        <v>0.14000000000000001</v>
      </c>
      <c r="CR63" s="32">
        <v>0.15</v>
      </c>
      <c r="CS63" s="32">
        <v>0.12</v>
      </c>
      <c r="CT63" s="32">
        <v>0.18</v>
      </c>
      <c r="CU63" s="32">
        <v>0.21</v>
      </c>
      <c r="CV63" s="32">
        <v>0.17</v>
      </c>
      <c r="CW63" s="32">
        <v>0.15</v>
      </c>
      <c r="CX63" s="32">
        <v>0.1</v>
      </c>
      <c r="CY63" s="32">
        <v>0.1</v>
      </c>
      <c r="CZ63" s="32">
        <v>0.03</v>
      </c>
      <c r="DA63" s="32">
        <v>0.12</v>
      </c>
      <c r="DB63" s="32">
        <v>0.27</v>
      </c>
      <c r="DC63" s="32">
        <v>0.21</v>
      </c>
      <c r="DD63" s="32">
        <v>0.19</v>
      </c>
      <c r="DE63" s="32">
        <v>0.21</v>
      </c>
      <c r="DF63" s="32">
        <v>0.09</v>
      </c>
      <c r="DG63" s="32">
        <v>0.18</v>
      </c>
      <c r="DH63" s="32">
        <v>0.22</v>
      </c>
      <c r="DI63" s="32">
        <v>0.15</v>
      </c>
      <c r="DJ63" s="32">
        <v>0.08</v>
      </c>
      <c r="DK63" s="32">
        <v>0.19</v>
      </c>
      <c r="DL63" s="32">
        <v>0.23</v>
      </c>
      <c r="DM63" s="32">
        <v>0.12</v>
      </c>
      <c r="DN63" s="32">
        <v>0.08</v>
      </c>
      <c r="DO63" s="32">
        <v>0.08</v>
      </c>
      <c r="DP63" s="32">
        <v>0.14000000000000001</v>
      </c>
      <c r="DQ63" s="32">
        <v>0.02</v>
      </c>
      <c r="DR63" s="32">
        <v>0.17</v>
      </c>
      <c r="DS63" s="32">
        <v>0.01</v>
      </c>
      <c r="DT63" s="32">
        <v>0.15</v>
      </c>
      <c r="DU63" s="32">
        <v>0.19</v>
      </c>
      <c r="DV63" s="32">
        <v>0.16</v>
      </c>
      <c r="DW63" s="32">
        <v>0.23</v>
      </c>
      <c r="DX63" s="32">
        <v>7.0000000000000007E-2</v>
      </c>
      <c r="DY63" s="32">
        <v>0.13</v>
      </c>
      <c r="DZ63" s="32">
        <v>0.12</v>
      </c>
      <c r="EA63" s="32">
        <v>0.12</v>
      </c>
      <c r="EB63" s="32">
        <v>0.13</v>
      </c>
      <c r="EC63" s="32">
        <v>0.03</v>
      </c>
      <c r="ED63" s="32">
        <v>0.2</v>
      </c>
      <c r="EE63" s="32">
        <v>0.14000000000000001</v>
      </c>
      <c r="EF63" s="32">
        <v>0.08</v>
      </c>
      <c r="EG63" s="32">
        <v>0.08</v>
      </c>
      <c r="EH63" s="32">
        <v>0.02</v>
      </c>
      <c r="EI63" s="32">
        <v>7.0000000000000007E-2</v>
      </c>
      <c r="EJ63" s="32">
        <v>0.14000000000000001</v>
      </c>
      <c r="EK63" s="32">
        <v>0.17</v>
      </c>
      <c r="EL63" s="32">
        <v>0.16</v>
      </c>
      <c r="EM63" s="32">
        <v>0.1</v>
      </c>
      <c r="EN63" s="32">
        <v>0.06</v>
      </c>
      <c r="EO63" s="32">
        <v>0.06</v>
      </c>
    </row>
    <row r="64" spans="1:145" x14ac:dyDescent="0.25">
      <c r="A64" s="31" t="s">
        <v>141</v>
      </c>
      <c r="B64" s="32">
        <v>0.1</v>
      </c>
      <c r="C64" s="32">
        <v>-0.01</v>
      </c>
      <c r="D64" s="32">
        <v>0.12</v>
      </c>
      <c r="E64" s="32">
        <v>0.2</v>
      </c>
      <c r="F64" s="32">
        <v>-0.08</v>
      </c>
      <c r="G64" s="32">
        <v>0.1</v>
      </c>
      <c r="H64" s="32">
        <v>0.14000000000000001</v>
      </c>
      <c r="I64" s="32">
        <v>0.03</v>
      </c>
      <c r="J64" s="32">
        <v>-0.01</v>
      </c>
      <c r="K64" s="32">
        <v>0.04</v>
      </c>
      <c r="L64" s="32">
        <v>0.18</v>
      </c>
      <c r="M64" s="32">
        <v>0.13</v>
      </c>
      <c r="N64" s="32">
        <v>0.06</v>
      </c>
      <c r="O64" s="32">
        <v>0.25</v>
      </c>
      <c r="P64" s="32">
        <v>-0.02</v>
      </c>
      <c r="Q64" s="32">
        <v>7.0000000000000007E-2</v>
      </c>
      <c r="R64" s="32">
        <v>0.06</v>
      </c>
      <c r="S64" s="32">
        <v>0.18</v>
      </c>
      <c r="T64" s="32">
        <v>0.14000000000000001</v>
      </c>
      <c r="U64" s="32">
        <v>0.14000000000000001</v>
      </c>
      <c r="V64" s="32">
        <v>0.23</v>
      </c>
      <c r="W64" s="32">
        <v>0.06</v>
      </c>
      <c r="X64" s="32">
        <v>0.12</v>
      </c>
      <c r="Y64" s="32">
        <v>0.04</v>
      </c>
      <c r="Z64" s="32">
        <v>0.13</v>
      </c>
      <c r="AA64" s="32">
        <v>0.02</v>
      </c>
      <c r="AB64" s="32">
        <v>0.08</v>
      </c>
      <c r="AC64" s="32">
        <v>0.19</v>
      </c>
      <c r="AD64" s="32">
        <v>0.02</v>
      </c>
      <c r="AE64" s="32">
        <v>0.14000000000000001</v>
      </c>
      <c r="AF64" s="32">
        <v>0.21</v>
      </c>
      <c r="AG64" s="32">
        <v>-0.06</v>
      </c>
      <c r="AH64" s="32">
        <v>-0.04</v>
      </c>
      <c r="AI64" s="32">
        <v>0</v>
      </c>
      <c r="AJ64" s="32">
        <v>0.03</v>
      </c>
      <c r="AK64" s="32">
        <v>0.04</v>
      </c>
      <c r="AL64" s="32">
        <v>0.02</v>
      </c>
      <c r="AM64" s="32">
        <v>0.11</v>
      </c>
      <c r="AN64" s="32">
        <v>0.1</v>
      </c>
      <c r="AO64" s="32">
        <v>-0.05</v>
      </c>
      <c r="AP64" s="32">
        <v>0.11</v>
      </c>
      <c r="AQ64" s="32">
        <v>-0.04</v>
      </c>
      <c r="AR64" s="32">
        <v>0.1</v>
      </c>
      <c r="AS64" s="32">
        <v>0.04</v>
      </c>
      <c r="AT64" s="32">
        <v>0.13</v>
      </c>
      <c r="AU64" s="32">
        <v>-0.04</v>
      </c>
      <c r="AV64" s="32">
        <v>0.22</v>
      </c>
      <c r="AW64" s="32">
        <v>0.12</v>
      </c>
      <c r="AX64" s="32">
        <v>0.06</v>
      </c>
      <c r="AY64" s="32">
        <v>0.01</v>
      </c>
      <c r="AZ64" s="32">
        <v>0.18</v>
      </c>
      <c r="BA64" s="32">
        <v>0.09</v>
      </c>
      <c r="BB64" s="32">
        <v>0.11</v>
      </c>
      <c r="BC64" s="32">
        <v>0.08</v>
      </c>
      <c r="BD64" s="32">
        <v>0.03</v>
      </c>
      <c r="BE64" s="32">
        <v>0.09</v>
      </c>
      <c r="BF64" s="32">
        <v>0.17</v>
      </c>
      <c r="BG64" s="32">
        <v>0.18</v>
      </c>
      <c r="BH64" s="32">
        <v>0.16</v>
      </c>
      <c r="BI64" s="32">
        <v>1</v>
      </c>
      <c r="BJ64" s="32">
        <v>7.0000000000000007E-2</v>
      </c>
      <c r="BK64" s="32">
        <v>0.16</v>
      </c>
      <c r="BL64" s="32">
        <v>0.13</v>
      </c>
      <c r="BM64" s="32">
        <v>0.09</v>
      </c>
      <c r="BN64" s="32">
        <v>0.02</v>
      </c>
      <c r="BO64" s="32">
        <v>0.13</v>
      </c>
      <c r="BP64" s="32">
        <v>0.06</v>
      </c>
      <c r="BQ64" s="32">
        <v>0.14000000000000001</v>
      </c>
      <c r="BR64" s="32">
        <v>0.18</v>
      </c>
      <c r="BS64" s="32">
        <v>-0.04</v>
      </c>
      <c r="BT64" s="32">
        <v>0.12</v>
      </c>
      <c r="BU64" s="32">
        <v>0.08</v>
      </c>
      <c r="BV64" s="32">
        <v>0.18</v>
      </c>
      <c r="BW64" s="32">
        <v>0.23</v>
      </c>
      <c r="BX64" s="32">
        <v>0.03</v>
      </c>
      <c r="BY64" s="32">
        <v>0</v>
      </c>
      <c r="BZ64" s="32">
        <v>0.12</v>
      </c>
      <c r="CA64" s="32">
        <v>0.17</v>
      </c>
      <c r="CB64" s="32">
        <v>-0.02</v>
      </c>
      <c r="CC64" s="32">
        <v>0.08</v>
      </c>
      <c r="CD64" s="32">
        <v>7.0000000000000007E-2</v>
      </c>
      <c r="CE64" s="32">
        <v>0.02</v>
      </c>
      <c r="CF64" s="32">
        <v>0.01</v>
      </c>
      <c r="CG64" s="32">
        <v>0.09</v>
      </c>
      <c r="CH64" s="32">
        <v>0.15</v>
      </c>
      <c r="CI64" s="32">
        <v>0</v>
      </c>
      <c r="CJ64" s="32">
        <v>-0.03</v>
      </c>
      <c r="CK64" s="32">
        <v>7.0000000000000007E-2</v>
      </c>
      <c r="CL64" s="32">
        <v>0.02</v>
      </c>
      <c r="CM64" s="32">
        <v>-0.05</v>
      </c>
      <c r="CN64" s="32">
        <v>-0.03</v>
      </c>
      <c r="CO64" s="32">
        <v>0.12</v>
      </c>
      <c r="CP64" s="32">
        <v>0.15</v>
      </c>
      <c r="CQ64" s="32">
        <v>0.14000000000000001</v>
      </c>
      <c r="CR64" s="32">
        <v>0.04</v>
      </c>
      <c r="CS64" s="32">
        <v>-0.01</v>
      </c>
      <c r="CT64" s="32">
        <v>0.12</v>
      </c>
      <c r="CU64" s="32">
        <v>0.1</v>
      </c>
      <c r="CV64" s="32">
        <v>0.16</v>
      </c>
      <c r="CW64" s="32">
        <v>7.0000000000000007E-2</v>
      </c>
      <c r="CX64" s="32">
        <v>0.06</v>
      </c>
      <c r="CY64" s="32">
        <v>0.02</v>
      </c>
      <c r="CZ64" s="32">
        <v>0.08</v>
      </c>
      <c r="DA64" s="32">
        <v>0</v>
      </c>
      <c r="DB64" s="32">
        <v>0.15</v>
      </c>
      <c r="DC64" s="32">
        <v>0.16</v>
      </c>
      <c r="DD64" s="32">
        <v>0.16</v>
      </c>
      <c r="DE64" s="32">
        <v>0.08</v>
      </c>
      <c r="DF64" s="32">
        <v>0.05</v>
      </c>
      <c r="DG64" s="32">
        <v>0.12</v>
      </c>
      <c r="DH64" s="32">
        <v>0.03</v>
      </c>
      <c r="DI64" s="32">
        <v>0.21</v>
      </c>
      <c r="DJ64" s="32">
        <v>0.09</v>
      </c>
      <c r="DK64" s="32">
        <v>0.18</v>
      </c>
      <c r="DL64" s="32">
        <v>0.1</v>
      </c>
      <c r="DM64" s="32">
        <v>0.09</v>
      </c>
      <c r="DN64" s="32">
        <v>0.19</v>
      </c>
      <c r="DO64" s="32">
        <v>0.13</v>
      </c>
      <c r="DP64" s="32">
        <v>0.1</v>
      </c>
      <c r="DQ64" s="32">
        <v>0.14000000000000001</v>
      </c>
      <c r="DR64" s="32">
        <v>0.15</v>
      </c>
      <c r="DS64" s="32">
        <v>0.08</v>
      </c>
      <c r="DT64" s="32">
        <v>0.11</v>
      </c>
      <c r="DU64" s="32">
        <v>0.1</v>
      </c>
      <c r="DV64" s="32">
        <v>0.14000000000000001</v>
      </c>
      <c r="DW64" s="32">
        <v>0.08</v>
      </c>
      <c r="DX64" s="32">
        <v>0.05</v>
      </c>
      <c r="DY64" s="32">
        <v>0.2</v>
      </c>
      <c r="DZ64" s="32">
        <v>0.09</v>
      </c>
      <c r="EA64" s="32">
        <v>-0.02</v>
      </c>
      <c r="EB64" s="32">
        <v>0.14000000000000001</v>
      </c>
      <c r="EC64" s="32">
        <v>0.03</v>
      </c>
      <c r="ED64" s="32">
        <v>0.13</v>
      </c>
      <c r="EE64" s="32">
        <v>0.01</v>
      </c>
      <c r="EF64" s="32">
        <v>0.06</v>
      </c>
      <c r="EG64" s="32">
        <v>0.06</v>
      </c>
      <c r="EH64" s="32">
        <v>-7.0000000000000007E-2</v>
      </c>
      <c r="EI64" s="32">
        <v>0.01</v>
      </c>
      <c r="EJ64" s="32">
        <v>0.11</v>
      </c>
      <c r="EK64" s="32">
        <v>0.02</v>
      </c>
      <c r="EL64" s="32">
        <v>0.1</v>
      </c>
      <c r="EM64" s="32">
        <v>0.08</v>
      </c>
      <c r="EN64" s="32">
        <v>0.03</v>
      </c>
      <c r="EO64" s="32">
        <v>-0.06</v>
      </c>
    </row>
    <row r="65" spans="1:145" x14ac:dyDescent="0.25">
      <c r="A65" s="31" t="s">
        <v>142</v>
      </c>
      <c r="B65" s="32">
        <v>-0.03</v>
      </c>
      <c r="C65" s="32">
        <v>0.03</v>
      </c>
      <c r="D65" s="32">
        <v>7.0000000000000007E-2</v>
      </c>
      <c r="E65" s="32">
        <v>0.06</v>
      </c>
      <c r="F65" s="32">
        <v>-0.09</v>
      </c>
      <c r="G65" s="32">
        <v>0.06</v>
      </c>
      <c r="H65" s="32">
        <v>-0.08</v>
      </c>
      <c r="I65" s="32">
        <v>0.01</v>
      </c>
      <c r="J65" s="32">
        <v>-0.03</v>
      </c>
      <c r="K65" s="32">
        <v>-0.05</v>
      </c>
      <c r="L65" s="32">
        <v>0.02</v>
      </c>
      <c r="M65" s="32">
        <v>-0.11</v>
      </c>
      <c r="N65" s="32">
        <v>-0.02</v>
      </c>
      <c r="O65" s="32">
        <v>0.01</v>
      </c>
      <c r="P65" s="32">
        <v>-0.06</v>
      </c>
      <c r="Q65" s="32">
        <v>-0.01</v>
      </c>
      <c r="R65" s="32">
        <v>-0.1</v>
      </c>
      <c r="S65" s="32">
        <v>0.1</v>
      </c>
      <c r="T65" s="32">
        <v>0.04</v>
      </c>
      <c r="U65" s="32">
        <v>0.08</v>
      </c>
      <c r="V65" s="32">
        <v>0</v>
      </c>
      <c r="W65" s="32">
        <v>0.01</v>
      </c>
      <c r="X65" s="32">
        <v>0.01</v>
      </c>
      <c r="Y65" s="32">
        <v>0.03</v>
      </c>
      <c r="Z65" s="32">
        <v>-0.09</v>
      </c>
      <c r="AA65" s="32">
        <v>-0.01</v>
      </c>
      <c r="AB65" s="32">
        <v>0.02</v>
      </c>
      <c r="AC65" s="32">
        <v>0.04</v>
      </c>
      <c r="AD65" s="32">
        <v>0.04</v>
      </c>
      <c r="AE65" s="32">
        <v>0.08</v>
      </c>
      <c r="AF65" s="32">
        <v>0.14000000000000001</v>
      </c>
      <c r="AG65" s="32">
        <v>-0.02</v>
      </c>
      <c r="AH65" s="32">
        <v>-0.1</v>
      </c>
      <c r="AI65" s="32">
        <v>-0.03</v>
      </c>
      <c r="AJ65" s="32">
        <v>0.16</v>
      </c>
      <c r="AK65" s="32">
        <v>0.08</v>
      </c>
      <c r="AL65" s="32">
        <v>-0.09</v>
      </c>
      <c r="AM65" s="32">
        <v>0.04</v>
      </c>
      <c r="AN65" s="32">
        <v>-0.06</v>
      </c>
      <c r="AO65" s="32">
        <v>-7.0000000000000007E-2</v>
      </c>
      <c r="AP65" s="32">
        <v>-0.01</v>
      </c>
      <c r="AQ65" s="32">
        <v>-0.02</v>
      </c>
      <c r="AR65" s="32">
        <v>0.09</v>
      </c>
      <c r="AS65" s="32">
        <v>0.08</v>
      </c>
      <c r="AT65" s="32">
        <v>-0.05</v>
      </c>
      <c r="AU65" s="32">
        <v>-7.0000000000000007E-2</v>
      </c>
      <c r="AV65" s="32">
        <v>0.12</v>
      </c>
      <c r="AW65" s="32">
        <v>0.08</v>
      </c>
      <c r="AX65" s="32">
        <v>0.08</v>
      </c>
      <c r="AY65" s="32">
        <v>-7.0000000000000007E-2</v>
      </c>
      <c r="AZ65" s="32">
        <v>0.1</v>
      </c>
      <c r="BA65" s="32">
        <v>0.03</v>
      </c>
      <c r="BB65" s="32">
        <v>0.01</v>
      </c>
      <c r="BC65" s="32">
        <v>7.0000000000000007E-2</v>
      </c>
      <c r="BD65" s="32">
        <v>0.09</v>
      </c>
      <c r="BE65" s="32">
        <v>0.02</v>
      </c>
      <c r="BF65" s="32">
        <v>0.01</v>
      </c>
      <c r="BG65" s="32">
        <v>-0.01</v>
      </c>
      <c r="BH65" s="32">
        <v>-7.0000000000000007E-2</v>
      </c>
      <c r="BI65" s="32">
        <v>7.0000000000000007E-2</v>
      </c>
      <c r="BJ65" s="32">
        <v>1</v>
      </c>
      <c r="BK65" s="32">
        <v>0.1</v>
      </c>
      <c r="BL65" s="32">
        <v>0.03</v>
      </c>
      <c r="BM65" s="32">
        <v>-0.11</v>
      </c>
      <c r="BN65" s="32">
        <v>-0.08</v>
      </c>
      <c r="BO65" s="32">
        <v>-0.01</v>
      </c>
      <c r="BP65" s="32">
        <v>-0.02</v>
      </c>
      <c r="BQ65" s="32">
        <v>0.02</v>
      </c>
      <c r="BR65" s="32">
        <v>0.06</v>
      </c>
      <c r="BS65" s="32">
        <v>0.08</v>
      </c>
      <c r="BT65" s="32">
        <v>0.05</v>
      </c>
      <c r="BU65" s="32">
        <v>0.01</v>
      </c>
      <c r="BV65" s="32">
        <v>0.04</v>
      </c>
      <c r="BW65" s="32">
        <v>0.01</v>
      </c>
      <c r="BX65" s="32">
        <v>-0.02</v>
      </c>
      <c r="BY65" s="32">
        <v>-0.12</v>
      </c>
      <c r="BZ65" s="32">
        <v>-0.06</v>
      </c>
      <c r="CA65" s="32">
        <v>0.08</v>
      </c>
      <c r="CB65" s="32">
        <v>0.03</v>
      </c>
      <c r="CC65" s="32">
        <v>0.01</v>
      </c>
      <c r="CD65" s="32">
        <v>-0.05</v>
      </c>
      <c r="CE65" s="32">
        <v>-0.05</v>
      </c>
      <c r="CF65" s="32">
        <v>0.04</v>
      </c>
      <c r="CG65" s="32">
        <v>-0.03</v>
      </c>
      <c r="CH65" s="32">
        <v>0.14000000000000001</v>
      </c>
      <c r="CI65" s="32">
        <v>0.05</v>
      </c>
      <c r="CJ65" s="32">
        <v>-0.05</v>
      </c>
      <c r="CK65" s="32">
        <v>-0.05</v>
      </c>
      <c r="CL65" s="32">
        <v>-0.13</v>
      </c>
      <c r="CM65" s="32">
        <v>-7.0000000000000007E-2</v>
      </c>
      <c r="CN65" s="32">
        <v>0.03</v>
      </c>
      <c r="CO65" s="32">
        <v>-7.0000000000000007E-2</v>
      </c>
      <c r="CP65" s="32">
        <v>-0.05</v>
      </c>
      <c r="CQ65" s="32">
        <v>-0.02</v>
      </c>
      <c r="CR65" s="32">
        <v>0.03</v>
      </c>
      <c r="CS65" s="32">
        <v>0.06</v>
      </c>
      <c r="CT65" s="32">
        <v>-0.03</v>
      </c>
      <c r="CU65" s="32">
        <v>-0.02</v>
      </c>
      <c r="CV65" s="32">
        <v>-0.06</v>
      </c>
      <c r="CW65" s="32">
        <v>0.05</v>
      </c>
      <c r="CX65" s="32">
        <v>0.02</v>
      </c>
      <c r="CY65" s="32">
        <v>-0.04</v>
      </c>
      <c r="CZ65" s="32">
        <v>-0.02</v>
      </c>
      <c r="DA65" s="32">
        <v>-0.1</v>
      </c>
      <c r="DB65" s="32">
        <v>0.04</v>
      </c>
      <c r="DC65" s="32">
        <v>0.12</v>
      </c>
      <c r="DD65" s="32">
        <v>0</v>
      </c>
      <c r="DE65" s="32">
        <v>0.02</v>
      </c>
      <c r="DF65" s="32">
        <v>-0.06</v>
      </c>
      <c r="DG65" s="32">
        <v>0.13</v>
      </c>
      <c r="DH65" s="32">
        <v>0.06</v>
      </c>
      <c r="DI65" s="32">
        <v>-0.06</v>
      </c>
      <c r="DJ65" s="32">
        <v>-7.0000000000000007E-2</v>
      </c>
      <c r="DK65" s="32">
        <v>-0.01</v>
      </c>
      <c r="DL65" s="32">
        <v>0.17</v>
      </c>
      <c r="DM65" s="32">
        <v>-7.0000000000000007E-2</v>
      </c>
      <c r="DN65" s="32">
        <v>-0.1</v>
      </c>
      <c r="DO65" s="32">
        <v>0.05</v>
      </c>
      <c r="DP65" s="32">
        <v>-0.06</v>
      </c>
      <c r="DQ65" s="32">
        <v>0.01</v>
      </c>
      <c r="DR65" s="32">
        <v>0.01</v>
      </c>
      <c r="DS65" s="32">
        <v>-0.1</v>
      </c>
      <c r="DT65" s="32">
        <v>-0.02</v>
      </c>
      <c r="DU65" s="32">
        <v>0.01</v>
      </c>
      <c r="DV65" s="32">
        <v>-7.0000000000000007E-2</v>
      </c>
      <c r="DW65" s="32">
        <v>-0.06</v>
      </c>
      <c r="DX65" s="32">
        <v>0.08</v>
      </c>
      <c r="DY65" s="32">
        <v>-0.03</v>
      </c>
      <c r="DZ65" s="32">
        <v>-0.03</v>
      </c>
      <c r="EA65" s="32">
        <v>0.06</v>
      </c>
      <c r="EB65" s="32">
        <v>-0.06</v>
      </c>
      <c r="EC65" s="32">
        <v>-0.03</v>
      </c>
      <c r="ED65" s="32">
        <v>-0.02</v>
      </c>
      <c r="EE65" s="32">
        <v>0.04</v>
      </c>
      <c r="EF65" s="32">
        <v>0.05</v>
      </c>
      <c r="EG65" s="32">
        <v>0.06</v>
      </c>
      <c r="EH65" s="32">
        <v>-0.11</v>
      </c>
      <c r="EI65" s="32">
        <v>0.08</v>
      </c>
      <c r="EJ65" s="32">
        <v>-0.01</v>
      </c>
      <c r="EK65" s="32">
        <v>0.06</v>
      </c>
      <c r="EL65" s="32">
        <v>0.11</v>
      </c>
      <c r="EM65" s="32">
        <v>0.03</v>
      </c>
      <c r="EN65" s="32">
        <v>0.03</v>
      </c>
      <c r="EO65" s="32">
        <v>-0.05</v>
      </c>
    </row>
    <row r="66" spans="1:145" x14ac:dyDescent="0.25">
      <c r="A66" s="31" t="s">
        <v>143</v>
      </c>
      <c r="B66" s="32">
        <v>0.02</v>
      </c>
      <c r="C66" s="32">
        <v>0.06</v>
      </c>
      <c r="D66" s="32">
        <v>0.22</v>
      </c>
      <c r="E66" s="32">
        <v>0.18</v>
      </c>
      <c r="F66" s="32">
        <v>-0.05</v>
      </c>
      <c r="G66" s="32">
        <v>0.17</v>
      </c>
      <c r="H66" s="32">
        <v>0.19</v>
      </c>
      <c r="I66" s="32">
        <v>0.01</v>
      </c>
      <c r="J66" s="32">
        <v>-0.06</v>
      </c>
      <c r="K66" s="32">
        <v>0.03</v>
      </c>
      <c r="L66" s="32">
        <v>0.2</v>
      </c>
      <c r="M66" s="32">
        <v>0.18</v>
      </c>
      <c r="N66" s="32">
        <v>0.02</v>
      </c>
      <c r="O66" s="32">
        <v>0.24</v>
      </c>
      <c r="P66" s="32">
        <v>7.0000000000000007E-2</v>
      </c>
      <c r="Q66" s="32">
        <v>0.17</v>
      </c>
      <c r="R66" s="32">
        <v>0.03</v>
      </c>
      <c r="S66" s="32">
        <v>0.22</v>
      </c>
      <c r="T66" s="32">
        <v>0.19</v>
      </c>
      <c r="U66" s="32">
        <v>0.24</v>
      </c>
      <c r="V66" s="32">
        <v>0.18</v>
      </c>
      <c r="W66" s="32">
        <v>0.16</v>
      </c>
      <c r="X66" s="32">
        <v>0.14000000000000001</v>
      </c>
      <c r="Y66" s="32">
        <v>0.1</v>
      </c>
      <c r="Z66" s="32">
        <v>0.28999999999999998</v>
      </c>
      <c r="AA66" s="32">
        <v>0.24</v>
      </c>
      <c r="AB66" s="32">
        <v>7.0000000000000007E-2</v>
      </c>
      <c r="AC66" s="32">
        <v>0.14000000000000001</v>
      </c>
      <c r="AD66" s="32">
        <v>0.21</v>
      </c>
      <c r="AE66" s="32">
        <v>0.66</v>
      </c>
      <c r="AF66" s="32">
        <v>0.41</v>
      </c>
      <c r="AG66" s="32">
        <v>-0.03</v>
      </c>
      <c r="AH66" s="32">
        <v>-0.04</v>
      </c>
      <c r="AI66" s="32">
        <v>-0.19</v>
      </c>
      <c r="AJ66" s="32">
        <v>0.2</v>
      </c>
      <c r="AK66" s="32">
        <v>0.28999999999999998</v>
      </c>
      <c r="AL66" s="32">
        <v>0.05</v>
      </c>
      <c r="AM66" s="32">
        <v>0.28000000000000003</v>
      </c>
      <c r="AN66" s="32">
        <v>0.13</v>
      </c>
      <c r="AO66" s="32">
        <v>-0.02</v>
      </c>
      <c r="AP66" s="32">
        <v>0.06</v>
      </c>
      <c r="AQ66" s="32">
        <v>-0.14000000000000001</v>
      </c>
      <c r="AR66" s="32">
        <v>0.2</v>
      </c>
      <c r="AS66" s="32">
        <v>0.18</v>
      </c>
      <c r="AT66" s="32">
        <v>0.17</v>
      </c>
      <c r="AU66" s="32">
        <v>-0.01</v>
      </c>
      <c r="AV66" s="32">
        <v>0.21</v>
      </c>
      <c r="AW66" s="32">
        <v>0.19</v>
      </c>
      <c r="AX66" s="32">
        <v>0.05</v>
      </c>
      <c r="AY66" s="32">
        <v>0.08</v>
      </c>
      <c r="AZ66" s="32">
        <v>0.68</v>
      </c>
      <c r="BA66" s="32">
        <v>0.15</v>
      </c>
      <c r="BB66" s="32">
        <v>0.26</v>
      </c>
      <c r="BC66" s="32">
        <v>0.24</v>
      </c>
      <c r="BD66" s="32">
        <v>0.34</v>
      </c>
      <c r="BE66" s="32">
        <v>0.04</v>
      </c>
      <c r="BF66" s="32">
        <v>0.33</v>
      </c>
      <c r="BG66" s="32">
        <v>0.1</v>
      </c>
      <c r="BH66" s="32">
        <v>0.15</v>
      </c>
      <c r="BI66" s="32">
        <v>0.16</v>
      </c>
      <c r="BJ66" s="32">
        <v>0.1</v>
      </c>
      <c r="BK66" s="32">
        <v>1</v>
      </c>
      <c r="BL66" s="32">
        <v>0.1</v>
      </c>
      <c r="BM66" s="32">
        <v>0.05</v>
      </c>
      <c r="BN66" s="32">
        <v>0.03</v>
      </c>
      <c r="BO66" s="32">
        <v>0.1</v>
      </c>
      <c r="BP66" s="32">
        <v>0.04</v>
      </c>
      <c r="BQ66" s="32">
        <v>0.32</v>
      </c>
      <c r="BR66" s="32">
        <v>0.16</v>
      </c>
      <c r="BS66" s="32">
        <v>-0.12</v>
      </c>
      <c r="BT66" s="32">
        <v>0.17</v>
      </c>
      <c r="BU66" s="32">
        <v>0.22</v>
      </c>
      <c r="BV66" s="32">
        <v>0.06</v>
      </c>
      <c r="BW66" s="32">
        <v>0.06</v>
      </c>
      <c r="BX66" s="32">
        <v>0</v>
      </c>
      <c r="BY66" s="32">
        <v>0.06</v>
      </c>
      <c r="BZ66" s="32">
        <v>0.1</v>
      </c>
      <c r="CA66" s="32">
        <v>0.22</v>
      </c>
      <c r="CB66" s="32">
        <v>0</v>
      </c>
      <c r="CC66" s="32">
        <v>0.08</v>
      </c>
      <c r="CD66" s="32">
        <v>0.09</v>
      </c>
      <c r="CE66" s="32">
        <v>0.19</v>
      </c>
      <c r="CF66" s="32">
        <v>-0.09</v>
      </c>
      <c r="CG66" s="32">
        <v>0.09</v>
      </c>
      <c r="CH66" s="32">
        <v>0.24</v>
      </c>
      <c r="CI66" s="32">
        <v>-0.14000000000000001</v>
      </c>
      <c r="CJ66" s="32">
        <v>-0.11</v>
      </c>
      <c r="CK66" s="32">
        <v>0.03</v>
      </c>
      <c r="CL66" s="32">
        <v>0.06</v>
      </c>
      <c r="CM66" s="32">
        <v>0.1</v>
      </c>
      <c r="CN66" s="32">
        <v>0.18</v>
      </c>
      <c r="CO66" s="32">
        <v>0.17</v>
      </c>
      <c r="CP66" s="32">
        <v>0.06</v>
      </c>
      <c r="CQ66" s="32">
        <v>0.22</v>
      </c>
      <c r="CR66" s="32">
        <v>0.22</v>
      </c>
      <c r="CS66" s="32">
        <v>0.26</v>
      </c>
      <c r="CT66" s="32">
        <v>0.12</v>
      </c>
      <c r="CU66" s="32">
        <v>0.12</v>
      </c>
      <c r="CV66" s="32">
        <v>0.18</v>
      </c>
      <c r="CW66" s="32">
        <v>0.11</v>
      </c>
      <c r="CX66" s="32">
        <v>0.16</v>
      </c>
      <c r="CY66" s="32">
        <v>0.21</v>
      </c>
      <c r="CZ66" s="32">
        <v>0.05</v>
      </c>
      <c r="DA66" s="32">
        <v>0</v>
      </c>
      <c r="DB66" s="32">
        <v>0.19</v>
      </c>
      <c r="DC66" s="32">
        <v>0.35</v>
      </c>
      <c r="DD66" s="32">
        <v>0.14000000000000001</v>
      </c>
      <c r="DE66" s="32">
        <v>0.17</v>
      </c>
      <c r="DF66" s="32">
        <v>-0.13</v>
      </c>
      <c r="DG66" s="32">
        <v>0.18</v>
      </c>
      <c r="DH66" s="32">
        <v>0.2</v>
      </c>
      <c r="DI66" s="32">
        <v>0.24</v>
      </c>
      <c r="DJ66" s="32">
        <v>0.14000000000000001</v>
      </c>
      <c r="DK66" s="32">
        <v>0.24</v>
      </c>
      <c r="DL66" s="32">
        <v>0.17</v>
      </c>
      <c r="DM66" s="32">
        <v>0.21</v>
      </c>
      <c r="DN66" s="32">
        <v>-0.08</v>
      </c>
      <c r="DO66" s="32">
        <v>0.18</v>
      </c>
      <c r="DP66" s="32">
        <v>0.13</v>
      </c>
      <c r="DQ66" s="32">
        <v>0.1</v>
      </c>
      <c r="DR66" s="32">
        <v>0.08</v>
      </c>
      <c r="DS66" s="32">
        <v>0</v>
      </c>
      <c r="DT66" s="32">
        <v>-0.03</v>
      </c>
      <c r="DU66" s="32">
        <v>0.17</v>
      </c>
      <c r="DV66" s="32">
        <v>0.05</v>
      </c>
      <c r="DW66" s="32">
        <v>0.09</v>
      </c>
      <c r="DX66" s="32">
        <v>0.22</v>
      </c>
      <c r="DY66" s="32">
        <v>0.14000000000000001</v>
      </c>
      <c r="DZ66" s="32">
        <v>0.05</v>
      </c>
      <c r="EA66" s="32">
        <v>0.19</v>
      </c>
      <c r="EB66" s="32">
        <v>0.17</v>
      </c>
      <c r="EC66" s="32">
        <v>0.02</v>
      </c>
      <c r="ED66" s="32">
        <v>0.19</v>
      </c>
      <c r="EE66" s="32">
        <v>0.24</v>
      </c>
      <c r="EF66" s="32">
        <v>0.12</v>
      </c>
      <c r="EG66" s="32">
        <v>0.16</v>
      </c>
      <c r="EH66" s="32">
        <v>-0.06</v>
      </c>
      <c r="EI66" s="32">
        <v>0.16</v>
      </c>
      <c r="EJ66" s="32">
        <v>0.19</v>
      </c>
      <c r="EK66" s="32">
        <v>0.15</v>
      </c>
      <c r="EL66" s="32">
        <v>0.21</v>
      </c>
      <c r="EM66" s="32">
        <v>-0.06</v>
      </c>
      <c r="EN66" s="32">
        <v>7.0000000000000007E-2</v>
      </c>
      <c r="EO66" s="32">
        <v>-0.11</v>
      </c>
    </row>
    <row r="67" spans="1:145" x14ac:dyDescent="0.25">
      <c r="A67" s="31" t="s">
        <v>144</v>
      </c>
      <c r="B67" s="32">
        <v>0.08</v>
      </c>
      <c r="C67" s="32">
        <v>-0.01</v>
      </c>
      <c r="D67" s="32">
        <v>-0.05</v>
      </c>
      <c r="E67" s="32">
        <v>0.1</v>
      </c>
      <c r="F67" s="32">
        <v>0.11</v>
      </c>
      <c r="G67" s="32">
        <v>0.08</v>
      </c>
      <c r="H67" s="32">
        <v>0.13</v>
      </c>
      <c r="I67" s="32">
        <v>0.12</v>
      </c>
      <c r="J67" s="32">
        <v>0.17</v>
      </c>
      <c r="K67" s="32">
        <v>0.2</v>
      </c>
      <c r="L67" s="32">
        <v>0.09</v>
      </c>
      <c r="M67" s="32">
        <v>0.37</v>
      </c>
      <c r="N67" s="32">
        <v>0.2</v>
      </c>
      <c r="O67" s="32">
        <v>0.16</v>
      </c>
      <c r="P67" s="32">
        <v>-0.02</v>
      </c>
      <c r="Q67" s="32">
        <v>0.04</v>
      </c>
      <c r="R67" s="32">
        <v>0.13</v>
      </c>
      <c r="S67" s="32">
        <v>7.0000000000000007E-2</v>
      </c>
      <c r="T67" s="32">
        <v>0.31</v>
      </c>
      <c r="U67" s="32">
        <v>0.19</v>
      </c>
      <c r="V67" s="32">
        <v>0.15</v>
      </c>
      <c r="W67" s="32">
        <v>0.05</v>
      </c>
      <c r="X67" s="32">
        <v>0.33</v>
      </c>
      <c r="Y67" s="32">
        <v>0.02</v>
      </c>
      <c r="Z67" s="32">
        <v>0.18</v>
      </c>
      <c r="AA67" s="32">
        <v>0.12</v>
      </c>
      <c r="AB67" s="32">
        <v>0.01</v>
      </c>
      <c r="AC67" s="32">
        <v>-0.01</v>
      </c>
      <c r="AD67" s="32">
        <v>0.17</v>
      </c>
      <c r="AE67" s="32">
        <v>0.15</v>
      </c>
      <c r="AF67" s="32">
        <v>0.13</v>
      </c>
      <c r="AG67" s="32">
        <v>0.05</v>
      </c>
      <c r="AH67" s="32">
        <v>0.04</v>
      </c>
      <c r="AI67" s="32">
        <v>-0.05</v>
      </c>
      <c r="AJ67" s="32">
        <v>0.13</v>
      </c>
      <c r="AK67" s="32">
        <v>0.21</v>
      </c>
      <c r="AL67" s="32">
        <v>0.19</v>
      </c>
      <c r="AM67" s="32">
        <v>0.1</v>
      </c>
      <c r="AN67" s="32">
        <v>0.3</v>
      </c>
      <c r="AO67" s="32">
        <v>0.15</v>
      </c>
      <c r="AP67" s="32">
        <v>0.17</v>
      </c>
      <c r="AQ67" s="32">
        <v>-0.05</v>
      </c>
      <c r="AR67" s="32">
        <v>0.31</v>
      </c>
      <c r="AS67" s="32">
        <v>0.25</v>
      </c>
      <c r="AT67" s="32">
        <v>0.25</v>
      </c>
      <c r="AU67" s="32">
        <v>7.0000000000000007E-2</v>
      </c>
      <c r="AV67" s="32">
        <v>0.11</v>
      </c>
      <c r="AW67" s="32">
        <v>0.25</v>
      </c>
      <c r="AX67" s="32">
        <v>0.12</v>
      </c>
      <c r="AY67" s="32">
        <v>0.16</v>
      </c>
      <c r="AZ67" s="32">
        <v>0.17</v>
      </c>
      <c r="BA67" s="32">
        <v>0.35</v>
      </c>
      <c r="BB67" s="32">
        <v>0.36</v>
      </c>
      <c r="BC67" s="32">
        <v>0.05</v>
      </c>
      <c r="BD67" s="32">
        <v>0.24</v>
      </c>
      <c r="BE67" s="32">
        <v>0.17</v>
      </c>
      <c r="BF67" s="32">
        <v>0.23</v>
      </c>
      <c r="BG67" s="32">
        <v>0.28999999999999998</v>
      </c>
      <c r="BH67" s="32">
        <v>0.11</v>
      </c>
      <c r="BI67" s="32">
        <v>0.13</v>
      </c>
      <c r="BJ67" s="32">
        <v>0.03</v>
      </c>
      <c r="BK67" s="32">
        <v>0.1</v>
      </c>
      <c r="BL67" s="32">
        <v>1</v>
      </c>
      <c r="BM67" s="32">
        <v>0.2</v>
      </c>
      <c r="BN67" s="32">
        <v>0.11</v>
      </c>
      <c r="BO67" s="32">
        <v>0.17</v>
      </c>
      <c r="BP67" s="32">
        <v>0.03</v>
      </c>
      <c r="BQ67" s="32">
        <v>0.33</v>
      </c>
      <c r="BR67" s="32">
        <v>0.23</v>
      </c>
      <c r="BS67" s="32">
        <v>-0.02</v>
      </c>
      <c r="BT67" s="32">
        <v>0.35</v>
      </c>
      <c r="BU67" s="32">
        <v>0.14000000000000001</v>
      </c>
      <c r="BV67" s="32">
        <v>0.18</v>
      </c>
      <c r="BW67" s="32">
        <v>0.21</v>
      </c>
      <c r="BX67" s="32">
        <v>0.11</v>
      </c>
      <c r="BY67" s="32">
        <v>0.35</v>
      </c>
      <c r="BZ67" s="32">
        <v>0.36</v>
      </c>
      <c r="CA67" s="32">
        <v>0.06</v>
      </c>
      <c r="CB67" s="32">
        <v>-0.03</v>
      </c>
      <c r="CC67" s="32">
        <v>0.13</v>
      </c>
      <c r="CD67" s="32">
        <v>0.19</v>
      </c>
      <c r="CE67" s="32">
        <v>0.23</v>
      </c>
      <c r="CF67" s="32">
        <v>-0.03</v>
      </c>
      <c r="CG67" s="32">
        <v>0.22</v>
      </c>
      <c r="CH67" s="32">
        <v>0.44</v>
      </c>
      <c r="CI67" s="32">
        <v>-0.01</v>
      </c>
      <c r="CJ67" s="32">
        <v>0.02</v>
      </c>
      <c r="CK67" s="32">
        <v>0.16</v>
      </c>
      <c r="CL67" s="32">
        <v>0.28999999999999998</v>
      </c>
      <c r="CM67" s="32">
        <v>0.32</v>
      </c>
      <c r="CN67" s="32">
        <v>7.0000000000000007E-2</v>
      </c>
      <c r="CO67" s="32">
        <v>0.11</v>
      </c>
      <c r="CP67" s="32">
        <v>0.16</v>
      </c>
      <c r="CQ67" s="32">
        <v>0.33</v>
      </c>
      <c r="CR67" s="32">
        <v>0.4</v>
      </c>
      <c r="CS67" s="32">
        <v>0.38</v>
      </c>
      <c r="CT67" s="32">
        <v>0.24</v>
      </c>
      <c r="CU67" s="32">
        <v>0.26</v>
      </c>
      <c r="CV67" s="32">
        <v>0.11</v>
      </c>
      <c r="CW67" s="32">
        <v>0.19</v>
      </c>
      <c r="CX67" s="32">
        <v>0.32</v>
      </c>
      <c r="CY67" s="32">
        <v>0.34</v>
      </c>
      <c r="CZ67" s="32">
        <v>0.09</v>
      </c>
      <c r="DA67" s="32">
        <v>0.09</v>
      </c>
      <c r="DB67" s="32">
        <v>0.26</v>
      </c>
      <c r="DC67" s="32">
        <v>0.23</v>
      </c>
      <c r="DD67" s="32">
        <v>0.22</v>
      </c>
      <c r="DE67" s="32">
        <v>0.53</v>
      </c>
      <c r="DF67" s="32">
        <v>0.01</v>
      </c>
      <c r="DG67" s="32">
        <v>0.46</v>
      </c>
      <c r="DH67" s="32">
        <v>0.23</v>
      </c>
      <c r="DI67" s="32">
        <v>0.27</v>
      </c>
      <c r="DJ67" s="32">
        <v>0.37</v>
      </c>
      <c r="DK67" s="32">
        <v>0.36</v>
      </c>
      <c r="DL67" s="32">
        <v>0.28000000000000003</v>
      </c>
      <c r="DM67" s="32">
        <v>0.37</v>
      </c>
      <c r="DN67" s="32">
        <v>0.22</v>
      </c>
      <c r="DO67" s="32">
        <v>0.35</v>
      </c>
      <c r="DP67" s="32">
        <v>0.33</v>
      </c>
      <c r="DQ67" s="32">
        <v>0.27</v>
      </c>
      <c r="DR67" s="32">
        <v>0.44</v>
      </c>
      <c r="DS67" s="32">
        <v>0.02</v>
      </c>
      <c r="DT67" s="32">
        <v>0.2</v>
      </c>
      <c r="DU67" s="32">
        <v>0.24</v>
      </c>
      <c r="DV67" s="32">
        <v>7.0000000000000007E-2</v>
      </c>
      <c r="DW67" s="32">
        <v>0.11</v>
      </c>
      <c r="DX67" s="32">
        <v>0.36</v>
      </c>
      <c r="DY67" s="32">
        <v>0.2</v>
      </c>
      <c r="DZ67" s="32">
        <v>0.13</v>
      </c>
      <c r="EA67" s="32">
        <v>0.31</v>
      </c>
      <c r="EB67" s="32">
        <v>0.17</v>
      </c>
      <c r="EC67" s="32">
        <v>0.15</v>
      </c>
      <c r="ED67" s="32">
        <v>0.15</v>
      </c>
      <c r="EE67" s="32">
        <v>0.39</v>
      </c>
      <c r="EF67" s="32">
        <v>0.47</v>
      </c>
      <c r="EG67" s="32">
        <v>0.34</v>
      </c>
      <c r="EH67" s="32">
        <v>0.02</v>
      </c>
      <c r="EI67" s="32">
        <v>0.33</v>
      </c>
      <c r="EJ67" s="32">
        <v>0.15</v>
      </c>
      <c r="EK67" s="32">
        <v>0.3</v>
      </c>
      <c r="EL67" s="32">
        <v>0.35</v>
      </c>
      <c r="EM67" s="32">
        <v>0.09</v>
      </c>
      <c r="EN67" s="32">
        <v>0.12</v>
      </c>
      <c r="EO67" s="32">
        <v>0.15</v>
      </c>
    </row>
    <row r="68" spans="1:145" x14ac:dyDescent="0.25">
      <c r="A68" s="31" t="s">
        <v>145</v>
      </c>
      <c r="B68" s="32">
        <v>0.17</v>
      </c>
      <c r="C68" s="32">
        <v>0.03</v>
      </c>
      <c r="D68" s="32">
        <v>0.05</v>
      </c>
      <c r="E68" s="32">
        <v>0.22</v>
      </c>
      <c r="F68" s="32">
        <v>0.35</v>
      </c>
      <c r="G68" s="32">
        <v>-0.08</v>
      </c>
      <c r="H68" s="32">
        <v>0.05</v>
      </c>
      <c r="I68" s="32">
        <v>0.33</v>
      </c>
      <c r="J68" s="32">
        <v>0.2</v>
      </c>
      <c r="K68" s="32">
        <v>0.33</v>
      </c>
      <c r="L68" s="32">
        <v>0.13</v>
      </c>
      <c r="M68" s="32">
        <v>0.32</v>
      </c>
      <c r="N68" s="32">
        <v>0.24</v>
      </c>
      <c r="O68" s="32">
        <v>0.05</v>
      </c>
      <c r="P68" s="32">
        <v>0.41</v>
      </c>
      <c r="Q68" s="32">
        <v>0.01</v>
      </c>
      <c r="R68" s="32">
        <v>0.42</v>
      </c>
      <c r="S68" s="32">
        <v>0.11</v>
      </c>
      <c r="T68" s="32">
        <v>0.22</v>
      </c>
      <c r="U68" s="32">
        <v>0.16</v>
      </c>
      <c r="V68" s="32">
        <v>0.12</v>
      </c>
      <c r="W68" s="32">
        <v>0.08</v>
      </c>
      <c r="X68" s="32">
        <v>0.19</v>
      </c>
      <c r="Y68" s="32">
        <v>0.2</v>
      </c>
      <c r="Z68" s="32">
        <v>0.03</v>
      </c>
      <c r="AA68" s="32">
        <v>0.18</v>
      </c>
      <c r="AB68" s="32">
        <v>0.23</v>
      </c>
      <c r="AC68" s="32">
        <v>-0.03</v>
      </c>
      <c r="AD68" s="32">
        <v>0.02</v>
      </c>
      <c r="AE68" s="32">
        <v>0.03</v>
      </c>
      <c r="AF68" s="32">
        <v>0.01</v>
      </c>
      <c r="AG68" s="32">
        <v>0.3</v>
      </c>
      <c r="AH68" s="32">
        <v>0.33</v>
      </c>
      <c r="AI68" s="32">
        <v>0.1</v>
      </c>
      <c r="AJ68" s="32">
        <v>-0.09</v>
      </c>
      <c r="AK68" s="32">
        <v>0.04</v>
      </c>
      <c r="AL68" s="32">
        <v>0.24</v>
      </c>
      <c r="AM68" s="32">
        <v>7.0000000000000007E-2</v>
      </c>
      <c r="AN68" s="32">
        <v>0.43</v>
      </c>
      <c r="AO68" s="32">
        <v>0.21</v>
      </c>
      <c r="AP68" s="32">
        <v>0.28000000000000003</v>
      </c>
      <c r="AQ68" s="32">
        <v>0.05</v>
      </c>
      <c r="AR68" s="32">
        <v>0.22</v>
      </c>
      <c r="AS68" s="32">
        <v>0.04</v>
      </c>
      <c r="AT68" s="32">
        <v>0.26</v>
      </c>
      <c r="AU68" s="32">
        <v>0.35</v>
      </c>
      <c r="AV68" s="32">
        <v>0.12</v>
      </c>
      <c r="AW68" s="32">
        <v>0.02</v>
      </c>
      <c r="AX68" s="32">
        <v>0.28000000000000003</v>
      </c>
      <c r="AY68" s="32">
        <v>0.41</v>
      </c>
      <c r="AZ68" s="32">
        <v>0.1</v>
      </c>
      <c r="BA68" s="32">
        <v>0.28000000000000003</v>
      </c>
      <c r="BB68" s="32">
        <v>0.14000000000000001</v>
      </c>
      <c r="BC68" s="32">
        <v>-7.0000000000000007E-2</v>
      </c>
      <c r="BD68" s="32">
        <v>0</v>
      </c>
      <c r="BE68" s="32">
        <v>0.28000000000000003</v>
      </c>
      <c r="BF68" s="32">
        <v>0.01</v>
      </c>
      <c r="BG68" s="32">
        <v>0.18</v>
      </c>
      <c r="BH68" s="32">
        <v>0.12</v>
      </c>
      <c r="BI68" s="32">
        <v>0.09</v>
      </c>
      <c r="BJ68" s="32">
        <v>-0.11</v>
      </c>
      <c r="BK68" s="32">
        <v>0.05</v>
      </c>
      <c r="BL68" s="32">
        <v>0.2</v>
      </c>
      <c r="BM68" s="32">
        <v>1</v>
      </c>
      <c r="BN68" s="32">
        <v>0.17</v>
      </c>
      <c r="BO68" s="32">
        <v>0.13</v>
      </c>
      <c r="BP68" s="32">
        <v>0.12</v>
      </c>
      <c r="BQ68" s="32">
        <v>0.09</v>
      </c>
      <c r="BR68" s="32">
        <v>0.32</v>
      </c>
      <c r="BS68" s="32">
        <v>0.05</v>
      </c>
      <c r="BT68" s="32">
        <v>0.13</v>
      </c>
      <c r="BU68" s="32">
        <v>7.0000000000000007E-2</v>
      </c>
      <c r="BV68" s="32">
        <v>0.19</v>
      </c>
      <c r="BW68" s="32">
        <v>0.23</v>
      </c>
      <c r="BX68" s="32">
        <v>0.16</v>
      </c>
      <c r="BY68" s="32">
        <v>0.31</v>
      </c>
      <c r="BZ68" s="32">
        <v>0.17</v>
      </c>
      <c r="CA68" s="32">
        <v>0.02</v>
      </c>
      <c r="CB68" s="32">
        <v>0</v>
      </c>
      <c r="CC68" s="32">
        <v>0.15</v>
      </c>
      <c r="CD68" s="32">
        <v>0.25</v>
      </c>
      <c r="CE68" s="32">
        <v>0.13</v>
      </c>
      <c r="CF68" s="32">
        <v>0.04</v>
      </c>
      <c r="CG68" s="32">
        <v>0.28999999999999998</v>
      </c>
      <c r="CH68" s="32">
        <v>0.02</v>
      </c>
      <c r="CI68" s="32">
        <v>0.06</v>
      </c>
      <c r="CJ68" s="32">
        <v>0.19</v>
      </c>
      <c r="CK68" s="32">
        <v>0.4</v>
      </c>
      <c r="CL68" s="32">
        <v>0.27</v>
      </c>
      <c r="CM68" s="32">
        <v>0.03</v>
      </c>
      <c r="CN68" s="32">
        <v>-0.05</v>
      </c>
      <c r="CO68" s="32">
        <v>0.14000000000000001</v>
      </c>
      <c r="CP68" s="32">
        <v>0.14000000000000001</v>
      </c>
      <c r="CQ68" s="32">
        <v>0.33</v>
      </c>
      <c r="CR68" s="32">
        <v>0.06</v>
      </c>
      <c r="CS68" s="32">
        <v>0.09</v>
      </c>
      <c r="CT68" s="32">
        <v>0.17</v>
      </c>
      <c r="CU68" s="32">
        <v>0.1</v>
      </c>
      <c r="CV68" s="32">
        <v>0.12</v>
      </c>
      <c r="CW68" s="32">
        <v>0.19</v>
      </c>
      <c r="CX68" s="32">
        <v>0.13</v>
      </c>
      <c r="CY68" s="32">
        <v>0.28999999999999998</v>
      </c>
      <c r="CZ68" s="32">
        <v>0.15</v>
      </c>
      <c r="DA68" s="32">
        <v>0.22</v>
      </c>
      <c r="DB68" s="32">
        <v>7.0000000000000007E-2</v>
      </c>
      <c r="DC68" s="32">
        <v>0.12</v>
      </c>
      <c r="DD68" s="32">
        <v>0.21</v>
      </c>
      <c r="DE68" s="32">
        <v>0.08</v>
      </c>
      <c r="DF68" s="32">
        <v>0.15</v>
      </c>
      <c r="DG68" s="32">
        <v>0.01</v>
      </c>
      <c r="DH68" s="32">
        <v>0.03</v>
      </c>
      <c r="DI68" s="32">
        <v>0.28000000000000003</v>
      </c>
      <c r="DJ68" s="32">
        <v>0.32</v>
      </c>
      <c r="DK68" s="32">
        <v>0.3</v>
      </c>
      <c r="DL68" s="32">
        <v>-0.08</v>
      </c>
      <c r="DM68" s="32">
        <v>0.3</v>
      </c>
      <c r="DN68" s="32">
        <v>0.32</v>
      </c>
      <c r="DO68" s="32">
        <v>0.1</v>
      </c>
      <c r="DP68" s="32">
        <v>0.28000000000000003</v>
      </c>
      <c r="DQ68" s="32">
        <v>0.09</v>
      </c>
      <c r="DR68" s="32">
        <v>7.0000000000000007E-2</v>
      </c>
      <c r="DS68" s="32">
        <v>0.14000000000000001</v>
      </c>
      <c r="DT68" s="32">
        <v>-0.01</v>
      </c>
      <c r="DU68" s="32">
        <v>0.18</v>
      </c>
      <c r="DV68" s="32">
        <v>0.08</v>
      </c>
      <c r="DW68" s="32">
        <v>0.17</v>
      </c>
      <c r="DX68" s="32">
        <v>0</v>
      </c>
      <c r="DY68" s="32">
        <v>0.26</v>
      </c>
      <c r="DZ68" s="32">
        <v>0.03</v>
      </c>
      <c r="EA68" s="32">
        <v>7.0000000000000007E-2</v>
      </c>
      <c r="EB68" s="32">
        <v>0.26</v>
      </c>
      <c r="EC68" s="32">
        <v>-0.15</v>
      </c>
      <c r="ED68" s="32">
        <v>0.16</v>
      </c>
      <c r="EE68" s="32">
        <v>0</v>
      </c>
      <c r="EF68" s="32">
        <v>0.1</v>
      </c>
      <c r="EG68" s="32">
        <v>0</v>
      </c>
      <c r="EH68" s="32">
        <v>0.14000000000000001</v>
      </c>
      <c r="EI68" s="32">
        <v>-7.0000000000000007E-2</v>
      </c>
      <c r="EJ68" s="32">
        <v>0.13</v>
      </c>
      <c r="EK68" s="32">
        <v>0.12</v>
      </c>
      <c r="EL68" s="32">
        <v>7.0000000000000007E-2</v>
      </c>
      <c r="EM68" s="32">
        <v>7.0000000000000007E-2</v>
      </c>
      <c r="EN68" s="32">
        <v>0.12</v>
      </c>
      <c r="EO68" s="32">
        <v>0.18</v>
      </c>
    </row>
    <row r="69" spans="1:145" x14ac:dyDescent="0.25">
      <c r="A69" s="31" t="s">
        <v>146</v>
      </c>
      <c r="B69" s="32">
        <v>0.28000000000000003</v>
      </c>
      <c r="C69" s="32">
        <v>0.03</v>
      </c>
      <c r="D69" s="32">
        <v>-0.12</v>
      </c>
      <c r="E69" s="32">
        <v>0.08</v>
      </c>
      <c r="F69" s="32">
        <v>0.2</v>
      </c>
      <c r="G69" s="32">
        <v>0.01</v>
      </c>
      <c r="H69" s="32">
        <v>-0.08</v>
      </c>
      <c r="I69" s="32">
        <v>0.13</v>
      </c>
      <c r="J69" s="32">
        <v>0.21</v>
      </c>
      <c r="K69" s="32">
        <v>0.23</v>
      </c>
      <c r="L69" s="32">
        <v>0.1</v>
      </c>
      <c r="M69" s="32">
        <v>0.03</v>
      </c>
      <c r="N69" s="32">
        <v>7.0000000000000007E-2</v>
      </c>
      <c r="O69" s="32">
        <v>0.12</v>
      </c>
      <c r="P69" s="32">
        <v>0.25</v>
      </c>
      <c r="Q69" s="32">
        <v>0.03</v>
      </c>
      <c r="R69" s="32">
        <v>0.17</v>
      </c>
      <c r="S69" s="32">
        <v>0.11</v>
      </c>
      <c r="T69" s="32">
        <v>0.14000000000000001</v>
      </c>
      <c r="U69" s="32">
        <v>0.05</v>
      </c>
      <c r="V69" s="32">
        <v>0.01</v>
      </c>
      <c r="W69" s="32">
        <v>0.17</v>
      </c>
      <c r="X69" s="32">
        <v>0.2</v>
      </c>
      <c r="Y69" s="32">
        <v>0.21</v>
      </c>
      <c r="Z69" s="32">
        <v>0</v>
      </c>
      <c r="AA69" s="32">
        <v>0.01</v>
      </c>
      <c r="AB69" s="32">
        <v>0.2</v>
      </c>
      <c r="AC69" s="32">
        <v>-0.02</v>
      </c>
      <c r="AD69" s="32">
        <v>0.1</v>
      </c>
      <c r="AE69" s="32">
        <v>-0.05</v>
      </c>
      <c r="AF69" s="32">
        <v>0.01</v>
      </c>
      <c r="AG69" s="32">
        <v>0.23</v>
      </c>
      <c r="AH69" s="32">
        <v>0.2</v>
      </c>
      <c r="AI69" s="32">
        <v>0.13</v>
      </c>
      <c r="AJ69" s="32">
        <v>0.01</v>
      </c>
      <c r="AK69" s="32">
        <v>0.06</v>
      </c>
      <c r="AL69" s="32">
        <v>0.04</v>
      </c>
      <c r="AM69" s="32">
        <v>0.14000000000000001</v>
      </c>
      <c r="AN69" s="32">
        <v>0.13</v>
      </c>
      <c r="AO69" s="32">
        <v>0.21</v>
      </c>
      <c r="AP69" s="32">
        <v>0.14000000000000001</v>
      </c>
      <c r="AQ69" s="32">
        <v>0.11</v>
      </c>
      <c r="AR69" s="32">
        <v>0.17</v>
      </c>
      <c r="AS69" s="32">
        <v>-0.03</v>
      </c>
      <c r="AT69" s="32">
        <v>0.14000000000000001</v>
      </c>
      <c r="AU69" s="32">
        <v>0.2</v>
      </c>
      <c r="AV69" s="32">
        <v>0.04</v>
      </c>
      <c r="AW69" s="32">
        <v>0.05</v>
      </c>
      <c r="AX69" s="32">
        <v>0.14000000000000001</v>
      </c>
      <c r="AY69" s="32">
        <v>0.21</v>
      </c>
      <c r="AZ69" s="32">
        <v>-0.04</v>
      </c>
      <c r="BA69" s="32">
        <v>0.27</v>
      </c>
      <c r="BB69" s="32">
        <v>0.12</v>
      </c>
      <c r="BC69" s="32">
        <v>0.1</v>
      </c>
      <c r="BD69" s="32">
        <v>0.09</v>
      </c>
      <c r="BE69" s="32">
        <v>0.19</v>
      </c>
      <c r="BF69" s="32">
        <v>0.04</v>
      </c>
      <c r="BG69" s="32">
        <v>0.02</v>
      </c>
      <c r="BH69" s="32">
        <v>0.01</v>
      </c>
      <c r="BI69" s="32">
        <v>0.02</v>
      </c>
      <c r="BJ69" s="32">
        <v>-0.08</v>
      </c>
      <c r="BK69" s="32">
        <v>0.03</v>
      </c>
      <c r="BL69" s="32">
        <v>0.11</v>
      </c>
      <c r="BM69" s="32">
        <v>0.17</v>
      </c>
      <c r="BN69" s="32">
        <v>1</v>
      </c>
      <c r="BO69" s="32">
        <v>0.11</v>
      </c>
      <c r="BP69" s="32">
        <v>-0.03</v>
      </c>
      <c r="BQ69" s="32">
        <v>0.11</v>
      </c>
      <c r="BR69" s="32">
        <v>0</v>
      </c>
      <c r="BS69" s="32">
        <v>0.05</v>
      </c>
      <c r="BT69" s="32">
        <v>0.11</v>
      </c>
      <c r="BU69" s="32">
        <v>-0.01</v>
      </c>
      <c r="BV69" s="32">
        <v>0.05</v>
      </c>
      <c r="BW69" s="32">
        <v>0.12</v>
      </c>
      <c r="BX69" s="32">
        <v>0.09</v>
      </c>
      <c r="BY69" s="32">
        <v>0.04</v>
      </c>
      <c r="BZ69" s="32">
        <v>0.21</v>
      </c>
      <c r="CA69" s="32">
        <v>0</v>
      </c>
      <c r="CB69" s="32">
        <v>0.05</v>
      </c>
      <c r="CC69" s="32">
        <v>0.68</v>
      </c>
      <c r="CD69" s="32">
        <v>0.12</v>
      </c>
      <c r="CE69" s="32">
        <v>0.05</v>
      </c>
      <c r="CF69" s="32">
        <v>0.06</v>
      </c>
      <c r="CG69" s="32">
        <v>0.1</v>
      </c>
      <c r="CH69" s="32">
        <v>0.05</v>
      </c>
      <c r="CI69" s="32">
        <v>7.0000000000000007E-2</v>
      </c>
      <c r="CJ69" s="32">
        <v>0.14000000000000001</v>
      </c>
      <c r="CK69" s="32">
        <v>0.12</v>
      </c>
      <c r="CL69" s="32">
        <v>0.11</v>
      </c>
      <c r="CM69" s="32">
        <v>0.03</v>
      </c>
      <c r="CN69" s="32">
        <v>0.01</v>
      </c>
      <c r="CO69" s="32">
        <v>-0.02</v>
      </c>
      <c r="CP69" s="32">
        <v>0.04</v>
      </c>
      <c r="CQ69" s="32">
        <v>0.16</v>
      </c>
      <c r="CR69" s="32">
        <v>0.03</v>
      </c>
      <c r="CS69" s="32">
        <v>0.14000000000000001</v>
      </c>
      <c r="CT69" s="32">
        <v>0.14000000000000001</v>
      </c>
      <c r="CU69" s="32">
        <v>0.06</v>
      </c>
      <c r="CV69" s="32">
        <v>0.1</v>
      </c>
      <c r="CW69" s="32">
        <v>-0.05</v>
      </c>
      <c r="CX69" s="32">
        <v>0.1</v>
      </c>
      <c r="CY69" s="32">
        <v>0.14000000000000001</v>
      </c>
      <c r="CZ69" s="32">
        <v>-0.04</v>
      </c>
      <c r="DA69" s="32">
        <v>7.0000000000000007E-2</v>
      </c>
      <c r="DB69" s="32">
        <v>0.05</v>
      </c>
      <c r="DC69" s="32">
        <v>-0.04</v>
      </c>
      <c r="DD69" s="32">
        <v>0.1</v>
      </c>
      <c r="DE69" s="32">
        <v>-0.03</v>
      </c>
      <c r="DF69" s="32">
        <v>-0.08</v>
      </c>
      <c r="DG69" s="32">
        <v>0.03</v>
      </c>
      <c r="DH69" s="32">
        <v>-0.04</v>
      </c>
      <c r="DI69" s="32">
        <v>0.19</v>
      </c>
      <c r="DJ69" s="32">
        <v>0.11</v>
      </c>
      <c r="DK69" s="32">
        <v>0.17</v>
      </c>
      <c r="DL69" s="32">
        <v>-0.02</v>
      </c>
      <c r="DM69" s="32">
        <v>0.1</v>
      </c>
      <c r="DN69" s="32">
        <v>0.17</v>
      </c>
      <c r="DO69" s="32">
        <v>0.06</v>
      </c>
      <c r="DP69" s="32">
        <v>0.09</v>
      </c>
      <c r="DQ69" s="32">
        <v>0.14000000000000001</v>
      </c>
      <c r="DR69" s="32">
        <v>0.01</v>
      </c>
      <c r="DS69" s="32">
        <v>0.06</v>
      </c>
      <c r="DT69" s="32">
        <v>-0.06</v>
      </c>
      <c r="DU69" s="32">
        <v>0.02</v>
      </c>
      <c r="DV69" s="32">
        <v>-0.02</v>
      </c>
      <c r="DW69" s="32">
        <v>-0.09</v>
      </c>
      <c r="DX69" s="32">
        <v>0.05</v>
      </c>
      <c r="DY69" s="32">
        <v>-0.05</v>
      </c>
      <c r="DZ69" s="32">
        <v>-0.05</v>
      </c>
      <c r="EA69" s="32">
        <v>0.02</v>
      </c>
      <c r="EB69" s="32">
        <v>-0.04</v>
      </c>
      <c r="EC69" s="32">
        <v>-0.01</v>
      </c>
      <c r="ED69" s="32">
        <v>0.04</v>
      </c>
      <c r="EE69" s="32">
        <v>0.12</v>
      </c>
      <c r="EF69" s="32">
        <v>0.1</v>
      </c>
      <c r="EG69" s="32">
        <v>0.05</v>
      </c>
      <c r="EH69" s="32">
        <v>-0.04</v>
      </c>
      <c r="EI69" s="32">
        <v>0.03</v>
      </c>
      <c r="EJ69" s="32">
        <v>0.02</v>
      </c>
      <c r="EK69" s="32">
        <v>0.06</v>
      </c>
      <c r="EL69" s="32">
        <v>-0.02</v>
      </c>
      <c r="EM69" s="32">
        <v>0</v>
      </c>
      <c r="EN69" s="32">
        <v>0.02</v>
      </c>
      <c r="EO69" s="32">
        <v>0.05</v>
      </c>
    </row>
    <row r="70" spans="1:145" x14ac:dyDescent="0.25">
      <c r="A70" s="31" t="s">
        <v>147</v>
      </c>
      <c r="B70" s="32">
        <v>0.14000000000000001</v>
      </c>
      <c r="C70" s="32">
        <v>-0.02</v>
      </c>
      <c r="D70" s="32">
        <v>0.08</v>
      </c>
      <c r="E70" s="32">
        <v>0.08</v>
      </c>
      <c r="F70" s="32">
        <v>0.08</v>
      </c>
      <c r="G70" s="32">
        <v>7.0000000000000007E-2</v>
      </c>
      <c r="H70" s="32">
        <v>0.18</v>
      </c>
      <c r="I70" s="32">
        <v>0.2</v>
      </c>
      <c r="J70" s="32">
        <v>0.14000000000000001</v>
      </c>
      <c r="K70" s="32">
        <v>0.21</v>
      </c>
      <c r="L70" s="32">
        <v>0.09</v>
      </c>
      <c r="M70" s="32">
        <v>0.32</v>
      </c>
      <c r="N70" s="32">
        <v>0.18</v>
      </c>
      <c r="O70" s="32">
        <v>7.0000000000000007E-2</v>
      </c>
      <c r="P70" s="32">
        <v>0.15</v>
      </c>
      <c r="Q70" s="32">
        <v>7.0000000000000007E-2</v>
      </c>
      <c r="R70" s="32">
        <v>0.12</v>
      </c>
      <c r="S70" s="32">
        <v>0.13</v>
      </c>
      <c r="T70" s="32">
        <v>0.24</v>
      </c>
      <c r="U70" s="32">
        <v>0.16</v>
      </c>
      <c r="V70" s="32">
        <v>-0.04</v>
      </c>
      <c r="W70" s="32">
        <v>0.13</v>
      </c>
      <c r="X70" s="32">
        <v>0.26</v>
      </c>
      <c r="Y70" s="32">
        <v>0.2</v>
      </c>
      <c r="Z70" s="32">
        <v>0.05</v>
      </c>
      <c r="AA70" s="32">
        <v>0.06</v>
      </c>
      <c r="AB70" s="32">
        <v>0.18</v>
      </c>
      <c r="AC70" s="32">
        <v>0.04</v>
      </c>
      <c r="AD70" s="32">
        <v>7.0000000000000007E-2</v>
      </c>
      <c r="AE70" s="32">
        <v>0.14000000000000001</v>
      </c>
      <c r="AF70" s="32">
        <v>7.0000000000000007E-2</v>
      </c>
      <c r="AG70" s="32">
        <v>-0.03</v>
      </c>
      <c r="AH70" s="32">
        <v>0.03</v>
      </c>
      <c r="AI70" s="32">
        <v>-0.13</v>
      </c>
      <c r="AJ70" s="32">
        <v>0.01</v>
      </c>
      <c r="AK70" s="32">
        <v>0.11</v>
      </c>
      <c r="AL70" s="32">
        <v>0.23</v>
      </c>
      <c r="AM70" s="32">
        <v>0.16</v>
      </c>
      <c r="AN70" s="32">
        <v>0.27</v>
      </c>
      <c r="AO70" s="32">
        <v>0.06</v>
      </c>
      <c r="AP70" s="32">
        <v>0.27</v>
      </c>
      <c r="AQ70" s="32">
        <v>-0.17</v>
      </c>
      <c r="AR70" s="32">
        <v>0.21</v>
      </c>
      <c r="AS70" s="32">
        <v>0.19</v>
      </c>
      <c r="AT70" s="32">
        <v>0.34</v>
      </c>
      <c r="AU70" s="32">
        <v>0.12</v>
      </c>
      <c r="AV70" s="32">
        <v>0.16</v>
      </c>
      <c r="AW70" s="32">
        <v>0.09</v>
      </c>
      <c r="AX70" s="32">
        <v>0.25</v>
      </c>
      <c r="AY70" s="32">
        <v>0.14000000000000001</v>
      </c>
      <c r="AZ70" s="32">
        <v>0.09</v>
      </c>
      <c r="BA70" s="32">
        <v>0.25</v>
      </c>
      <c r="BB70" s="32">
        <v>0.27</v>
      </c>
      <c r="BC70" s="32">
        <v>0.14000000000000001</v>
      </c>
      <c r="BD70" s="32">
        <v>0.17</v>
      </c>
      <c r="BE70" s="32">
        <v>0.09</v>
      </c>
      <c r="BF70" s="32">
        <v>0.06</v>
      </c>
      <c r="BG70" s="32">
        <v>0.15</v>
      </c>
      <c r="BH70" s="32">
        <v>0.21</v>
      </c>
      <c r="BI70" s="32">
        <v>0.13</v>
      </c>
      <c r="BJ70" s="32">
        <v>-0.01</v>
      </c>
      <c r="BK70" s="32">
        <v>0.1</v>
      </c>
      <c r="BL70" s="32">
        <v>0.17</v>
      </c>
      <c r="BM70" s="32">
        <v>0.13</v>
      </c>
      <c r="BN70" s="32">
        <v>0.11</v>
      </c>
      <c r="BO70" s="32">
        <v>1</v>
      </c>
      <c r="BP70" s="32">
        <v>0.2</v>
      </c>
      <c r="BQ70" s="32">
        <v>0.2</v>
      </c>
      <c r="BR70" s="32">
        <v>0.22</v>
      </c>
      <c r="BS70" s="32">
        <v>-0.11</v>
      </c>
      <c r="BT70" s="32">
        <v>0.34</v>
      </c>
      <c r="BU70" s="32">
        <v>0.14000000000000001</v>
      </c>
      <c r="BV70" s="32">
        <v>0.57999999999999996</v>
      </c>
      <c r="BW70" s="32">
        <v>0.2</v>
      </c>
      <c r="BX70" s="32">
        <v>0.24</v>
      </c>
      <c r="BY70" s="32">
        <v>0.24</v>
      </c>
      <c r="BZ70" s="32">
        <v>0.28000000000000003</v>
      </c>
      <c r="CA70" s="32">
        <v>0.1</v>
      </c>
      <c r="CB70" s="32">
        <v>-0.02</v>
      </c>
      <c r="CC70" s="32">
        <v>0.09</v>
      </c>
      <c r="CD70" s="32">
        <v>0.32</v>
      </c>
      <c r="CE70" s="32">
        <v>0.17</v>
      </c>
      <c r="CF70" s="32">
        <v>-0.13</v>
      </c>
      <c r="CG70" s="32">
        <v>0.33</v>
      </c>
      <c r="CH70" s="32">
        <v>0.24</v>
      </c>
      <c r="CI70" s="32">
        <v>-0.15</v>
      </c>
      <c r="CJ70" s="32">
        <v>0.2</v>
      </c>
      <c r="CK70" s="32">
        <v>0.17</v>
      </c>
      <c r="CL70" s="32">
        <v>0.24</v>
      </c>
      <c r="CM70" s="32">
        <v>0.28000000000000003</v>
      </c>
      <c r="CN70" s="32">
        <v>-0.02</v>
      </c>
      <c r="CO70" s="32">
        <v>0.16</v>
      </c>
      <c r="CP70" s="32">
        <v>0.18</v>
      </c>
      <c r="CQ70" s="32">
        <v>0.35</v>
      </c>
      <c r="CR70" s="32">
        <v>0.34</v>
      </c>
      <c r="CS70" s="32">
        <v>0.32</v>
      </c>
      <c r="CT70" s="32">
        <v>0.33</v>
      </c>
      <c r="CU70" s="32">
        <v>0.38</v>
      </c>
      <c r="CV70" s="32">
        <v>0.31</v>
      </c>
      <c r="CW70" s="32">
        <v>0.3</v>
      </c>
      <c r="CX70" s="32">
        <v>0.33</v>
      </c>
      <c r="CY70" s="32">
        <v>0.35</v>
      </c>
      <c r="CZ70" s="32">
        <v>0.21</v>
      </c>
      <c r="DA70" s="32">
        <v>0.18</v>
      </c>
      <c r="DB70" s="32">
        <v>0.42</v>
      </c>
      <c r="DC70" s="32">
        <v>0.19</v>
      </c>
      <c r="DD70" s="32">
        <v>0.32</v>
      </c>
      <c r="DE70" s="32">
        <v>0.21</v>
      </c>
      <c r="DF70" s="32">
        <v>0.12</v>
      </c>
      <c r="DG70" s="32">
        <v>0.19</v>
      </c>
      <c r="DH70" s="32">
        <v>0.33</v>
      </c>
      <c r="DI70" s="32">
        <v>0.37</v>
      </c>
      <c r="DJ70" s="32">
        <v>0.33</v>
      </c>
      <c r="DK70" s="32">
        <v>0.34</v>
      </c>
      <c r="DL70" s="32">
        <v>0.08</v>
      </c>
      <c r="DM70" s="32">
        <v>0.35</v>
      </c>
      <c r="DN70" s="32">
        <v>0.21</v>
      </c>
      <c r="DO70" s="32">
        <v>0.28999999999999998</v>
      </c>
      <c r="DP70" s="32">
        <v>0.34</v>
      </c>
      <c r="DQ70" s="32">
        <v>0.28000000000000003</v>
      </c>
      <c r="DR70" s="32">
        <v>0.1</v>
      </c>
      <c r="DS70" s="32">
        <v>0.25</v>
      </c>
      <c r="DT70" s="32">
        <v>0.25</v>
      </c>
      <c r="DU70" s="32">
        <v>0.33</v>
      </c>
      <c r="DV70" s="32">
        <v>0.28000000000000003</v>
      </c>
      <c r="DW70" s="32">
        <v>0.28000000000000003</v>
      </c>
      <c r="DX70" s="32">
        <v>0.21</v>
      </c>
      <c r="DY70" s="32">
        <v>0.31</v>
      </c>
      <c r="DZ70" s="32">
        <v>0.17</v>
      </c>
      <c r="EA70" s="32">
        <v>0.19</v>
      </c>
      <c r="EB70" s="32">
        <v>0.3</v>
      </c>
      <c r="EC70" s="32">
        <v>-0.02</v>
      </c>
      <c r="ED70" s="32">
        <v>0.21</v>
      </c>
      <c r="EE70" s="32">
        <v>0.26</v>
      </c>
      <c r="EF70" s="32">
        <v>7.0000000000000007E-2</v>
      </c>
      <c r="EG70" s="32">
        <v>0.23</v>
      </c>
      <c r="EH70" s="32">
        <v>0.22</v>
      </c>
      <c r="EI70" s="32">
        <v>0.16</v>
      </c>
      <c r="EJ70" s="32">
        <v>0.24</v>
      </c>
      <c r="EK70" s="32">
        <v>0.21</v>
      </c>
      <c r="EL70" s="32">
        <v>0.2</v>
      </c>
      <c r="EM70" s="32">
        <v>0.15</v>
      </c>
      <c r="EN70" s="32">
        <v>0.14000000000000001</v>
      </c>
      <c r="EO70" s="32">
        <v>0.1</v>
      </c>
    </row>
    <row r="71" spans="1:145" x14ac:dyDescent="0.25">
      <c r="A71" s="31" t="s">
        <v>148</v>
      </c>
      <c r="B71" s="32">
        <v>0.12</v>
      </c>
      <c r="C71" s="32">
        <v>-7.0000000000000007E-2</v>
      </c>
      <c r="D71" s="32">
        <v>0.08</v>
      </c>
      <c r="E71" s="32">
        <v>7.0000000000000007E-2</v>
      </c>
      <c r="F71" s="32">
        <v>-0.01</v>
      </c>
      <c r="G71" s="32">
        <v>-0.03</v>
      </c>
      <c r="H71" s="32">
        <v>0.03</v>
      </c>
      <c r="I71" s="32">
        <v>0.11</v>
      </c>
      <c r="J71" s="32">
        <v>-0.14000000000000001</v>
      </c>
      <c r="K71" s="32">
        <v>-0.04</v>
      </c>
      <c r="L71" s="32">
        <v>0.18</v>
      </c>
      <c r="M71" s="32">
        <v>0.16</v>
      </c>
      <c r="N71" s="32">
        <v>7.0000000000000007E-2</v>
      </c>
      <c r="O71" s="32">
        <v>0.01</v>
      </c>
      <c r="P71" s="32">
        <v>0.06</v>
      </c>
      <c r="Q71" s="32">
        <v>-0.02</v>
      </c>
      <c r="R71" s="32">
        <v>0.01</v>
      </c>
      <c r="S71" s="32">
        <v>0.1</v>
      </c>
      <c r="T71" s="32">
        <v>0.15</v>
      </c>
      <c r="U71" s="32">
        <v>0.13</v>
      </c>
      <c r="V71" s="32">
        <v>0.03</v>
      </c>
      <c r="W71" s="32">
        <v>0.05</v>
      </c>
      <c r="X71" s="32">
        <v>0.12</v>
      </c>
      <c r="Y71" s="32">
        <v>0.25</v>
      </c>
      <c r="Z71" s="32">
        <v>0.02</v>
      </c>
      <c r="AA71" s="32">
        <v>0.09</v>
      </c>
      <c r="AB71" s="32">
        <v>0.31</v>
      </c>
      <c r="AC71" s="32">
        <v>7.0000000000000007E-2</v>
      </c>
      <c r="AD71" s="32">
        <v>-7.0000000000000007E-2</v>
      </c>
      <c r="AE71" s="32">
        <v>0.04</v>
      </c>
      <c r="AF71" s="32">
        <v>0.04</v>
      </c>
      <c r="AG71" s="32">
        <v>-0.05</v>
      </c>
      <c r="AH71" s="32">
        <v>-0.01</v>
      </c>
      <c r="AI71" s="32">
        <v>0</v>
      </c>
      <c r="AJ71" s="32">
        <v>7.0000000000000007E-2</v>
      </c>
      <c r="AK71" s="32">
        <v>-0.06</v>
      </c>
      <c r="AL71" s="32">
        <v>0.18</v>
      </c>
      <c r="AM71" s="32">
        <v>0.06</v>
      </c>
      <c r="AN71" s="32">
        <v>0.09</v>
      </c>
      <c r="AO71" s="32">
        <v>-0.05</v>
      </c>
      <c r="AP71" s="32">
        <v>0.16</v>
      </c>
      <c r="AQ71" s="32">
        <v>-7.0000000000000007E-2</v>
      </c>
      <c r="AR71" s="32">
        <v>0.16</v>
      </c>
      <c r="AS71" s="32">
        <v>0.05</v>
      </c>
      <c r="AT71" s="32">
        <v>0.27</v>
      </c>
      <c r="AU71" s="32">
        <v>-0.04</v>
      </c>
      <c r="AV71" s="32">
        <v>0.11</v>
      </c>
      <c r="AW71" s="32">
        <v>-0.02</v>
      </c>
      <c r="AX71" s="32">
        <v>0.08</v>
      </c>
      <c r="AY71" s="32">
        <v>0.14000000000000001</v>
      </c>
      <c r="AZ71" s="32">
        <v>0.04</v>
      </c>
      <c r="BA71" s="32">
        <v>0</v>
      </c>
      <c r="BB71" s="32">
        <v>0.23</v>
      </c>
      <c r="BC71" s="32">
        <v>0.12</v>
      </c>
      <c r="BD71" s="32">
        <v>0.09</v>
      </c>
      <c r="BE71" s="32">
        <v>-0.09</v>
      </c>
      <c r="BF71" s="32">
        <v>-0.02</v>
      </c>
      <c r="BG71" s="32">
        <v>0.21</v>
      </c>
      <c r="BH71" s="32">
        <v>0.15</v>
      </c>
      <c r="BI71" s="32">
        <v>0.06</v>
      </c>
      <c r="BJ71" s="32">
        <v>-0.02</v>
      </c>
      <c r="BK71" s="32">
        <v>0.04</v>
      </c>
      <c r="BL71" s="32">
        <v>0.03</v>
      </c>
      <c r="BM71" s="32">
        <v>0.12</v>
      </c>
      <c r="BN71" s="32">
        <v>-0.03</v>
      </c>
      <c r="BO71" s="32">
        <v>0.2</v>
      </c>
      <c r="BP71" s="32">
        <v>1</v>
      </c>
      <c r="BQ71" s="32">
        <v>0.06</v>
      </c>
      <c r="BR71" s="32">
        <v>0.21</v>
      </c>
      <c r="BS71" s="32">
        <v>-0.04</v>
      </c>
      <c r="BT71" s="32">
        <v>7.0000000000000007E-2</v>
      </c>
      <c r="BU71" s="32">
        <v>-0.03</v>
      </c>
      <c r="BV71" s="32">
        <v>0.42</v>
      </c>
      <c r="BW71" s="32">
        <v>0.36</v>
      </c>
      <c r="BX71" s="32">
        <v>-0.02</v>
      </c>
      <c r="BY71" s="32">
        <v>0.1</v>
      </c>
      <c r="BZ71" s="32">
        <v>0.28000000000000003</v>
      </c>
      <c r="CA71" s="32">
        <v>0</v>
      </c>
      <c r="CB71" s="32">
        <v>-0.05</v>
      </c>
      <c r="CC71" s="32">
        <v>7.0000000000000007E-2</v>
      </c>
      <c r="CD71" s="32">
        <v>0.3</v>
      </c>
      <c r="CE71" s="32">
        <v>0.08</v>
      </c>
      <c r="CF71" s="32">
        <v>-0.05</v>
      </c>
      <c r="CG71" s="32">
        <v>0.31</v>
      </c>
      <c r="CH71" s="32">
        <v>0.01</v>
      </c>
      <c r="CI71" s="32">
        <v>-0.02</v>
      </c>
      <c r="CJ71" s="32">
        <v>0.27</v>
      </c>
      <c r="CK71" s="32">
        <v>0.17</v>
      </c>
      <c r="CL71" s="32">
        <v>0.04</v>
      </c>
      <c r="CM71" s="32">
        <v>0.28000000000000003</v>
      </c>
      <c r="CN71" s="32">
        <v>0.03</v>
      </c>
      <c r="CO71" s="32">
        <v>0.09</v>
      </c>
      <c r="CP71" s="32">
        <v>0.17</v>
      </c>
      <c r="CQ71" s="32">
        <v>0.16</v>
      </c>
      <c r="CR71" s="32">
        <v>0.19</v>
      </c>
      <c r="CS71" s="32">
        <v>-0.1</v>
      </c>
      <c r="CT71" s="32">
        <v>0.27</v>
      </c>
      <c r="CU71" s="32">
        <v>0.14000000000000001</v>
      </c>
      <c r="CV71" s="32">
        <v>0.18</v>
      </c>
      <c r="CW71" s="32">
        <v>0.32</v>
      </c>
      <c r="CX71" s="32">
        <v>0.26</v>
      </c>
      <c r="CY71" s="32">
        <v>0.01</v>
      </c>
      <c r="CZ71" s="32">
        <v>0.4</v>
      </c>
      <c r="DA71" s="32">
        <v>0.32</v>
      </c>
      <c r="DB71" s="32">
        <v>0.25</v>
      </c>
      <c r="DC71" s="32">
        <v>0.05</v>
      </c>
      <c r="DD71" s="32">
        <v>0.34</v>
      </c>
      <c r="DE71" s="32">
        <v>0.09</v>
      </c>
      <c r="DF71" s="32">
        <v>0.48</v>
      </c>
      <c r="DG71" s="32">
        <v>0.13</v>
      </c>
      <c r="DH71" s="32">
        <v>0.24</v>
      </c>
      <c r="DI71" s="32">
        <v>0.18</v>
      </c>
      <c r="DJ71" s="32">
        <v>0.03</v>
      </c>
      <c r="DK71" s="32">
        <v>0.18</v>
      </c>
      <c r="DL71" s="32">
        <v>0.03</v>
      </c>
      <c r="DM71" s="32">
        <v>0.09</v>
      </c>
      <c r="DN71" s="32">
        <v>0.24</v>
      </c>
      <c r="DO71" s="32">
        <v>0.09</v>
      </c>
      <c r="DP71" s="32">
        <v>0.01</v>
      </c>
      <c r="DQ71" s="32">
        <v>0.16</v>
      </c>
      <c r="DR71" s="32">
        <v>0.09</v>
      </c>
      <c r="DS71" s="32">
        <v>0.31</v>
      </c>
      <c r="DT71" s="32">
        <v>0.47</v>
      </c>
      <c r="DU71" s="32">
        <v>0.42</v>
      </c>
      <c r="DV71" s="32">
        <v>0.45</v>
      </c>
      <c r="DW71" s="32">
        <v>0.34</v>
      </c>
      <c r="DX71" s="32">
        <v>0.02</v>
      </c>
      <c r="DY71" s="32">
        <v>0.39</v>
      </c>
      <c r="DZ71" s="32">
        <v>0.34</v>
      </c>
      <c r="EA71" s="32">
        <v>0.1</v>
      </c>
      <c r="EB71" s="32">
        <v>0.36</v>
      </c>
      <c r="EC71" s="32">
        <v>-0.03</v>
      </c>
      <c r="ED71" s="32">
        <v>0.19</v>
      </c>
      <c r="EE71" s="32">
        <v>0.17</v>
      </c>
      <c r="EF71" s="32">
        <v>7.0000000000000007E-2</v>
      </c>
      <c r="EG71" s="32">
        <v>0.04</v>
      </c>
      <c r="EH71" s="32">
        <v>0.27</v>
      </c>
      <c r="EI71" s="32">
        <v>0.05</v>
      </c>
      <c r="EJ71" s="32">
        <v>0.18</v>
      </c>
      <c r="EK71" s="32">
        <v>0.27</v>
      </c>
      <c r="EL71" s="32">
        <v>0.23</v>
      </c>
      <c r="EM71" s="32">
        <v>0.3</v>
      </c>
      <c r="EN71" s="32">
        <v>7.0000000000000007E-2</v>
      </c>
      <c r="EO71" s="32">
        <v>0.11</v>
      </c>
    </row>
    <row r="72" spans="1:145" x14ac:dyDescent="0.25">
      <c r="A72" s="31" t="s">
        <v>149</v>
      </c>
      <c r="B72" s="32">
        <v>-0.05</v>
      </c>
      <c r="C72" s="32">
        <v>0.19</v>
      </c>
      <c r="D72" s="32">
        <v>0.1</v>
      </c>
      <c r="E72" s="32">
        <v>0.15</v>
      </c>
      <c r="F72" s="32">
        <v>-0.04</v>
      </c>
      <c r="G72" s="32">
        <v>0.09</v>
      </c>
      <c r="H72" s="32">
        <v>0.27</v>
      </c>
      <c r="I72" s="32">
        <v>0.02</v>
      </c>
      <c r="J72" s="32">
        <v>-0.03</v>
      </c>
      <c r="K72" s="32">
        <v>0.1</v>
      </c>
      <c r="L72" s="32">
        <v>0.23</v>
      </c>
      <c r="M72" s="32">
        <v>0.33</v>
      </c>
      <c r="N72" s="32">
        <v>0.04</v>
      </c>
      <c r="O72" s="32">
        <v>0.35</v>
      </c>
      <c r="P72" s="32">
        <v>-0.01</v>
      </c>
      <c r="Q72" s="32">
        <v>0.11</v>
      </c>
      <c r="R72" s="32">
        <v>0.01</v>
      </c>
      <c r="S72" s="32">
        <v>0.3</v>
      </c>
      <c r="T72" s="32">
        <v>0.27</v>
      </c>
      <c r="U72" s="32">
        <v>0.34</v>
      </c>
      <c r="V72" s="32">
        <v>0.28000000000000003</v>
      </c>
      <c r="W72" s="32">
        <v>0.31</v>
      </c>
      <c r="X72" s="32">
        <v>0.31</v>
      </c>
      <c r="Y72" s="32">
        <v>0.04</v>
      </c>
      <c r="Z72" s="32">
        <v>0.37</v>
      </c>
      <c r="AA72" s="32">
        <v>0.26</v>
      </c>
      <c r="AB72" s="32">
        <v>-0.01</v>
      </c>
      <c r="AC72" s="32">
        <v>0.12</v>
      </c>
      <c r="AD72" s="32">
        <v>0.33</v>
      </c>
      <c r="AE72" s="32">
        <v>0.34</v>
      </c>
      <c r="AF72" s="32">
        <v>0.42</v>
      </c>
      <c r="AG72" s="32">
        <v>-0.05</v>
      </c>
      <c r="AH72" s="32">
        <v>-0.03</v>
      </c>
      <c r="AI72" s="32">
        <v>-0.14000000000000001</v>
      </c>
      <c r="AJ72" s="32">
        <v>0.17</v>
      </c>
      <c r="AK72" s="32">
        <v>0.39</v>
      </c>
      <c r="AL72" s="32">
        <v>0.09</v>
      </c>
      <c r="AM72" s="32">
        <v>0.28000000000000003</v>
      </c>
      <c r="AN72" s="32">
        <v>0.26</v>
      </c>
      <c r="AO72" s="32">
        <v>-7.0000000000000007E-2</v>
      </c>
      <c r="AP72" s="32">
        <v>0.16</v>
      </c>
      <c r="AQ72" s="32">
        <v>-0.15</v>
      </c>
      <c r="AR72" s="32">
        <v>0.25</v>
      </c>
      <c r="AS72" s="32">
        <v>0.28999999999999998</v>
      </c>
      <c r="AT72" s="32">
        <v>0.21</v>
      </c>
      <c r="AU72" s="32">
        <v>0.03</v>
      </c>
      <c r="AV72" s="32">
        <v>0.26</v>
      </c>
      <c r="AW72" s="32">
        <v>0.47</v>
      </c>
      <c r="AX72" s="32">
        <v>0.06</v>
      </c>
      <c r="AY72" s="32">
        <v>0.2</v>
      </c>
      <c r="AZ72" s="32">
        <v>0.33</v>
      </c>
      <c r="BA72" s="32">
        <v>0.34</v>
      </c>
      <c r="BB72" s="32">
        <v>0.31</v>
      </c>
      <c r="BC72" s="32">
        <v>0.21</v>
      </c>
      <c r="BD72" s="32">
        <v>0.36</v>
      </c>
      <c r="BE72" s="32">
        <v>0.13</v>
      </c>
      <c r="BF72" s="32">
        <v>0.25</v>
      </c>
      <c r="BG72" s="32">
        <v>0.03</v>
      </c>
      <c r="BH72" s="32">
        <v>0.22</v>
      </c>
      <c r="BI72" s="32">
        <v>0.14000000000000001</v>
      </c>
      <c r="BJ72" s="32">
        <v>0.02</v>
      </c>
      <c r="BK72" s="32">
        <v>0.32</v>
      </c>
      <c r="BL72" s="32">
        <v>0.33</v>
      </c>
      <c r="BM72" s="32">
        <v>0.09</v>
      </c>
      <c r="BN72" s="32">
        <v>0.11</v>
      </c>
      <c r="BO72" s="32">
        <v>0.2</v>
      </c>
      <c r="BP72" s="32">
        <v>0.06</v>
      </c>
      <c r="BQ72" s="32">
        <v>1</v>
      </c>
      <c r="BR72" s="32">
        <v>0.24</v>
      </c>
      <c r="BS72" s="32">
        <v>-0.18</v>
      </c>
      <c r="BT72" s="32">
        <v>0.32</v>
      </c>
      <c r="BU72" s="32">
        <v>0.28000000000000003</v>
      </c>
      <c r="BV72" s="32">
        <v>0.21</v>
      </c>
      <c r="BW72" s="32">
        <v>0.12</v>
      </c>
      <c r="BX72" s="32">
        <v>-0.01</v>
      </c>
      <c r="BY72" s="32">
        <v>0.21</v>
      </c>
      <c r="BZ72" s="32">
        <v>0.27</v>
      </c>
      <c r="CA72" s="32">
        <v>0.26</v>
      </c>
      <c r="CB72" s="32">
        <v>-0.13</v>
      </c>
      <c r="CC72" s="32">
        <v>0.11</v>
      </c>
      <c r="CD72" s="32">
        <v>0.15</v>
      </c>
      <c r="CE72" s="32">
        <v>0.19</v>
      </c>
      <c r="CF72" s="32">
        <v>-0.19</v>
      </c>
      <c r="CG72" s="32">
        <v>0.15</v>
      </c>
      <c r="CH72" s="32">
        <v>0.47</v>
      </c>
      <c r="CI72" s="32">
        <v>-0.18</v>
      </c>
      <c r="CJ72" s="32">
        <v>-0.04</v>
      </c>
      <c r="CK72" s="32">
        <v>0.12</v>
      </c>
      <c r="CL72" s="32">
        <v>0.28999999999999998</v>
      </c>
      <c r="CM72" s="32">
        <v>0.24</v>
      </c>
      <c r="CN72" s="32">
        <v>0.24</v>
      </c>
      <c r="CO72" s="32">
        <v>0.21</v>
      </c>
      <c r="CP72" s="32">
        <v>0.05</v>
      </c>
      <c r="CQ72" s="32">
        <v>0.31</v>
      </c>
      <c r="CR72" s="32">
        <v>0.31</v>
      </c>
      <c r="CS72" s="32">
        <v>0.41</v>
      </c>
      <c r="CT72" s="32">
        <v>0.26</v>
      </c>
      <c r="CU72" s="32">
        <v>0.16</v>
      </c>
      <c r="CV72" s="32">
        <v>0.17</v>
      </c>
      <c r="CW72" s="32">
        <v>0.19</v>
      </c>
      <c r="CX72" s="32">
        <v>0.33</v>
      </c>
      <c r="CY72" s="32">
        <v>0.23</v>
      </c>
      <c r="CZ72" s="32">
        <v>7.0000000000000007E-2</v>
      </c>
      <c r="DA72" s="32">
        <v>0.09</v>
      </c>
      <c r="DB72" s="32">
        <v>0.33</v>
      </c>
      <c r="DC72" s="32">
        <v>0.32</v>
      </c>
      <c r="DD72" s="32">
        <v>0.2</v>
      </c>
      <c r="DE72" s="32">
        <v>0.39</v>
      </c>
      <c r="DF72" s="32">
        <v>-0.12</v>
      </c>
      <c r="DG72" s="32">
        <v>0.4</v>
      </c>
      <c r="DH72" s="32">
        <v>0.23</v>
      </c>
      <c r="DI72" s="32">
        <v>0.26</v>
      </c>
      <c r="DJ72" s="32">
        <v>0.19</v>
      </c>
      <c r="DK72" s="32">
        <v>0.35</v>
      </c>
      <c r="DL72" s="32">
        <v>0.33</v>
      </c>
      <c r="DM72" s="32">
        <v>0.34</v>
      </c>
      <c r="DN72" s="32">
        <v>0.06</v>
      </c>
      <c r="DO72" s="32">
        <v>0.21</v>
      </c>
      <c r="DP72" s="32">
        <v>0.24</v>
      </c>
      <c r="DQ72" s="32">
        <v>0.27</v>
      </c>
      <c r="DR72" s="32">
        <v>0.21</v>
      </c>
      <c r="DS72" s="32">
        <v>-0.06</v>
      </c>
      <c r="DT72" s="32">
        <v>0.19</v>
      </c>
      <c r="DU72" s="32">
        <v>0.28000000000000003</v>
      </c>
      <c r="DV72" s="32">
        <v>0.05</v>
      </c>
      <c r="DW72" s="32">
        <v>0.12</v>
      </c>
      <c r="DX72" s="32">
        <v>0.33</v>
      </c>
      <c r="DY72" s="32">
        <v>0.2</v>
      </c>
      <c r="DZ72" s="32">
        <v>-0.01</v>
      </c>
      <c r="EA72" s="32">
        <v>0.18</v>
      </c>
      <c r="EB72" s="32">
        <v>0.15</v>
      </c>
      <c r="EC72" s="32">
        <v>0.17</v>
      </c>
      <c r="ED72" s="32">
        <v>0.25</v>
      </c>
      <c r="EE72" s="32">
        <v>0.3</v>
      </c>
      <c r="EF72" s="32">
        <v>0.26</v>
      </c>
      <c r="EG72" s="32">
        <v>0.26</v>
      </c>
      <c r="EH72" s="32">
        <v>0.02</v>
      </c>
      <c r="EI72" s="32">
        <v>0.26</v>
      </c>
      <c r="EJ72" s="32">
        <v>0.19</v>
      </c>
      <c r="EK72" s="32">
        <v>0.28000000000000003</v>
      </c>
      <c r="EL72" s="32">
        <v>0.32</v>
      </c>
      <c r="EM72" s="32">
        <v>0.13</v>
      </c>
      <c r="EN72" s="32">
        <v>0.06</v>
      </c>
      <c r="EO72" s="32">
        <v>-0.01</v>
      </c>
    </row>
    <row r="73" spans="1:145" x14ac:dyDescent="0.25">
      <c r="A73" s="31" t="s">
        <v>150</v>
      </c>
      <c r="B73" s="32">
        <v>0.22</v>
      </c>
      <c r="C73" s="32">
        <v>-7.0000000000000007E-2</v>
      </c>
      <c r="D73" s="32">
        <v>0.04</v>
      </c>
      <c r="E73" s="32">
        <v>7.0000000000000007E-2</v>
      </c>
      <c r="F73" s="32">
        <v>0.14000000000000001</v>
      </c>
      <c r="G73" s="32">
        <v>0</v>
      </c>
      <c r="H73" s="32">
        <v>0.12</v>
      </c>
      <c r="I73" s="32">
        <v>0.24</v>
      </c>
      <c r="J73" s="32">
        <v>0.09</v>
      </c>
      <c r="K73" s="32">
        <v>0.14000000000000001</v>
      </c>
      <c r="L73" s="32">
        <v>0.1</v>
      </c>
      <c r="M73" s="32">
        <v>0.35</v>
      </c>
      <c r="N73" s="32">
        <v>0.27</v>
      </c>
      <c r="O73" s="32">
        <v>0.05</v>
      </c>
      <c r="P73" s="32">
        <v>0.15</v>
      </c>
      <c r="Q73" s="32">
        <v>0.05</v>
      </c>
      <c r="R73" s="32">
        <v>0.21</v>
      </c>
      <c r="S73" s="32">
        <v>0.09</v>
      </c>
      <c r="T73" s="32">
        <v>0.38</v>
      </c>
      <c r="U73" s="32">
        <v>0.13</v>
      </c>
      <c r="V73" s="32">
        <v>0.09</v>
      </c>
      <c r="W73" s="32">
        <v>0.08</v>
      </c>
      <c r="X73" s="32">
        <v>0.31</v>
      </c>
      <c r="Y73" s="32">
        <v>0.18</v>
      </c>
      <c r="Z73" s="32">
        <v>0.03</v>
      </c>
      <c r="AA73" s="32">
        <v>0.19</v>
      </c>
      <c r="AB73" s="32">
        <v>0.24</v>
      </c>
      <c r="AC73" s="32">
        <v>-7.0000000000000007E-2</v>
      </c>
      <c r="AD73" s="32">
        <v>0.04</v>
      </c>
      <c r="AE73" s="32">
        <v>0.16</v>
      </c>
      <c r="AF73" s="32">
        <v>0.12</v>
      </c>
      <c r="AG73" s="32">
        <v>0.03</v>
      </c>
      <c r="AH73" s="32">
        <v>0.06</v>
      </c>
      <c r="AI73" s="32">
        <v>-0.05</v>
      </c>
      <c r="AJ73" s="32">
        <v>0.12</v>
      </c>
      <c r="AK73" s="32">
        <v>0.1</v>
      </c>
      <c r="AL73" s="32">
        <v>0.3</v>
      </c>
      <c r="AM73" s="32">
        <v>0.17</v>
      </c>
      <c r="AN73" s="32">
        <v>0.35</v>
      </c>
      <c r="AO73" s="32">
        <v>-0.01</v>
      </c>
      <c r="AP73" s="32">
        <v>0.41</v>
      </c>
      <c r="AQ73" s="32">
        <v>-0.05</v>
      </c>
      <c r="AR73" s="32">
        <v>0.31</v>
      </c>
      <c r="AS73" s="32">
        <v>0.13</v>
      </c>
      <c r="AT73" s="32">
        <v>0.36</v>
      </c>
      <c r="AU73" s="32">
        <v>0.13</v>
      </c>
      <c r="AV73" s="32">
        <v>0.16</v>
      </c>
      <c r="AW73" s="32">
        <v>0.13</v>
      </c>
      <c r="AX73" s="32">
        <v>0.21</v>
      </c>
      <c r="AY73" s="32">
        <v>0.36</v>
      </c>
      <c r="AZ73" s="32">
        <v>0.18</v>
      </c>
      <c r="BA73" s="32">
        <v>0.28999999999999998</v>
      </c>
      <c r="BB73" s="32">
        <v>0.41</v>
      </c>
      <c r="BC73" s="32">
        <v>0.16</v>
      </c>
      <c r="BD73" s="32">
        <v>0.1</v>
      </c>
      <c r="BE73" s="32">
        <v>0.11</v>
      </c>
      <c r="BF73" s="32">
        <v>0.19</v>
      </c>
      <c r="BG73" s="32">
        <v>0.34</v>
      </c>
      <c r="BH73" s="32">
        <v>0.08</v>
      </c>
      <c r="BI73" s="32">
        <v>0.18</v>
      </c>
      <c r="BJ73" s="32">
        <v>0.06</v>
      </c>
      <c r="BK73" s="32">
        <v>0.16</v>
      </c>
      <c r="BL73" s="32">
        <v>0.23</v>
      </c>
      <c r="BM73" s="32">
        <v>0.32</v>
      </c>
      <c r="BN73" s="32">
        <v>0</v>
      </c>
      <c r="BO73" s="32">
        <v>0.22</v>
      </c>
      <c r="BP73" s="32">
        <v>0.21</v>
      </c>
      <c r="BQ73" s="32">
        <v>0.24</v>
      </c>
      <c r="BR73" s="32">
        <v>1</v>
      </c>
      <c r="BS73" s="32">
        <v>0.04</v>
      </c>
      <c r="BT73" s="32">
        <v>0.31</v>
      </c>
      <c r="BU73" s="32">
        <v>0.15</v>
      </c>
      <c r="BV73" s="32">
        <v>0.24</v>
      </c>
      <c r="BW73" s="32">
        <v>0.63</v>
      </c>
      <c r="BX73" s="32">
        <v>0.21</v>
      </c>
      <c r="BY73" s="32">
        <v>0.31</v>
      </c>
      <c r="BZ73" s="32">
        <v>0.28000000000000003</v>
      </c>
      <c r="CA73" s="32">
        <v>0.04</v>
      </c>
      <c r="CB73" s="32">
        <v>-0.01</v>
      </c>
      <c r="CC73" s="32">
        <v>7.0000000000000007E-2</v>
      </c>
      <c r="CD73" s="32">
        <v>0.28000000000000003</v>
      </c>
      <c r="CE73" s="32">
        <v>0.19</v>
      </c>
      <c r="CF73" s="32">
        <v>0.04</v>
      </c>
      <c r="CG73" s="32">
        <v>0.41</v>
      </c>
      <c r="CH73" s="32">
        <v>0.15</v>
      </c>
      <c r="CI73" s="32">
        <v>0</v>
      </c>
      <c r="CJ73" s="32">
        <v>0.19</v>
      </c>
      <c r="CK73" s="32">
        <v>0.36</v>
      </c>
      <c r="CL73" s="32">
        <v>0.24</v>
      </c>
      <c r="CM73" s="32">
        <v>0.15</v>
      </c>
      <c r="CN73" s="32">
        <v>-0.05</v>
      </c>
      <c r="CO73" s="32">
        <v>0.15</v>
      </c>
      <c r="CP73" s="32">
        <v>0.25</v>
      </c>
      <c r="CQ73" s="32">
        <v>0.52</v>
      </c>
      <c r="CR73" s="32">
        <v>0.28999999999999998</v>
      </c>
      <c r="CS73" s="32">
        <v>0.24</v>
      </c>
      <c r="CT73" s="32">
        <v>0.3</v>
      </c>
      <c r="CU73" s="32">
        <v>0.28000000000000003</v>
      </c>
      <c r="CV73" s="32">
        <v>0.13</v>
      </c>
      <c r="CW73" s="32">
        <v>0.35</v>
      </c>
      <c r="CX73" s="32">
        <v>0.28999999999999998</v>
      </c>
      <c r="CY73" s="32">
        <v>0.34</v>
      </c>
      <c r="CZ73" s="32">
        <v>0.19</v>
      </c>
      <c r="DA73" s="32">
        <v>0.16</v>
      </c>
      <c r="DB73" s="32">
        <v>0.15</v>
      </c>
      <c r="DC73" s="32">
        <v>0.27</v>
      </c>
      <c r="DD73" s="32">
        <v>0.28000000000000003</v>
      </c>
      <c r="DE73" s="32">
        <v>0.2</v>
      </c>
      <c r="DF73" s="32">
        <v>0.12</v>
      </c>
      <c r="DG73" s="32">
        <v>0.2</v>
      </c>
      <c r="DH73" s="32">
        <v>0.19</v>
      </c>
      <c r="DI73" s="32">
        <v>0.46</v>
      </c>
      <c r="DJ73" s="32">
        <v>0.34</v>
      </c>
      <c r="DK73" s="32">
        <v>0.51</v>
      </c>
      <c r="DL73" s="32">
        <v>0.03</v>
      </c>
      <c r="DM73" s="32">
        <v>0.43</v>
      </c>
      <c r="DN73" s="32">
        <v>0.28000000000000003</v>
      </c>
      <c r="DO73" s="32">
        <v>0.18</v>
      </c>
      <c r="DP73" s="32">
        <v>0.37</v>
      </c>
      <c r="DQ73" s="32">
        <v>0.24</v>
      </c>
      <c r="DR73" s="32">
        <v>0.18</v>
      </c>
      <c r="DS73" s="32">
        <v>0.13</v>
      </c>
      <c r="DT73" s="32">
        <v>0.1</v>
      </c>
      <c r="DU73" s="32">
        <v>0.3</v>
      </c>
      <c r="DV73" s="32">
        <v>0.14000000000000001</v>
      </c>
      <c r="DW73" s="32">
        <v>0.28999999999999998</v>
      </c>
      <c r="DX73" s="32">
        <v>0.2</v>
      </c>
      <c r="DY73" s="32">
        <v>0.35</v>
      </c>
      <c r="DZ73" s="32">
        <v>0.19</v>
      </c>
      <c r="EA73" s="32">
        <v>0.19</v>
      </c>
      <c r="EB73" s="32">
        <v>0.33</v>
      </c>
      <c r="EC73" s="32">
        <v>-0.01</v>
      </c>
      <c r="ED73" s="32">
        <v>0.31</v>
      </c>
      <c r="EE73" s="32">
        <v>0.16</v>
      </c>
      <c r="EF73" s="32">
        <v>0.26</v>
      </c>
      <c r="EG73" s="32">
        <v>0.18</v>
      </c>
      <c r="EH73" s="32">
        <v>0.22</v>
      </c>
      <c r="EI73" s="32">
        <v>0.15</v>
      </c>
      <c r="EJ73" s="32">
        <v>0.17</v>
      </c>
      <c r="EK73" s="32">
        <v>0.24</v>
      </c>
      <c r="EL73" s="32">
        <v>0.28000000000000003</v>
      </c>
      <c r="EM73" s="32">
        <v>0.19</v>
      </c>
      <c r="EN73" s="32">
        <v>0.04</v>
      </c>
      <c r="EO73" s="32">
        <v>0.12</v>
      </c>
    </row>
    <row r="74" spans="1:145" x14ac:dyDescent="0.25">
      <c r="A74" s="31" t="s">
        <v>151</v>
      </c>
      <c r="B74" s="32">
        <v>0.02</v>
      </c>
      <c r="C74" s="32">
        <v>-0.03</v>
      </c>
      <c r="D74" s="32">
        <v>-0.06</v>
      </c>
      <c r="E74" s="32">
        <v>0.03</v>
      </c>
      <c r="F74" s="32">
        <v>0.14000000000000001</v>
      </c>
      <c r="G74" s="32">
        <v>0</v>
      </c>
      <c r="H74" s="32">
        <v>-0.1</v>
      </c>
      <c r="I74" s="32">
        <v>0.01</v>
      </c>
      <c r="J74" s="32">
        <v>0.11</v>
      </c>
      <c r="K74" s="32">
        <v>-0.06</v>
      </c>
      <c r="L74" s="32">
        <v>-7.0000000000000007E-2</v>
      </c>
      <c r="M74" s="32">
        <v>-0.09</v>
      </c>
      <c r="N74" s="32">
        <v>0.04</v>
      </c>
      <c r="O74" s="32">
        <v>-7.0000000000000007E-2</v>
      </c>
      <c r="P74" s="32">
        <v>0.17</v>
      </c>
      <c r="Q74" s="32">
        <v>-0.05</v>
      </c>
      <c r="R74" s="32">
        <v>0.14000000000000001</v>
      </c>
      <c r="S74" s="32">
        <v>-0.13</v>
      </c>
      <c r="T74" s="32">
        <v>-0.01</v>
      </c>
      <c r="U74" s="32">
        <v>-0.1</v>
      </c>
      <c r="V74" s="32">
        <v>-0.09</v>
      </c>
      <c r="W74" s="32">
        <v>-0.04</v>
      </c>
      <c r="X74" s="32">
        <v>-0.02</v>
      </c>
      <c r="Y74" s="32">
        <v>-0.02</v>
      </c>
      <c r="Z74" s="32">
        <v>-0.11</v>
      </c>
      <c r="AA74" s="32">
        <v>-0.14000000000000001</v>
      </c>
      <c r="AB74" s="32">
        <v>0</v>
      </c>
      <c r="AC74" s="32">
        <v>0.01</v>
      </c>
      <c r="AD74" s="32">
        <v>7.0000000000000007E-2</v>
      </c>
      <c r="AE74" s="32">
        <v>-0.23</v>
      </c>
      <c r="AF74" s="32">
        <v>-0.11</v>
      </c>
      <c r="AG74" s="32">
        <v>0.22</v>
      </c>
      <c r="AH74" s="32">
        <v>0.21</v>
      </c>
      <c r="AI74" s="32">
        <v>0.72</v>
      </c>
      <c r="AJ74" s="32">
        <v>-7.0000000000000007E-2</v>
      </c>
      <c r="AK74" s="32">
        <v>-0.15</v>
      </c>
      <c r="AL74" s="32">
        <v>-0.01</v>
      </c>
      <c r="AM74" s="32">
        <v>-0.12</v>
      </c>
      <c r="AN74" s="32">
        <v>-0.19</v>
      </c>
      <c r="AO74" s="32">
        <v>0.06</v>
      </c>
      <c r="AP74" s="32">
        <v>-7.0000000000000007E-2</v>
      </c>
      <c r="AQ74" s="32">
        <v>0.74</v>
      </c>
      <c r="AR74" s="32">
        <v>0.03</v>
      </c>
      <c r="AS74" s="32">
        <v>-0.15</v>
      </c>
      <c r="AT74" s="32">
        <v>-0.09</v>
      </c>
      <c r="AU74" s="32">
        <v>0.11</v>
      </c>
      <c r="AV74" s="32">
        <v>-0.03</v>
      </c>
      <c r="AW74" s="32">
        <v>-7.0000000000000007E-2</v>
      </c>
      <c r="AX74" s="32">
        <v>0.02</v>
      </c>
      <c r="AY74" s="32">
        <v>0</v>
      </c>
      <c r="AZ74" s="32">
        <v>-0.21</v>
      </c>
      <c r="BA74" s="32">
        <v>-0.03</v>
      </c>
      <c r="BB74" s="32">
        <v>-0.1</v>
      </c>
      <c r="BC74" s="32">
        <v>-0.05</v>
      </c>
      <c r="BD74" s="32">
        <v>-0.13</v>
      </c>
      <c r="BE74" s="32">
        <v>0.05</v>
      </c>
      <c r="BF74" s="32">
        <v>0</v>
      </c>
      <c r="BG74" s="32">
        <v>-0.04</v>
      </c>
      <c r="BH74" s="32">
        <v>-0.16</v>
      </c>
      <c r="BI74" s="32">
        <v>-0.04</v>
      </c>
      <c r="BJ74" s="32">
        <v>0.08</v>
      </c>
      <c r="BK74" s="32">
        <v>-0.12</v>
      </c>
      <c r="BL74" s="32">
        <v>-0.02</v>
      </c>
      <c r="BM74" s="32">
        <v>0.05</v>
      </c>
      <c r="BN74" s="32">
        <v>0.05</v>
      </c>
      <c r="BO74" s="32">
        <v>-0.11</v>
      </c>
      <c r="BP74" s="32">
        <v>-0.04</v>
      </c>
      <c r="BQ74" s="32">
        <v>-0.18</v>
      </c>
      <c r="BR74" s="32">
        <v>0.04</v>
      </c>
      <c r="BS74" s="32">
        <v>1</v>
      </c>
      <c r="BT74" s="32">
        <v>-0.23</v>
      </c>
      <c r="BU74" s="32">
        <v>-0.09</v>
      </c>
      <c r="BV74" s="32">
        <v>-0.03</v>
      </c>
      <c r="BW74" s="32">
        <v>0.03</v>
      </c>
      <c r="BX74" s="32">
        <v>0.01</v>
      </c>
      <c r="BY74" s="32">
        <v>-0.04</v>
      </c>
      <c r="BZ74" s="32">
        <v>-0.14000000000000001</v>
      </c>
      <c r="CA74" s="32">
        <v>-0.1</v>
      </c>
      <c r="CB74" s="32">
        <v>0.14000000000000001</v>
      </c>
      <c r="CC74" s="32">
        <v>-0.01</v>
      </c>
      <c r="CD74" s="32">
        <v>0.01</v>
      </c>
      <c r="CE74" s="32">
        <v>0.12</v>
      </c>
      <c r="CF74" s="32">
        <v>0.84</v>
      </c>
      <c r="CG74" s="32">
        <v>-0.08</v>
      </c>
      <c r="CH74" s="32">
        <v>-0.15</v>
      </c>
      <c r="CI74" s="32">
        <v>0.81</v>
      </c>
      <c r="CJ74" s="32">
        <v>0.11</v>
      </c>
      <c r="CK74" s="32">
        <v>0.05</v>
      </c>
      <c r="CL74" s="32">
        <v>-0.05</v>
      </c>
      <c r="CM74" s="32">
        <v>-0.05</v>
      </c>
      <c r="CN74" s="32">
        <v>0</v>
      </c>
      <c r="CO74" s="32">
        <v>-0.13</v>
      </c>
      <c r="CP74" s="32">
        <v>0.06</v>
      </c>
      <c r="CQ74" s="32">
        <v>-0.21</v>
      </c>
      <c r="CR74" s="32">
        <v>-7.0000000000000007E-2</v>
      </c>
      <c r="CS74" s="32">
        <v>0.02</v>
      </c>
      <c r="CT74" s="32">
        <v>-7.0000000000000007E-2</v>
      </c>
      <c r="CU74" s="32">
        <v>0.03</v>
      </c>
      <c r="CV74" s="32">
        <v>-0.12</v>
      </c>
      <c r="CW74" s="32">
        <v>-7.0000000000000007E-2</v>
      </c>
      <c r="CX74" s="32">
        <v>-0.1</v>
      </c>
      <c r="CY74" s="32">
        <v>-0.26</v>
      </c>
      <c r="CZ74" s="32">
        <v>0.08</v>
      </c>
      <c r="DA74" s="32">
        <v>0.01</v>
      </c>
      <c r="DB74" s="32">
        <v>-0.05</v>
      </c>
      <c r="DC74" s="32">
        <v>-0.28999999999999998</v>
      </c>
      <c r="DD74" s="32">
        <v>-0.06</v>
      </c>
      <c r="DE74" s="32">
        <v>-0.1</v>
      </c>
      <c r="DF74" s="32">
        <v>0.05</v>
      </c>
      <c r="DG74" s="32">
        <v>-0.08</v>
      </c>
      <c r="DH74" s="32">
        <v>0.01</v>
      </c>
      <c r="DI74" s="32">
        <v>-0.32</v>
      </c>
      <c r="DJ74" s="32">
        <v>-0.14000000000000001</v>
      </c>
      <c r="DK74" s="32">
        <v>-0.3</v>
      </c>
      <c r="DL74" s="32">
        <v>-0.2</v>
      </c>
      <c r="DM74" s="32">
        <v>-0.24</v>
      </c>
      <c r="DN74" s="32">
        <v>-0.04</v>
      </c>
      <c r="DO74" s="32">
        <v>0.03</v>
      </c>
      <c r="DP74" s="32">
        <v>-0.2</v>
      </c>
      <c r="DQ74" s="32">
        <v>0.05</v>
      </c>
      <c r="DR74" s="32">
        <v>0.06</v>
      </c>
      <c r="DS74" s="32">
        <v>0</v>
      </c>
      <c r="DT74" s="32">
        <v>-0.02</v>
      </c>
      <c r="DU74" s="32">
        <v>-0.13</v>
      </c>
      <c r="DV74" s="32">
        <v>-0.03</v>
      </c>
      <c r="DW74" s="32">
        <v>-0.13</v>
      </c>
      <c r="DX74" s="32">
        <v>-0.06</v>
      </c>
      <c r="DY74" s="32">
        <v>-0.15</v>
      </c>
      <c r="DZ74" s="32">
        <v>7.0000000000000007E-2</v>
      </c>
      <c r="EA74" s="32">
        <v>-0.17</v>
      </c>
      <c r="EB74" s="32">
        <v>-0.09</v>
      </c>
      <c r="EC74" s="32">
        <v>-0.08</v>
      </c>
      <c r="ED74" s="32">
        <v>-0.03</v>
      </c>
      <c r="EE74" s="32">
        <v>-0.05</v>
      </c>
      <c r="EF74" s="32">
        <v>0.02</v>
      </c>
      <c r="EG74" s="32">
        <v>-0.06</v>
      </c>
      <c r="EH74" s="32">
        <v>-0.05</v>
      </c>
      <c r="EI74" s="32">
        <v>-0.02</v>
      </c>
      <c r="EJ74" s="32">
        <v>0.02</v>
      </c>
      <c r="EK74" s="32">
        <v>0.08</v>
      </c>
      <c r="EL74" s="32">
        <v>-0.09</v>
      </c>
      <c r="EM74" s="32">
        <v>-0.02</v>
      </c>
      <c r="EN74" s="32">
        <v>-0.05</v>
      </c>
      <c r="EO74" s="32">
        <v>0</v>
      </c>
    </row>
    <row r="75" spans="1:145" x14ac:dyDescent="0.25">
      <c r="A75" s="31" t="s">
        <v>153</v>
      </c>
      <c r="B75" s="32">
        <v>0.18</v>
      </c>
      <c r="C75" s="32">
        <v>0.04</v>
      </c>
      <c r="D75" s="32">
        <v>0.05</v>
      </c>
      <c r="E75" s="32">
        <v>0.05</v>
      </c>
      <c r="F75" s="32">
        <v>0.08</v>
      </c>
      <c r="G75" s="32">
        <v>0.01</v>
      </c>
      <c r="H75" s="32">
        <v>0.19</v>
      </c>
      <c r="I75" s="32">
        <v>0.18</v>
      </c>
      <c r="J75" s="32">
        <v>0.2</v>
      </c>
      <c r="K75" s="32">
        <v>0.17</v>
      </c>
      <c r="L75" s="32">
        <v>0.13</v>
      </c>
      <c r="M75" s="32">
        <v>0.35</v>
      </c>
      <c r="N75" s="32">
        <v>0.2</v>
      </c>
      <c r="O75" s="32">
        <v>0.19</v>
      </c>
      <c r="P75" s="32">
        <v>0.02</v>
      </c>
      <c r="Q75" s="32">
        <v>0.02</v>
      </c>
      <c r="R75" s="32">
        <v>0.09</v>
      </c>
      <c r="S75" s="32">
        <v>0.17</v>
      </c>
      <c r="T75" s="32">
        <v>0.46</v>
      </c>
      <c r="U75" s="32">
        <v>0.2</v>
      </c>
      <c r="V75" s="32">
        <v>0.06</v>
      </c>
      <c r="W75" s="32">
        <v>0.06</v>
      </c>
      <c r="X75" s="32">
        <v>0.47</v>
      </c>
      <c r="Y75" s="32">
        <v>0.16</v>
      </c>
      <c r="Z75" s="32">
        <v>0.12</v>
      </c>
      <c r="AA75" s="32">
        <v>0.15</v>
      </c>
      <c r="AB75" s="32">
        <v>0.17</v>
      </c>
      <c r="AC75" s="32">
        <v>0.11</v>
      </c>
      <c r="AD75" s="32">
        <v>0.17</v>
      </c>
      <c r="AE75" s="32">
        <v>0.28999999999999998</v>
      </c>
      <c r="AF75" s="32">
        <v>0.19</v>
      </c>
      <c r="AG75" s="32">
        <v>-0.06</v>
      </c>
      <c r="AH75" s="32">
        <v>0</v>
      </c>
      <c r="AI75" s="32">
        <v>-0.22</v>
      </c>
      <c r="AJ75" s="32">
        <v>0.06</v>
      </c>
      <c r="AK75" s="32">
        <v>0.27</v>
      </c>
      <c r="AL75" s="32">
        <v>0.23</v>
      </c>
      <c r="AM75" s="32">
        <v>0.27</v>
      </c>
      <c r="AN75" s="32">
        <v>0.42</v>
      </c>
      <c r="AO75" s="32">
        <v>0.12</v>
      </c>
      <c r="AP75" s="32">
        <v>0.24</v>
      </c>
      <c r="AQ75" s="32">
        <v>-0.24</v>
      </c>
      <c r="AR75" s="32">
        <v>0.38</v>
      </c>
      <c r="AS75" s="32">
        <v>0.15</v>
      </c>
      <c r="AT75" s="32">
        <v>0.3</v>
      </c>
      <c r="AU75" s="32">
        <v>0.11</v>
      </c>
      <c r="AV75" s="32">
        <v>0.09</v>
      </c>
      <c r="AW75" s="32">
        <v>0.22</v>
      </c>
      <c r="AX75" s="32">
        <v>0.24</v>
      </c>
      <c r="AY75" s="32">
        <v>0.21</v>
      </c>
      <c r="AZ75" s="32">
        <v>0.23</v>
      </c>
      <c r="BA75" s="32">
        <v>0.33</v>
      </c>
      <c r="BB75" s="32">
        <v>0.51</v>
      </c>
      <c r="BC75" s="32">
        <v>0.2</v>
      </c>
      <c r="BD75" s="32">
        <v>0.15</v>
      </c>
      <c r="BE75" s="32">
        <v>0.23</v>
      </c>
      <c r="BF75" s="32">
        <v>0.22</v>
      </c>
      <c r="BG75" s="32">
        <v>0.22</v>
      </c>
      <c r="BH75" s="32">
        <v>0.22</v>
      </c>
      <c r="BI75" s="32">
        <v>0.12</v>
      </c>
      <c r="BJ75" s="32">
        <v>0.05</v>
      </c>
      <c r="BK75" s="32">
        <v>0.17</v>
      </c>
      <c r="BL75" s="32">
        <v>0.35</v>
      </c>
      <c r="BM75" s="32">
        <v>0.13</v>
      </c>
      <c r="BN75" s="32">
        <v>0.11</v>
      </c>
      <c r="BO75" s="32">
        <v>0.34</v>
      </c>
      <c r="BP75" s="32">
        <v>7.0000000000000007E-2</v>
      </c>
      <c r="BQ75" s="32">
        <v>0.32</v>
      </c>
      <c r="BR75" s="32">
        <v>0.31</v>
      </c>
      <c r="BS75" s="32">
        <v>-0.23</v>
      </c>
      <c r="BT75" s="32">
        <v>1</v>
      </c>
      <c r="BU75" s="32">
        <v>0.23</v>
      </c>
      <c r="BV75" s="32">
        <v>0.25</v>
      </c>
      <c r="BW75" s="32">
        <v>0.19</v>
      </c>
      <c r="BX75" s="32">
        <v>0.19</v>
      </c>
      <c r="BY75" s="32">
        <v>0.35</v>
      </c>
      <c r="BZ75" s="32">
        <v>0.49</v>
      </c>
      <c r="CA75" s="32">
        <v>0.15</v>
      </c>
      <c r="CB75" s="32">
        <v>-0.05</v>
      </c>
      <c r="CC75" s="32">
        <v>0.03</v>
      </c>
      <c r="CD75" s="32">
        <v>0.28000000000000003</v>
      </c>
      <c r="CE75" s="32">
        <v>0.14000000000000001</v>
      </c>
      <c r="CF75" s="32">
        <v>-0.28000000000000003</v>
      </c>
      <c r="CG75" s="32">
        <v>0.24</v>
      </c>
      <c r="CH75" s="32">
        <v>0.33</v>
      </c>
      <c r="CI75" s="32">
        <v>-0.26</v>
      </c>
      <c r="CJ75" s="32">
        <v>0.11</v>
      </c>
      <c r="CK75" s="32">
        <v>0.15</v>
      </c>
      <c r="CL75" s="32">
        <v>0.28999999999999998</v>
      </c>
      <c r="CM75" s="32">
        <v>0.3</v>
      </c>
      <c r="CN75" s="32">
        <v>0.08</v>
      </c>
      <c r="CO75" s="32">
        <v>7.0000000000000007E-2</v>
      </c>
      <c r="CP75" s="32">
        <v>0.05</v>
      </c>
      <c r="CQ75" s="32">
        <v>0.5</v>
      </c>
      <c r="CR75" s="32">
        <v>0.39</v>
      </c>
      <c r="CS75" s="32">
        <v>0.48</v>
      </c>
      <c r="CT75" s="32">
        <v>0.25</v>
      </c>
      <c r="CU75" s="32">
        <v>0.17</v>
      </c>
      <c r="CV75" s="32">
        <v>0.18</v>
      </c>
      <c r="CW75" s="32">
        <v>0.26</v>
      </c>
      <c r="CX75" s="32">
        <v>0.37</v>
      </c>
      <c r="CY75" s="32">
        <v>0.49</v>
      </c>
      <c r="CZ75" s="32">
        <v>0</v>
      </c>
      <c r="DA75" s="32">
        <v>0.13</v>
      </c>
      <c r="DB75" s="32">
        <v>0.24</v>
      </c>
      <c r="DC75" s="32">
        <v>0.31</v>
      </c>
      <c r="DD75" s="32">
        <v>0.3</v>
      </c>
      <c r="DE75" s="32">
        <v>0.31</v>
      </c>
      <c r="DF75" s="32">
        <v>-0.14000000000000001</v>
      </c>
      <c r="DG75" s="32">
        <v>0.28999999999999998</v>
      </c>
      <c r="DH75" s="32">
        <v>0.23</v>
      </c>
      <c r="DI75" s="32">
        <v>0.48</v>
      </c>
      <c r="DJ75" s="32">
        <v>0.43</v>
      </c>
      <c r="DK75" s="32">
        <v>0.54</v>
      </c>
      <c r="DL75" s="32">
        <v>0.17</v>
      </c>
      <c r="DM75" s="32">
        <v>0.53</v>
      </c>
      <c r="DN75" s="32">
        <v>0.16</v>
      </c>
      <c r="DO75" s="32">
        <v>0.25</v>
      </c>
      <c r="DP75" s="32">
        <v>0.5</v>
      </c>
      <c r="DQ75" s="32">
        <v>0.28999999999999998</v>
      </c>
      <c r="DR75" s="32">
        <v>0.2</v>
      </c>
      <c r="DS75" s="32">
        <v>0.13</v>
      </c>
      <c r="DT75" s="32">
        <v>0.15</v>
      </c>
      <c r="DU75" s="32">
        <v>0.36</v>
      </c>
      <c r="DV75" s="32">
        <v>0.14000000000000001</v>
      </c>
      <c r="DW75" s="32">
        <v>0.18</v>
      </c>
      <c r="DX75" s="32">
        <v>0.37</v>
      </c>
      <c r="DY75" s="32">
        <v>0.28999999999999998</v>
      </c>
      <c r="DZ75" s="32">
        <v>0.01</v>
      </c>
      <c r="EA75" s="32">
        <v>0.26</v>
      </c>
      <c r="EB75" s="32">
        <v>0.28999999999999998</v>
      </c>
      <c r="EC75" s="32">
        <v>7.0000000000000007E-2</v>
      </c>
      <c r="ED75" s="32">
        <v>0.22</v>
      </c>
      <c r="EE75" s="32">
        <v>0.31</v>
      </c>
      <c r="EF75" s="32">
        <v>0.3</v>
      </c>
      <c r="EG75" s="32">
        <v>0.25</v>
      </c>
      <c r="EH75" s="32">
        <v>0.1</v>
      </c>
      <c r="EI75" s="32">
        <v>0.27</v>
      </c>
      <c r="EJ75" s="32">
        <v>0.23</v>
      </c>
      <c r="EK75" s="32">
        <v>0.27</v>
      </c>
      <c r="EL75" s="32">
        <v>0.39</v>
      </c>
      <c r="EM75" s="32">
        <v>0.18</v>
      </c>
      <c r="EN75" s="32">
        <v>0.06</v>
      </c>
      <c r="EO75" s="32">
        <v>0.12</v>
      </c>
    </row>
    <row r="76" spans="1:145" x14ac:dyDescent="0.25">
      <c r="A76" s="31" t="s">
        <v>154</v>
      </c>
      <c r="B76" s="32">
        <v>-7.0000000000000007E-2</v>
      </c>
      <c r="C76" s="32">
        <v>0.06</v>
      </c>
      <c r="D76" s="32">
        <v>0.1</v>
      </c>
      <c r="E76" s="32">
        <v>0.17</v>
      </c>
      <c r="F76" s="32">
        <v>-0.06</v>
      </c>
      <c r="G76" s="32">
        <v>-0.01</v>
      </c>
      <c r="H76" s="32">
        <v>0.18</v>
      </c>
      <c r="I76" s="32">
        <v>-0.06</v>
      </c>
      <c r="J76" s="32">
        <v>0.03</v>
      </c>
      <c r="K76" s="32">
        <v>-0.04</v>
      </c>
      <c r="L76" s="32">
        <v>0.08</v>
      </c>
      <c r="M76" s="32">
        <v>0.13</v>
      </c>
      <c r="N76" s="32">
        <v>0.04</v>
      </c>
      <c r="O76" s="32">
        <v>0.18</v>
      </c>
      <c r="P76" s="32">
        <v>0.04</v>
      </c>
      <c r="Q76" s="32">
        <v>-0.02</v>
      </c>
      <c r="R76" s="32">
        <v>0.01</v>
      </c>
      <c r="S76" s="32">
        <v>0.2</v>
      </c>
      <c r="T76" s="32">
        <v>0.17</v>
      </c>
      <c r="U76" s="32">
        <v>0.28999999999999998</v>
      </c>
      <c r="V76" s="32">
        <v>0.11</v>
      </c>
      <c r="W76" s="32">
        <v>0.14000000000000001</v>
      </c>
      <c r="X76" s="32">
        <v>0.18</v>
      </c>
      <c r="Y76" s="32">
        <v>-0.02</v>
      </c>
      <c r="Z76" s="32">
        <v>0.28000000000000003</v>
      </c>
      <c r="AA76" s="32">
        <v>0.12</v>
      </c>
      <c r="AB76" s="32">
        <v>-0.02</v>
      </c>
      <c r="AC76" s="32">
        <v>0.08</v>
      </c>
      <c r="AD76" s="32">
        <v>0.2</v>
      </c>
      <c r="AE76" s="32">
        <v>0.27</v>
      </c>
      <c r="AF76" s="32">
        <v>0.26</v>
      </c>
      <c r="AG76" s="32">
        <v>-0.04</v>
      </c>
      <c r="AH76" s="32">
        <v>-0.09</v>
      </c>
      <c r="AI76" s="32">
        <v>-0.11</v>
      </c>
      <c r="AJ76" s="32">
        <v>0.16</v>
      </c>
      <c r="AK76" s="32">
        <v>0.37</v>
      </c>
      <c r="AL76" s="32">
        <v>0.08</v>
      </c>
      <c r="AM76" s="32">
        <v>0.28999999999999998</v>
      </c>
      <c r="AN76" s="32">
        <v>0.14000000000000001</v>
      </c>
      <c r="AO76" s="32">
        <v>-0.11</v>
      </c>
      <c r="AP76" s="32">
        <v>0.1</v>
      </c>
      <c r="AQ76" s="32">
        <v>-0.06</v>
      </c>
      <c r="AR76" s="32">
        <v>0.22</v>
      </c>
      <c r="AS76" s="32">
        <v>0.27</v>
      </c>
      <c r="AT76" s="32">
        <v>0.08</v>
      </c>
      <c r="AU76" s="32">
        <v>-0.01</v>
      </c>
      <c r="AV76" s="32">
        <v>0.09</v>
      </c>
      <c r="AW76" s="32">
        <v>0.28999999999999998</v>
      </c>
      <c r="AX76" s="32">
        <v>0.01</v>
      </c>
      <c r="AY76" s="32">
        <v>0.06</v>
      </c>
      <c r="AZ76" s="32">
        <v>0.24</v>
      </c>
      <c r="BA76" s="32">
        <v>0.17</v>
      </c>
      <c r="BB76" s="32">
        <v>0.19</v>
      </c>
      <c r="BC76" s="32">
        <v>0.14000000000000001</v>
      </c>
      <c r="BD76" s="32">
        <v>0.35</v>
      </c>
      <c r="BE76" s="32">
        <v>0.05</v>
      </c>
      <c r="BF76" s="32">
        <v>0.2</v>
      </c>
      <c r="BG76" s="32">
        <v>7.0000000000000007E-2</v>
      </c>
      <c r="BH76" s="32">
        <v>0.28000000000000003</v>
      </c>
      <c r="BI76" s="32">
        <v>0.08</v>
      </c>
      <c r="BJ76" s="32">
        <v>0.01</v>
      </c>
      <c r="BK76" s="32">
        <v>0.22</v>
      </c>
      <c r="BL76" s="32">
        <v>0.14000000000000001</v>
      </c>
      <c r="BM76" s="32">
        <v>7.0000000000000007E-2</v>
      </c>
      <c r="BN76" s="32">
        <v>-0.01</v>
      </c>
      <c r="BO76" s="32">
        <v>0.14000000000000001</v>
      </c>
      <c r="BP76" s="32">
        <v>-0.03</v>
      </c>
      <c r="BQ76" s="32">
        <v>0.28000000000000003</v>
      </c>
      <c r="BR76" s="32">
        <v>0.15</v>
      </c>
      <c r="BS76" s="32">
        <v>-0.09</v>
      </c>
      <c r="BT76" s="32">
        <v>0.23</v>
      </c>
      <c r="BU76" s="32">
        <v>1</v>
      </c>
      <c r="BV76" s="32">
        <v>0.11</v>
      </c>
      <c r="BW76" s="32">
        <v>0.08</v>
      </c>
      <c r="BX76" s="32">
        <v>0.08</v>
      </c>
      <c r="BY76" s="32">
        <v>0.12</v>
      </c>
      <c r="BZ76" s="32">
        <v>0.15</v>
      </c>
      <c r="CA76" s="32">
        <v>0.12</v>
      </c>
      <c r="CB76" s="32">
        <v>-0.01</v>
      </c>
      <c r="CC76" s="32">
        <v>-0.01</v>
      </c>
      <c r="CD76" s="32">
        <v>0.08</v>
      </c>
      <c r="CE76" s="32">
        <v>0.11</v>
      </c>
      <c r="CF76" s="32">
        <v>-0.12</v>
      </c>
      <c r="CG76" s="32">
        <v>0.16</v>
      </c>
      <c r="CH76" s="32">
        <v>0.25</v>
      </c>
      <c r="CI76" s="32">
        <v>-0.11</v>
      </c>
      <c r="CJ76" s="32">
        <v>-0.03</v>
      </c>
      <c r="CK76" s="32">
        <v>0.11</v>
      </c>
      <c r="CL76" s="32">
        <v>0.13</v>
      </c>
      <c r="CM76" s="32">
        <v>0.18</v>
      </c>
      <c r="CN76" s="32">
        <v>0.21</v>
      </c>
      <c r="CO76" s="32">
        <v>-0.01</v>
      </c>
      <c r="CP76" s="32">
        <v>-0.06</v>
      </c>
      <c r="CQ76" s="32">
        <v>0.15</v>
      </c>
      <c r="CR76" s="32">
        <v>0.09</v>
      </c>
      <c r="CS76" s="32">
        <v>0.15</v>
      </c>
      <c r="CT76" s="32">
        <v>0.06</v>
      </c>
      <c r="CU76" s="32">
        <v>0.15</v>
      </c>
      <c r="CV76" s="32">
        <v>0.1</v>
      </c>
      <c r="CW76" s="32">
        <v>0.13</v>
      </c>
      <c r="CX76" s="32">
        <v>0.18</v>
      </c>
      <c r="CY76" s="32">
        <v>0.14000000000000001</v>
      </c>
      <c r="CZ76" s="32">
        <v>0.16</v>
      </c>
      <c r="DA76" s="32">
        <v>-0.02</v>
      </c>
      <c r="DB76" s="32">
        <v>0.12</v>
      </c>
      <c r="DC76" s="32">
        <v>0.23</v>
      </c>
      <c r="DD76" s="32">
        <v>0.14000000000000001</v>
      </c>
      <c r="DE76" s="32">
        <v>0.24</v>
      </c>
      <c r="DF76" s="32">
        <v>0.02</v>
      </c>
      <c r="DG76" s="32">
        <v>0.2</v>
      </c>
      <c r="DH76" s="32">
        <v>0.11</v>
      </c>
      <c r="DI76" s="32">
        <v>0.13</v>
      </c>
      <c r="DJ76" s="32">
        <v>0.14000000000000001</v>
      </c>
      <c r="DK76" s="32">
        <v>0.14000000000000001</v>
      </c>
      <c r="DL76" s="32">
        <v>0.27</v>
      </c>
      <c r="DM76" s="32">
        <v>0.21</v>
      </c>
      <c r="DN76" s="32">
        <v>0.05</v>
      </c>
      <c r="DO76" s="32">
        <v>0.01</v>
      </c>
      <c r="DP76" s="32">
        <v>0.11</v>
      </c>
      <c r="DQ76" s="32">
        <v>0.2</v>
      </c>
      <c r="DR76" s="32">
        <v>0.18</v>
      </c>
      <c r="DS76" s="32">
        <v>-0.01</v>
      </c>
      <c r="DT76" s="32">
        <v>0.09</v>
      </c>
      <c r="DU76" s="32">
        <v>0.19</v>
      </c>
      <c r="DV76" s="32">
        <v>0.11</v>
      </c>
      <c r="DW76" s="32">
        <v>0.14000000000000001</v>
      </c>
      <c r="DX76" s="32">
        <v>0.14000000000000001</v>
      </c>
      <c r="DY76" s="32">
        <v>0.1</v>
      </c>
      <c r="DZ76" s="32">
        <v>0.04</v>
      </c>
      <c r="EA76" s="32">
        <v>0.09</v>
      </c>
      <c r="EB76" s="32">
        <v>0.15</v>
      </c>
      <c r="EC76" s="32">
        <v>0.09</v>
      </c>
      <c r="ED76" s="32">
        <v>0.14000000000000001</v>
      </c>
      <c r="EE76" s="32">
        <v>7.0000000000000007E-2</v>
      </c>
      <c r="EF76" s="32">
        <v>0.04</v>
      </c>
      <c r="EG76" s="32">
        <v>0.03</v>
      </c>
      <c r="EH76" s="32">
        <v>-0.06</v>
      </c>
      <c r="EI76" s="32">
        <v>0.06</v>
      </c>
      <c r="EJ76" s="32">
        <v>0.12</v>
      </c>
      <c r="EK76" s="32">
        <v>0.01</v>
      </c>
      <c r="EL76" s="32">
        <v>0.1</v>
      </c>
      <c r="EM76" s="32">
        <v>0.08</v>
      </c>
      <c r="EN76" s="32">
        <v>0.1</v>
      </c>
      <c r="EO76" s="32">
        <v>0.06</v>
      </c>
    </row>
    <row r="77" spans="1:145" x14ac:dyDescent="0.25">
      <c r="A77" s="31" t="s">
        <v>155</v>
      </c>
      <c r="B77" s="32">
        <v>0.13</v>
      </c>
      <c r="C77" s="32">
        <v>-0.02</v>
      </c>
      <c r="D77" s="32">
        <v>0.04</v>
      </c>
      <c r="E77" s="32">
        <v>-0.03</v>
      </c>
      <c r="F77" s="32">
        <v>0.02</v>
      </c>
      <c r="G77" s="32">
        <v>0.02</v>
      </c>
      <c r="H77" s="32">
        <v>0.06</v>
      </c>
      <c r="I77" s="32">
        <v>0.14000000000000001</v>
      </c>
      <c r="J77" s="32">
        <v>-0.02</v>
      </c>
      <c r="K77" s="32">
        <v>0.14000000000000001</v>
      </c>
      <c r="L77" s="32">
        <v>0.12</v>
      </c>
      <c r="M77" s="32">
        <v>0.33</v>
      </c>
      <c r="N77" s="32">
        <v>0.16</v>
      </c>
      <c r="O77" s="32">
        <v>0.11</v>
      </c>
      <c r="P77" s="32">
        <v>0.11</v>
      </c>
      <c r="Q77" s="32">
        <v>0.02</v>
      </c>
      <c r="R77" s="32">
        <v>0.04</v>
      </c>
      <c r="S77" s="32">
        <v>7.0000000000000007E-2</v>
      </c>
      <c r="T77" s="32">
        <v>0.25</v>
      </c>
      <c r="U77" s="32">
        <v>0.17</v>
      </c>
      <c r="V77" s="32">
        <v>0.05</v>
      </c>
      <c r="W77" s="32">
        <v>0.02</v>
      </c>
      <c r="X77" s="32">
        <v>0.23</v>
      </c>
      <c r="Y77" s="32">
        <v>0.24</v>
      </c>
      <c r="Z77" s="32">
        <v>0.01</v>
      </c>
      <c r="AA77" s="32">
        <v>0.03</v>
      </c>
      <c r="AB77" s="32">
        <v>0.27</v>
      </c>
      <c r="AC77" s="32">
        <v>0.01</v>
      </c>
      <c r="AD77" s="32">
        <v>0.11</v>
      </c>
      <c r="AE77" s="32">
        <v>0.11</v>
      </c>
      <c r="AF77" s="32">
        <v>0.02</v>
      </c>
      <c r="AG77" s="32">
        <v>0.01</v>
      </c>
      <c r="AH77" s="32">
        <v>0.03</v>
      </c>
      <c r="AI77" s="32">
        <v>-0.05</v>
      </c>
      <c r="AJ77" s="32">
        <v>0.02</v>
      </c>
      <c r="AK77" s="32">
        <v>0.05</v>
      </c>
      <c r="AL77" s="32">
        <v>0.16</v>
      </c>
      <c r="AM77" s="32">
        <v>0.09</v>
      </c>
      <c r="AN77" s="32">
        <v>0.31</v>
      </c>
      <c r="AO77" s="32">
        <v>-0.09</v>
      </c>
      <c r="AP77" s="32">
        <v>0.23</v>
      </c>
      <c r="AQ77" s="32">
        <v>-0.17</v>
      </c>
      <c r="AR77" s="32">
        <v>0.25</v>
      </c>
      <c r="AS77" s="32">
        <v>7.0000000000000007E-2</v>
      </c>
      <c r="AT77" s="32">
        <v>0.31</v>
      </c>
      <c r="AU77" s="32">
        <v>0.01</v>
      </c>
      <c r="AV77" s="32">
        <v>0.08</v>
      </c>
      <c r="AW77" s="32">
        <v>7.0000000000000007E-2</v>
      </c>
      <c r="AX77" s="32">
        <v>0.14000000000000001</v>
      </c>
      <c r="AY77" s="32">
        <v>0.2</v>
      </c>
      <c r="AZ77" s="32">
        <v>0.1</v>
      </c>
      <c r="BA77" s="32">
        <v>0.18</v>
      </c>
      <c r="BB77" s="32">
        <v>0.26</v>
      </c>
      <c r="BC77" s="32">
        <v>0</v>
      </c>
      <c r="BD77" s="32">
        <v>0.12</v>
      </c>
      <c r="BE77" s="32">
        <v>7.0000000000000007E-2</v>
      </c>
      <c r="BF77" s="32">
        <v>0.01</v>
      </c>
      <c r="BG77" s="32">
        <v>0.2</v>
      </c>
      <c r="BH77" s="32">
        <v>0.14000000000000001</v>
      </c>
      <c r="BI77" s="32">
        <v>0.18</v>
      </c>
      <c r="BJ77" s="32">
        <v>0.04</v>
      </c>
      <c r="BK77" s="32">
        <v>0.06</v>
      </c>
      <c r="BL77" s="32">
        <v>0.18</v>
      </c>
      <c r="BM77" s="32">
        <v>0.19</v>
      </c>
      <c r="BN77" s="32">
        <v>0.05</v>
      </c>
      <c r="BO77" s="32">
        <v>0.57999999999999996</v>
      </c>
      <c r="BP77" s="32">
        <v>0.42</v>
      </c>
      <c r="BQ77" s="32">
        <v>0.21</v>
      </c>
      <c r="BR77" s="32">
        <v>0.24</v>
      </c>
      <c r="BS77" s="32">
        <v>-0.03</v>
      </c>
      <c r="BT77" s="32">
        <v>0.25</v>
      </c>
      <c r="BU77" s="32">
        <v>0.11</v>
      </c>
      <c r="BV77" s="32">
        <v>1</v>
      </c>
      <c r="BW77" s="32">
        <v>0.19</v>
      </c>
      <c r="BX77" s="32">
        <v>0.09</v>
      </c>
      <c r="BY77" s="32">
        <v>0.3</v>
      </c>
      <c r="BZ77" s="32">
        <v>0.28000000000000003</v>
      </c>
      <c r="CA77" s="32">
        <v>0.11</v>
      </c>
      <c r="CB77" s="32">
        <v>-0.04</v>
      </c>
      <c r="CC77" s="32">
        <v>0.06</v>
      </c>
      <c r="CD77" s="32">
        <v>0.32</v>
      </c>
      <c r="CE77" s="32">
        <v>0.2</v>
      </c>
      <c r="CF77" s="32">
        <v>-7.0000000000000007E-2</v>
      </c>
      <c r="CG77" s="32">
        <v>0.38</v>
      </c>
      <c r="CH77" s="32">
        <v>0.12</v>
      </c>
      <c r="CI77" s="32">
        <v>-0.08</v>
      </c>
      <c r="CJ77" s="32">
        <v>0.25</v>
      </c>
      <c r="CK77" s="32">
        <v>0.21</v>
      </c>
      <c r="CL77" s="32">
        <v>0.22</v>
      </c>
      <c r="CM77" s="32">
        <v>0.28000000000000003</v>
      </c>
      <c r="CN77" s="32">
        <v>0.01</v>
      </c>
      <c r="CO77" s="32">
        <v>0.11</v>
      </c>
      <c r="CP77" s="32">
        <v>0.11</v>
      </c>
      <c r="CQ77" s="32">
        <v>0.31</v>
      </c>
      <c r="CR77" s="32">
        <v>0.31</v>
      </c>
      <c r="CS77" s="32">
        <v>0.16</v>
      </c>
      <c r="CT77" s="32">
        <v>0.36</v>
      </c>
      <c r="CU77" s="32">
        <v>0.31</v>
      </c>
      <c r="CV77" s="32">
        <v>0.4</v>
      </c>
      <c r="CW77" s="32">
        <v>0.35</v>
      </c>
      <c r="CX77" s="32">
        <v>0.31</v>
      </c>
      <c r="CY77" s="32">
        <v>0.27</v>
      </c>
      <c r="CZ77" s="32">
        <v>0.28000000000000003</v>
      </c>
      <c r="DA77" s="32">
        <v>0.27</v>
      </c>
      <c r="DB77" s="32">
        <v>0.38</v>
      </c>
      <c r="DC77" s="32">
        <v>0.18</v>
      </c>
      <c r="DD77" s="32">
        <v>0.39</v>
      </c>
      <c r="DE77" s="32">
        <v>0.19</v>
      </c>
      <c r="DF77" s="32">
        <v>0.17</v>
      </c>
      <c r="DG77" s="32">
        <v>0.16</v>
      </c>
      <c r="DH77" s="32">
        <v>0.26</v>
      </c>
      <c r="DI77" s="32">
        <v>0.31</v>
      </c>
      <c r="DJ77" s="32">
        <v>0.25</v>
      </c>
      <c r="DK77" s="32">
        <v>0.31</v>
      </c>
      <c r="DL77" s="32">
        <v>7.0000000000000007E-2</v>
      </c>
      <c r="DM77" s="32">
        <v>0.32</v>
      </c>
      <c r="DN77" s="32">
        <v>0.23</v>
      </c>
      <c r="DO77" s="32">
        <v>0.24</v>
      </c>
      <c r="DP77" s="32">
        <v>0.3</v>
      </c>
      <c r="DQ77" s="32">
        <v>0.33</v>
      </c>
      <c r="DR77" s="32">
        <v>0.14000000000000001</v>
      </c>
      <c r="DS77" s="32">
        <v>0.26</v>
      </c>
      <c r="DT77" s="32">
        <v>0.28000000000000003</v>
      </c>
      <c r="DU77" s="32">
        <v>0.35</v>
      </c>
      <c r="DV77" s="32">
        <v>0.28000000000000003</v>
      </c>
      <c r="DW77" s="32">
        <v>0.27</v>
      </c>
      <c r="DX77" s="32">
        <v>0.22</v>
      </c>
      <c r="DY77" s="32">
        <v>0.45</v>
      </c>
      <c r="DZ77" s="32">
        <v>0.22</v>
      </c>
      <c r="EA77" s="32">
        <v>0.12</v>
      </c>
      <c r="EB77" s="32">
        <v>0.38</v>
      </c>
      <c r="EC77" s="32">
        <v>-0.04</v>
      </c>
      <c r="ED77" s="32">
        <v>0.15</v>
      </c>
      <c r="EE77" s="32">
        <v>0.26</v>
      </c>
      <c r="EF77" s="32">
        <v>0.11</v>
      </c>
      <c r="EG77" s="32">
        <v>0.2</v>
      </c>
      <c r="EH77" s="32">
        <v>0.26</v>
      </c>
      <c r="EI77" s="32">
        <v>0.17</v>
      </c>
      <c r="EJ77" s="32">
        <v>0.19</v>
      </c>
      <c r="EK77" s="32">
        <v>0.24</v>
      </c>
      <c r="EL77" s="32">
        <v>0.21</v>
      </c>
      <c r="EM77" s="32">
        <v>0.18</v>
      </c>
      <c r="EN77" s="32">
        <v>0.15</v>
      </c>
      <c r="EO77" s="32">
        <v>0.17</v>
      </c>
    </row>
    <row r="78" spans="1:145" x14ac:dyDescent="0.25">
      <c r="A78" s="31" t="s">
        <v>156</v>
      </c>
      <c r="B78" s="32">
        <v>0.16</v>
      </c>
      <c r="C78" s="32">
        <v>-0.04</v>
      </c>
      <c r="D78" s="32">
        <v>0.03</v>
      </c>
      <c r="E78" s="32">
        <v>0.13</v>
      </c>
      <c r="F78" s="32">
        <v>0.16</v>
      </c>
      <c r="G78" s="32">
        <v>0.09</v>
      </c>
      <c r="H78" s="32">
        <v>0.1</v>
      </c>
      <c r="I78" s="32">
        <v>0.19</v>
      </c>
      <c r="J78" s="32">
        <v>0.15</v>
      </c>
      <c r="K78" s="32">
        <v>0.1</v>
      </c>
      <c r="L78" s="32">
        <v>0.15</v>
      </c>
      <c r="M78" s="32">
        <v>0.27</v>
      </c>
      <c r="N78" s="32">
        <v>0.2</v>
      </c>
      <c r="O78" s="32">
        <v>0.03</v>
      </c>
      <c r="P78" s="32">
        <v>0.17</v>
      </c>
      <c r="Q78" s="32">
        <v>0.04</v>
      </c>
      <c r="R78" s="32">
        <v>0.23</v>
      </c>
      <c r="S78" s="32">
        <v>0.1</v>
      </c>
      <c r="T78" s="32">
        <v>0.22</v>
      </c>
      <c r="U78" s="32">
        <v>0.14000000000000001</v>
      </c>
      <c r="V78" s="32">
        <v>0.04</v>
      </c>
      <c r="W78" s="32">
        <v>0.12</v>
      </c>
      <c r="X78" s="32">
        <v>0.17</v>
      </c>
      <c r="Y78" s="32">
        <v>0.2</v>
      </c>
      <c r="Z78" s="32">
        <v>0.08</v>
      </c>
      <c r="AA78" s="32">
        <v>0.16</v>
      </c>
      <c r="AB78" s="32">
        <v>0.2</v>
      </c>
      <c r="AC78" s="32">
        <v>0.01</v>
      </c>
      <c r="AD78" s="32">
        <v>0.06</v>
      </c>
      <c r="AE78" s="32">
        <v>0.15</v>
      </c>
      <c r="AF78" s="32">
        <v>0.17</v>
      </c>
      <c r="AG78" s="32">
        <v>-0.06</v>
      </c>
      <c r="AH78" s="32">
        <v>0.06</v>
      </c>
      <c r="AI78" s="32">
        <v>0.03</v>
      </c>
      <c r="AJ78" s="32">
        <v>0.05</v>
      </c>
      <c r="AK78" s="32">
        <v>0.09</v>
      </c>
      <c r="AL78" s="32">
        <v>0.23</v>
      </c>
      <c r="AM78" s="32">
        <v>0.17</v>
      </c>
      <c r="AN78" s="32">
        <v>0.22</v>
      </c>
      <c r="AO78" s="32">
        <v>7.0000000000000007E-2</v>
      </c>
      <c r="AP78" s="32">
        <v>0.22</v>
      </c>
      <c r="AQ78" s="32">
        <v>0</v>
      </c>
      <c r="AR78" s="32">
        <v>0.16</v>
      </c>
      <c r="AS78" s="32">
        <v>0.28999999999999998</v>
      </c>
      <c r="AT78" s="32">
        <v>0.28999999999999998</v>
      </c>
      <c r="AU78" s="32">
        <v>0.14000000000000001</v>
      </c>
      <c r="AV78" s="32">
        <v>0.16</v>
      </c>
      <c r="AW78" s="32">
        <v>0.19</v>
      </c>
      <c r="AX78" s="32">
        <v>0.19</v>
      </c>
      <c r="AY78" s="32">
        <v>0.27</v>
      </c>
      <c r="AZ78" s="32">
        <v>0.09</v>
      </c>
      <c r="BA78" s="32">
        <v>0.24</v>
      </c>
      <c r="BB78" s="32">
        <v>0.25</v>
      </c>
      <c r="BC78" s="32">
        <v>0.22</v>
      </c>
      <c r="BD78" s="32">
        <v>0.18</v>
      </c>
      <c r="BE78" s="32">
        <v>0.15</v>
      </c>
      <c r="BF78" s="32">
        <v>0.15</v>
      </c>
      <c r="BG78" s="32">
        <v>0.37</v>
      </c>
      <c r="BH78" s="32">
        <v>0.17</v>
      </c>
      <c r="BI78" s="32">
        <v>0.23</v>
      </c>
      <c r="BJ78" s="32">
        <v>0.01</v>
      </c>
      <c r="BK78" s="32">
        <v>0.06</v>
      </c>
      <c r="BL78" s="32">
        <v>0.21</v>
      </c>
      <c r="BM78" s="32">
        <v>0.23</v>
      </c>
      <c r="BN78" s="32">
        <v>0.12</v>
      </c>
      <c r="BO78" s="32">
        <v>0.2</v>
      </c>
      <c r="BP78" s="32">
        <v>0.36</v>
      </c>
      <c r="BQ78" s="32">
        <v>0.12</v>
      </c>
      <c r="BR78" s="32">
        <v>0.63</v>
      </c>
      <c r="BS78" s="32">
        <v>0.03</v>
      </c>
      <c r="BT78" s="32">
        <v>0.19</v>
      </c>
      <c r="BU78" s="32">
        <v>0.08</v>
      </c>
      <c r="BV78" s="32">
        <v>0.19</v>
      </c>
      <c r="BW78" s="32">
        <v>1</v>
      </c>
      <c r="BX78" s="32">
        <v>0.18</v>
      </c>
      <c r="BY78" s="32">
        <v>0.24</v>
      </c>
      <c r="BZ78" s="32">
        <v>0.18</v>
      </c>
      <c r="CA78" s="32">
        <v>0.08</v>
      </c>
      <c r="CB78" s="32">
        <v>0.04</v>
      </c>
      <c r="CC78" s="32">
        <v>0.14000000000000001</v>
      </c>
      <c r="CD78" s="32">
        <v>0.28000000000000003</v>
      </c>
      <c r="CE78" s="32">
        <v>0.12</v>
      </c>
      <c r="CF78" s="32">
        <v>7.0000000000000007E-2</v>
      </c>
      <c r="CG78" s="32">
        <v>0.27</v>
      </c>
      <c r="CH78" s="32">
        <v>0.11</v>
      </c>
      <c r="CI78" s="32">
        <v>0.01</v>
      </c>
      <c r="CJ78" s="32">
        <v>0.2</v>
      </c>
      <c r="CK78" s="32">
        <v>0.28000000000000003</v>
      </c>
      <c r="CL78" s="32">
        <v>0.18</v>
      </c>
      <c r="CM78" s="32">
        <v>0.11</v>
      </c>
      <c r="CN78" s="32">
        <v>-0.06</v>
      </c>
      <c r="CO78" s="32">
        <v>0.17</v>
      </c>
      <c r="CP78" s="32">
        <v>0.32</v>
      </c>
      <c r="CQ78" s="32">
        <v>0.28000000000000003</v>
      </c>
      <c r="CR78" s="32">
        <v>0.22</v>
      </c>
      <c r="CS78" s="32">
        <v>0.1</v>
      </c>
      <c r="CT78" s="32">
        <v>0.27</v>
      </c>
      <c r="CU78" s="32">
        <v>0.22</v>
      </c>
      <c r="CV78" s="32">
        <v>0</v>
      </c>
      <c r="CW78" s="32">
        <v>0.33</v>
      </c>
      <c r="CX78" s="32">
        <v>0.28999999999999998</v>
      </c>
      <c r="CY78" s="32">
        <v>0.04</v>
      </c>
      <c r="CZ78" s="32">
        <v>0.23</v>
      </c>
      <c r="DA78" s="32">
        <v>0.12</v>
      </c>
      <c r="DB78" s="32">
        <v>0.17</v>
      </c>
      <c r="DC78" s="32">
        <v>0.15</v>
      </c>
      <c r="DD78" s="32">
        <v>0.26</v>
      </c>
      <c r="DE78" s="32">
        <v>0.19</v>
      </c>
      <c r="DF78" s="32">
        <v>0.19</v>
      </c>
      <c r="DG78" s="32">
        <v>0.18</v>
      </c>
      <c r="DH78" s="32">
        <v>0.1</v>
      </c>
      <c r="DI78" s="32">
        <v>0.3</v>
      </c>
      <c r="DJ78" s="32">
        <v>0.08</v>
      </c>
      <c r="DK78" s="32">
        <v>0.31</v>
      </c>
      <c r="DL78" s="32">
        <v>7.0000000000000007E-2</v>
      </c>
      <c r="DM78" s="32">
        <v>0.19</v>
      </c>
      <c r="DN78" s="32">
        <v>0.21</v>
      </c>
      <c r="DO78" s="32">
        <v>0.12</v>
      </c>
      <c r="DP78" s="32">
        <v>0.15</v>
      </c>
      <c r="DQ78" s="32">
        <v>0.24</v>
      </c>
      <c r="DR78" s="32">
        <v>0.2</v>
      </c>
      <c r="DS78" s="32">
        <v>0.19</v>
      </c>
      <c r="DT78" s="32">
        <v>0.15</v>
      </c>
      <c r="DU78" s="32">
        <v>0.24</v>
      </c>
      <c r="DV78" s="32">
        <v>0.19</v>
      </c>
      <c r="DW78" s="32">
        <v>0.19</v>
      </c>
      <c r="DX78" s="32">
        <v>0.08</v>
      </c>
      <c r="DY78" s="32">
        <v>0.3</v>
      </c>
      <c r="DZ78" s="32">
        <v>0.21</v>
      </c>
      <c r="EA78" s="32">
        <v>0.12</v>
      </c>
      <c r="EB78" s="32">
        <v>0.24</v>
      </c>
      <c r="EC78" s="32">
        <v>0.02</v>
      </c>
      <c r="ED78" s="32">
        <v>0.23</v>
      </c>
      <c r="EE78" s="32">
        <v>0.13</v>
      </c>
      <c r="EF78" s="32">
        <v>0.15</v>
      </c>
      <c r="EG78" s="32">
        <v>0.09</v>
      </c>
      <c r="EH78" s="32">
        <v>0.18</v>
      </c>
      <c r="EI78" s="32">
        <v>0.12</v>
      </c>
      <c r="EJ78" s="32">
        <v>0.16</v>
      </c>
      <c r="EK78" s="32">
        <v>0.17</v>
      </c>
      <c r="EL78" s="32">
        <v>0.18</v>
      </c>
      <c r="EM78" s="32">
        <v>0.18</v>
      </c>
      <c r="EN78" s="32">
        <v>0.12</v>
      </c>
      <c r="EO78" s="32">
        <v>0.11</v>
      </c>
    </row>
    <row r="79" spans="1:145" x14ac:dyDescent="0.25">
      <c r="A79" s="31" t="s">
        <v>157</v>
      </c>
      <c r="B79" s="32">
        <v>0.28000000000000003</v>
      </c>
      <c r="C79" s="32">
        <v>-7.0000000000000007E-2</v>
      </c>
      <c r="D79" s="32">
        <v>0.09</v>
      </c>
      <c r="E79" s="32">
        <v>0.02</v>
      </c>
      <c r="F79" s="32">
        <v>0.22</v>
      </c>
      <c r="G79" s="32">
        <v>0</v>
      </c>
      <c r="H79" s="32">
        <v>0.05</v>
      </c>
      <c r="I79" s="32">
        <v>0.33</v>
      </c>
      <c r="J79" s="32">
        <v>0.51</v>
      </c>
      <c r="K79" s="32">
        <v>0.25</v>
      </c>
      <c r="L79" s="32">
        <v>-0.04</v>
      </c>
      <c r="M79" s="32">
        <v>0.14000000000000001</v>
      </c>
      <c r="N79" s="32">
        <v>0.45</v>
      </c>
      <c r="O79" s="32">
        <v>-0.03</v>
      </c>
      <c r="P79" s="32">
        <v>0.23</v>
      </c>
      <c r="Q79" s="32">
        <v>0.08</v>
      </c>
      <c r="R79" s="32">
        <v>0.22</v>
      </c>
      <c r="S79" s="32">
        <v>0.17</v>
      </c>
      <c r="T79" s="32">
        <v>0.14000000000000001</v>
      </c>
      <c r="U79" s="32">
        <v>0.06</v>
      </c>
      <c r="V79" s="32">
        <v>-0.09</v>
      </c>
      <c r="W79" s="32">
        <v>0.03</v>
      </c>
      <c r="X79" s="32">
        <v>0.17</v>
      </c>
      <c r="Y79" s="32">
        <v>0.11</v>
      </c>
      <c r="Z79" s="32">
        <v>-0.01</v>
      </c>
      <c r="AA79" s="32">
        <v>0.02</v>
      </c>
      <c r="AB79" s="32">
        <v>0.08</v>
      </c>
      <c r="AC79" s="32">
        <v>-0.1</v>
      </c>
      <c r="AD79" s="32">
        <v>0.03</v>
      </c>
      <c r="AE79" s="32">
        <v>-0.03</v>
      </c>
      <c r="AF79" s="32">
        <v>-0.04</v>
      </c>
      <c r="AG79" s="32">
        <v>0.11</v>
      </c>
      <c r="AH79" s="32">
        <v>0.15</v>
      </c>
      <c r="AI79" s="32">
        <v>-0.02</v>
      </c>
      <c r="AJ79" s="32">
        <v>0.03</v>
      </c>
      <c r="AK79" s="32">
        <v>-0.03</v>
      </c>
      <c r="AL79" s="32">
        <v>0.23</v>
      </c>
      <c r="AM79" s="32">
        <v>0.05</v>
      </c>
      <c r="AN79" s="32">
        <v>0.26</v>
      </c>
      <c r="AO79" s="32">
        <v>0.42</v>
      </c>
      <c r="AP79" s="32">
        <v>0.2</v>
      </c>
      <c r="AQ79" s="32">
        <v>-0.01</v>
      </c>
      <c r="AR79" s="32">
        <v>0.11</v>
      </c>
      <c r="AS79" s="32">
        <v>-0.01</v>
      </c>
      <c r="AT79" s="32">
        <v>0.09</v>
      </c>
      <c r="AU79" s="32">
        <v>0.27</v>
      </c>
      <c r="AV79" s="32">
        <v>0.11</v>
      </c>
      <c r="AW79" s="32">
        <v>7.0000000000000007E-2</v>
      </c>
      <c r="AX79" s="32">
        <v>0.44</v>
      </c>
      <c r="AY79" s="32">
        <v>0.17</v>
      </c>
      <c r="AZ79" s="32">
        <v>0</v>
      </c>
      <c r="BA79" s="32">
        <v>0.18</v>
      </c>
      <c r="BB79" s="32">
        <v>0.06</v>
      </c>
      <c r="BC79" s="32">
        <v>0.11</v>
      </c>
      <c r="BD79" s="32">
        <v>7.0000000000000007E-2</v>
      </c>
      <c r="BE79" s="32">
        <v>0.44</v>
      </c>
      <c r="BF79" s="32">
        <v>0.1</v>
      </c>
      <c r="BG79" s="32">
        <v>0.32</v>
      </c>
      <c r="BH79" s="32">
        <v>0.02</v>
      </c>
      <c r="BI79" s="32">
        <v>0.03</v>
      </c>
      <c r="BJ79" s="32">
        <v>-0.02</v>
      </c>
      <c r="BK79" s="32">
        <v>0</v>
      </c>
      <c r="BL79" s="32">
        <v>0.11</v>
      </c>
      <c r="BM79" s="32">
        <v>0.16</v>
      </c>
      <c r="BN79" s="32">
        <v>0.09</v>
      </c>
      <c r="BO79" s="32">
        <v>0.24</v>
      </c>
      <c r="BP79" s="32">
        <v>-0.02</v>
      </c>
      <c r="BQ79" s="32">
        <v>-0.01</v>
      </c>
      <c r="BR79" s="32">
        <v>0.21</v>
      </c>
      <c r="BS79" s="32">
        <v>0.01</v>
      </c>
      <c r="BT79" s="32">
        <v>0.19</v>
      </c>
      <c r="BU79" s="32">
        <v>0.08</v>
      </c>
      <c r="BV79" s="32">
        <v>0.09</v>
      </c>
      <c r="BW79" s="32">
        <v>0.18</v>
      </c>
      <c r="BX79" s="32">
        <v>1</v>
      </c>
      <c r="BY79" s="32">
        <v>0.14000000000000001</v>
      </c>
      <c r="BZ79" s="32">
        <v>0.18</v>
      </c>
      <c r="CA79" s="32">
        <v>-0.01</v>
      </c>
      <c r="CB79" s="32">
        <v>0.01</v>
      </c>
      <c r="CC79" s="32">
        <v>0.17</v>
      </c>
      <c r="CD79" s="32">
        <v>0.1</v>
      </c>
      <c r="CE79" s="32">
        <v>0</v>
      </c>
      <c r="CF79" s="32">
        <v>0.02</v>
      </c>
      <c r="CG79" s="32">
        <v>0.18</v>
      </c>
      <c r="CH79" s="32">
        <v>-0.03</v>
      </c>
      <c r="CI79" s="32">
        <v>0.04</v>
      </c>
      <c r="CJ79" s="32">
        <v>0.13</v>
      </c>
      <c r="CK79" s="32">
        <v>0.18</v>
      </c>
      <c r="CL79" s="32">
        <v>0.15</v>
      </c>
      <c r="CM79" s="32">
        <v>-0.04</v>
      </c>
      <c r="CN79" s="32">
        <v>0.09</v>
      </c>
      <c r="CO79" s="32">
        <v>0.04</v>
      </c>
      <c r="CP79" s="32">
        <v>0.16</v>
      </c>
      <c r="CQ79" s="32">
        <v>0.14000000000000001</v>
      </c>
      <c r="CR79" s="32">
        <v>-0.02</v>
      </c>
      <c r="CS79" s="32">
        <v>0.1</v>
      </c>
      <c r="CT79" s="32">
        <v>0.12</v>
      </c>
      <c r="CU79" s="32">
        <v>0</v>
      </c>
      <c r="CV79" s="32">
        <v>-0.04</v>
      </c>
      <c r="CW79" s="32">
        <v>0.11</v>
      </c>
      <c r="CX79" s="32">
        <v>0.06</v>
      </c>
      <c r="CY79" s="32">
        <v>0.13</v>
      </c>
      <c r="CZ79" s="32">
        <v>0.14000000000000001</v>
      </c>
      <c r="DA79" s="32">
        <v>0.16</v>
      </c>
      <c r="DB79" s="32">
        <v>0.06</v>
      </c>
      <c r="DC79" s="32">
        <v>0.08</v>
      </c>
      <c r="DD79" s="32">
        <v>0.2</v>
      </c>
      <c r="DE79" s="32">
        <v>0.04</v>
      </c>
      <c r="DF79" s="32">
        <v>0.09</v>
      </c>
      <c r="DG79" s="32">
        <v>0.17</v>
      </c>
      <c r="DH79" s="32">
        <v>-0.04</v>
      </c>
      <c r="DI79" s="32">
        <v>0.16</v>
      </c>
      <c r="DJ79" s="32">
        <v>0.25</v>
      </c>
      <c r="DK79" s="32">
        <v>0.14000000000000001</v>
      </c>
      <c r="DL79" s="32">
        <v>0.06</v>
      </c>
      <c r="DM79" s="32">
        <v>0.23</v>
      </c>
      <c r="DN79" s="32">
        <v>0.02</v>
      </c>
      <c r="DO79" s="32">
        <v>0.11</v>
      </c>
      <c r="DP79" s="32">
        <v>0.22</v>
      </c>
      <c r="DQ79" s="32">
        <v>0.08</v>
      </c>
      <c r="DR79" s="32">
        <v>7.0000000000000007E-2</v>
      </c>
      <c r="DS79" s="32">
        <v>0.04</v>
      </c>
      <c r="DT79" s="32">
        <v>-0.04</v>
      </c>
      <c r="DU79" s="32">
        <v>0.08</v>
      </c>
      <c r="DV79" s="32">
        <v>0</v>
      </c>
      <c r="DW79" s="32">
        <v>0.1</v>
      </c>
      <c r="DX79" s="32">
        <v>-0.05</v>
      </c>
      <c r="DY79" s="32">
        <v>0.09</v>
      </c>
      <c r="DZ79" s="32">
        <v>0.17</v>
      </c>
      <c r="EA79" s="32">
        <v>0.11</v>
      </c>
      <c r="EB79" s="32">
        <v>0.12</v>
      </c>
      <c r="EC79" s="32">
        <v>-0.03</v>
      </c>
      <c r="ED79" s="32">
        <v>0.13</v>
      </c>
      <c r="EE79" s="32">
        <v>-0.09</v>
      </c>
      <c r="EF79" s="32">
        <v>0.01</v>
      </c>
      <c r="EG79" s="32">
        <v>-0.02</v>
      </c>
      <c r="EH79" s="32">
        <v>0.14000000000000001</v>
      </c>
      <c r="EI79" s="32">
        <v>-0.03</v>
      </c>
      <c r="EJ79" s="32">
        <v>0.19</v>
      </c>
      <c r="EK79" s="32">
        <v>7.0000000000000007E-2</v>
      </c>
      <c r="EL79" s="32">
        <v>0.06</v>
      </c>
      <c r="EM79" s="32">
        <v>0.1</v>
      </c>
      <c r="EN79" s="32">
        <v>0.24</v>
      </c>
      <c r="EO79" s="32">
        <v>0.03</v>
      </c>
    </row>
    <row r="80" spans="1:145" x14ac:dyDescent="0.25">
      <c r="A80" s="31" t="s">
        <v>158</v>
      </c>
      <c r="B80" s="32">
        <v>0.16</v>
      </c>
      <c r="C80" s="32">
        <v>-0.03</v>
      </c>
      <c r="D80" s="32">
        <v>-0.05</v>
      </c>
      <c r="E80" s="32">
        <v>0.05</v>
      </c>
      <c r="F80" s="32">
        <v>0.24</v>
      </c>
      <c r="G80" s="32">
        <v>0.03</v>
      </c>
      <c r="H80" s="32">
        <v>0.12</v>
      </c>
      <c r="I80" s="32">
        <v>0.23</v>
      </c>
      <c r="J80" s="32">
        <v>0.08</v>
      </c>
      <c r="K80" s="32">
        <v>0.21</v>
      </c>
      <c r="L80" s="32">
        <v>0.05</v>
      </c>
      <c r="M80" s="32">
        <v>0.4</v>
      </c>
      <c r="N80" s="32">
        <v>0.25</v>
      </c>
      <c r="O80" s="32">
        <v>0.08</v>
      </c>
      <c r="P80" s="32">
        <v>0.13</v>
      </c>
      <c r="Q80" s="32">
        <v>-7.0000000000000007E-2</v>
      </c>
      <c r="R80" s="32">
        <v>0.24</v>
      </c>
      <c r="S80" s="32">
        <v>-0.01</v>
      </c>
      <c r="T80" s="32">
        <v>0.28999999999999998</v>
      </c>
      <c r="U80" s="32">
        <v>0.14000000000000001</v>
      </c>
      <c r="V80" s="32">
        <v>0.15</v>
      </c>
      <c r="W80" s="32">
        <v>0.02</v>
      </c>
      <c r="X80" s="32">
        <v>0.31</v>
      </c>
      <c r="Y80" s="32">
        <v>0.17</v>
      </c>
      <c r="Z80" s="32">
        <v>0.14000000000000001</v>
      </c>
      <c r="AA80" s="32">
        <v>0.21</v>
      </c>
      <c r="AB80" s="32">
        <v>0.21</v>
      </c>
      <c r="AC80" s="32">
        <v>0.1</v>
      </c>
      <c r="AD80" s="32">
        <v>0.08</v>
      </c>
      <c r="AE80" s="32">
        <v>0.18</v>
      </c>
      <c r="AF80" s="32">
        <v>0.02</v>
      </c>
      <c r="AG80" s="32">
        <v>0.09</v>
      </c>
      <c r="AH80" s="32">
        <v>0.03</v>
      </c>
      <c r="AI80" s="32">
        <v>-0.09</v>
      </c>
      <c r="AJ80" s="32">
        <v>-0.02</v>
      </c>
      <c r="AK80" s="32">
        <v>0.19</v>
      </c>
      <c r="AL80" s="32">
        <v>0.27</v>
      </c>
      <c r="AM80" s="32">
        <v>0.18</v>
      </c>
      <c r="AN80" s="32">
        <v>0.4</v>
      </c>
      <c r="AO80" s="32">
        <v>0.14000000000000001</v>
      </c>
      <c r="AP80" s="32">
        <v>0.32</v>
      </c>
      <c r="AQ80" s="32">
        <v>-0.13</v>
      </c>
      <c r="AR80" s="32">
        <v>0.28000000000000003</v>
      </c>
      <c r="AS80" s="32">
        <v>0.17</v>
      </c>
      <c r="AT80" s="32">
        <v>0.4</v>
      </c>
      <c r="AU80" s="32">
        <v>0.13</v>
      </c>
      <c r="AV80" s="32">
        <v>0.08</v>
      </c>
      <c r="AW80" s="32">
        <v>0.14000000000000001</v>
      </c>
      <c r="AX80" s="32">
        <v>0.21</v>
      </c>
      <c r="AY80" s="32">
        <v>0.26</v>
      </c>
      <c r="AZ80" s="32">
        <v>0.16</v>
      </c>
      <c r="BA80" s="32">
        <v>0.42</v>
      </c>
      <c r="BB80" s="32">
        <v>0.36</v>
      </c>
      <c r="BC80" s="32">
        <v>0.11</v>
      </c>
      <c r="BD80" s="32">
        <v>0.18</v>
      </c>
      <c r="BE80" s="32">
        <v>0.23</v>
      </c>
      <c r="BF80" s="32">
        <v>0.1</v>
      </c>
      <c r="BG80" s="32">
        <v>0.28000000000000003</v>
      </c>
      <c r="BH80" s="32">
        <v>0.1</v>
      </c>
      <c r="BI80" s="32">
        <v>0</v>
      </c>
      <c r="BJ80" s="32">
        <v>-0.12</v>
      </c>
      <c r="BK80" s="32">
        <v>0.06</v>
      </c>
      <c r="BL80" s="32">
        <v>0.35</v>
      </c>
      <c r="BM80" s="32">
        <v>0.31</v>
      </c>
      <c r="BN80" s="32">
        <v>0.04</v>
      </c>
      <c r="BO80" s="32">
        <v>0.24</v>
      </c>
      <c r="BP80" s="32">
        <v>0.1</v>
      </c>
      <c r="BQ80" s="32">
        <v>0.21</v>
      </c>
      <c r="BR80" s="32">
        <v>0.31</v>
      </c>
      <c r="BS80" s="32">
        <v>-0.04</v>
      </c>
      <c r="BT80" s="32">
        <v>0.35</v>
      </c>
      <c r="BU80" s="32">
        <v>0.12</v>
      </c>
      <c r="BV80" s="32">
        <v>0.3</v>
      </c>
      <c r="BW80" s="32">
        <v>0.24</v>
      </c>
      <c r="BX80" s="32">
        <v>0.14000000000000001</v>
      </c>
      <c r="BY80" s="32">
        <v>1</v>
      </c>
      <c r="BZ80" s="32">
        <v>0.28999999999999998</v>
      </c>
      <c r="CA80" s="32">
        <v>0.01</v>
      </c>
      <c r="CB80" s="32">
        <v>-0.12</v>
      </c>
      <c r="CC80" s="32">
        <v>-0.01</v>
      </c>
      <c r="CD80" s="32">
        <v>0.18</v>
      </c>
      <c r="CE80" s="32">
        <v>0.2</v>
      </c>
      <c r="CF80" s="32">
        <v>-0.11</v>
      </c>
      <c r="CG80" s="32">
        <v>0.34</v>
      </c>
      <c r="CH80" s="32">
        <v>0.22</v>
      </c>
      <c r="CI80" s="32">
        <v>-0.1</v>
      </c>
      <c r="CJ80" s="32">
        <v>0.06</v>
      </c>
      <c r="CK80" s="32">
        <v>0.31</v>
      </c>
      <c r="CL80" s="32">
        <v>0.61</v>
      </c>
      <c r="CM80" s="32">
        <v>0.21</v>
      </c>
      <c r="CN80" s="32">
        <v>-0.01</v>
      </c>
      <c r="CO80" s="32">
        <v>0.08</v>
      </c>
      <c r="CP80" s="32">
        <v>7.0000000000000007E-2</v>
      </c>
      <c r="CQ80" s="32">
        <v>0.48</v>
      </c>
      <c r="CR80" s="32">
        <v>0.28000000000000003</v>
      </c>
      <c r="CS80" s="32">
        <v>0.28999999999999998</v>
      </c>
      <c r="CT80" s="32">
        <v>0.24</v>
      </c>
      <c r="CU80" s="32">
        <v>0.15</v>
      </c>
      <c r="CV80" s="32">
        <v>0.25</v>
      </c>
      <c r="CW80" s="32">
        <v>0.3</v>
      </c>
      <c r="CX80" s="32">
        <v>0.35</v>
      </c>
      <c r="CY80" s="32">
        <v>0.43</v>
      </c>
      <c r="CZ80" s="32">
        <v>0.16</v>
      </c>
      <c r="DA80" s="32">
        <v>0.18</v>
      </c>
      <c r="DB80" s="32">
        <v>0.26</v>
      </c>
      <c r="DC80" s="32">
        <v>0.25</v>
      </c>
      <c r="DD80" s="32">
        <v>0.28999999999999998</v>
      </c>
      <c r="DE80" s="32">
        <v>0.25</v>
      </c>
      <c r="DF80" s="32">
        <v>0.13</v>
      </c>
      <c r="DG80" s="32">
        <v>0.14000000000000001</v>
      </c>
      <c r="DH80" s="32">
        <v>0.15</v>
      </c>
      <c r="DI80" s="32">
        <v>0.43</v>
      </c>
      <c r="DJ80" s="32">
        <v>0.4</v>
      </c>
      <c r="DK80" s="32">
        <v>0.45</v>
      </c>
      <c r="DL80" s="32">
        <v>0.09</v>
      </c>
      <c r="DM80" s="32">
        <v>0.48</v>
      </c>
      <c r="DN80" s="32">
        <v>0.2</v>
      </c>
      <c r="DO80" s="32">
        <v>0.24</v>
      </c>
      <c r="DP80" s="32">
        <v>0.43</v>
      </c>
      <c r="DQ80" s="32">
        <v>0.23</v>
      </c>
      <c r="DR80" s="32">
        <v>0.15</v>
      </c>
      <c r="DS80" s="32">
        <v>0.09</v>
      </c>
      <c r="DT80" s="32">
        <v>0.13</v>
      </c>
      <c r="DU80" s="32">
        <v>0.27</v>
      </c>
      <c r="DV80" s="32">
        <v>0.14000000000000001</v>
      </c>
      <c r="DW80" s="32">
        <v>0.27</v>
      </c>
      <c r="DX80" s="32">
        <v>0.16</v>
      </c>
      <c r="DY80" s="32">
        <v>0.31</v>
      </c>
      <c r="DZ80" s="32">
        <v>7.0000000000000007E-2</v>
      </c>
      <c r="EA80" s="32">
        <v>0.19</v>
      </c>
      <c r="EB80" s="32">
        <v>0.32</v>
      </c>
      <c r="EC80" s="32">
        <v>0.02</v>
      </c>
      <c r="ED80" s="32">
        <v>0.3</v>
      </c>
      <c r="EE80" s="32">
        <v>0.19</v>
      </c>
      <c r="EF80" s="32">
        <v>0.12</v>
      </c>
      <c r="EG80" s="32">
        <v>0.15</v>
      </c>
      <c r="EH80" s="32">
        <v>0.12</v>
      </c>
      <c r="EI80" s="32">
        <v>0.16</v>
      </c>
      <c r="EJ80" s="32">
        <v>0.27</v>
      </c>
      <c r="EK80" s="32">
        <v>0.24</v>
      </c>
      <c r="EL80" s="32">
        <v>0.22</v>
      </c>
      <c r="EM80" s="32">
        <v>0.08</v>
      </c>
      <c r="EN80" s="32">
        <v>0.13</v>
      </c>
      <c r="EO80" s="32">
        <v>0.3</v>
      </c>
    </row>
    <row r="81" spans="1:145" x14ac:dyDescent="0.25">
      <c r="A81" s="31" t="s">
        <v>159</v>
      </c>
      <c r="B81" s="32">
        <v>0.21</v>
      </c>
      <c r="C81" s="32">
        <v>0.12</v>
      </c>
      <c r="D81" s="32">
        <v>-0.01</v>
      </c>
      <c r="E81" s="32">
        <v>0.13</v>
      </c>
      <c r="F81" s="32">
        <v>0.08</v>
      </c>
      <c r="G81" s="32">
        <v>-0.09</v>
      </c>
      <c r="H81" s="32">
        <v>0.13</v>
      </c>
      <c r="I81" s="32">
        <v>0.2</v>
      </c>
      <c r="J81" s="32">
        <v>0.11</v>
      </c>
      <c r="K81" s="32">
        <v>0.17</v>
      </c>
      <c r="L81" s="32">
        <v>0.15</v>
      </c>
      <c r="M81" s="32">
        <v>0.41</v>
      </c>
      <c r="N81" s="32">
        <v>0.22</v>
      </c>
      <c r="O81" s="32">
        <v>0.18</v>
      </c>
      <c r="P81" s="32">
        <v>0.18</v>
      </c>
      <c r="Q81" s="32">
        <v>0.03</v>
      </c>
      <c r="R81" s="32">
        <v>0.15</v>
      </c>
      <c r="S81" s="32">
        <v>0.11</v>
      </c>
      <c r="T81" s="32">
        <v>0.32</v>
      </c>
      <c r="U81" s="32">
        <v>0.2</v>
      </c>
      <c r="V81" s="32">
        <v>0.08</v>
      </c>
      <c r="W81" s="32">
        <v>0.11</v>
      </c>
      <c r="X81" s="32">
        <v>0.32</v>
      </c>
      <c r="Y81" s="32">
        <v>0.11</v>
      </c>
      <c r="Z81" s="32">
        <v>0.11</v>
      </c>
      <c r="AA81" s="32">
        <v>0.18</v>
      </c>
      <c r="AB81" s="32">
        <v>0.15</v>
      </c>
      <c r="AC81" s="32">
        <v>0.03</v>
      </c>
      <c r="AD81" s="32">
        <v>0.1</v>
      </c>
      <c r="AE81" s="32">
        <v>0.16</v>
      </c>
      <c r="AF81" s="32">
        <v>0.11</v>
      </c>
      <c r="AG81" s="32">
        <v>0.04</v>
      </c>
      <c r="AH81" s="32">
        <v>0.08</v>
      </c>
      <c r="AI81" s="32">
        <v>-0.18</v>
      </c>
      <c r="AJ81" s="32">
        <v>0.11</v>
      </c>
      <c r="AK81" s="32">
        <v>0.17</v>
      </c>
      <c r="AL81" s="32">
        <v>0.26</v>
      </c>
      <c r="AM81" s="32">
        <v>0.25</v>
      </c>
      <c r="AN81" s="32">
        <v>0.38</v>
      </c>
      <c r="AO81" s="32">
        <v>0.04</v>
      </c>
      <c r="AP81" s="32">
        <v>0.21</v>
      </c>
      <c r="AQ81" s="32">
        <v>-0.2</v>
      </c>
      <c r="AR81" s="32">
        <v>0.31</v>
      </c>
      <c r="AS81" s="32">
        <v>0.15</v>
      </c>
      <c r="AT81" s="32">
        <v>0.32</v>
      </c>
      <c r="AU81" s="32">
        <v>0.18</v>
      </c>
      <c r="AV81" s="32">
        <v>0.11</v>
      </c>
      <c r="AW81" s="32">
        <v>0.18</v>
      </c>
      <c r="AX81" s="32">
        <v>0.14000000000000001</v>
      </c>
      <c r="AY81" s="32">
        <v>0.21</v>
      </c>
      <c r="AZ81" s="32">
        <v>0.17</v>
      </c>
      <c r="BA81" s="32">
        <v>0.23</v>
      </c>
      <c r="BB81" s="32">
        <v>0.36</v>
      </c>
      <c r="BC81" s="32">
        <v>0.09</v>
      </c>
      <c r="BD81" s="32">
        <v>0.22</v>
      </c>
      <c r="BE81" s="32">
        <v>0.15</v>
      </c>
      <c r="BF81" s="32">
        <v>0.2</v>
      </c>
      <c r="BG81" s="32">
        <v>0.19</v>
      </c>
      <c r="BH81" s="32">
        <v>0.16</v>
      </c>
      <c r="BI81" s="32">
        <v>0.12</v>
      </c>
      <c r="BJ81" s="32">
        <v>-0.06</v>
      </c>
      <c r="BK81" s="32">
        <v>0.1</v>
      </c>
      <c r="BL81" s="32">
        <v>0.36</v>
      </c>
      <c r="BM81" s="32">
        <v>0.17</v>
      </c>
      <c r="BN81" s="32">
        <v>0.21</v>
      </c>
      <c r="BO81" s="32">
        <v>0.28000000000000003</v>
      </c>
      <c r="BP81" s="32">
        <v>0.28000000000000003</v>
      </c>
      <c r="BQ81" s="32">
        <v>0.27</v>
      </c>
      <c r="BR81" s="32">
        <v>0.28000000000000003</v>
      </c>
      <c r="BS81" s="32">
        <v>-0.14000000000000001</v>
      </c>
      <c r="BT81" s="32">
        <v>0.49</v>
      </c>
      <c r="BU81" s="32">
        <v>0.15</v>
      </c>
      <c r="BV81" s="32">
        <v>0.28000000000000003</v>
      </c>
      <c r="BW81" s="32">
        <v>0.18</v>
      </c>
      <c r="BX81" s="32">
        <v>0.18</v>
      </c>
      <c r="BY81" s="32">
        <v>0.28999999999999998</v>
      </c>
      <c r="BZ81" s="32">
        <v>1</v>
      </c>
      <c r="CA81" s="32">
        <v>7.0000000000000007E-2</v>
      </c>
      <c r="CB81" s="32">
        <v>0</v>
      </c>
      <c r="CC81" s="32">
        <v>0.19</v>
      </c>
      <c r="CD81" s="32">
        <v>0.27</v>
      </c>
      <c r="CE81" s="32">
        <v>0.11</v>
      </c>
      <c r="CF81" s="32">
        <v>-0.14000000000000001</v>
      </c>
      <c r="CG81" s="32">
        <v>0.28000000000000003</v>
      </c>
      <c r="CH81" s="32">
        <v>0.19</v>
      </c>
      <c r="CI81" s="32">
        <v>-0.19</v>
      </c>
      <c r="CJ81" s="32">
        <v>0.18</v>
      </c>
      <c r="CK81" s="32">
        <v>0.17</v>
      </c>
      <c r="CL81" s="32">
        <v>0.27</v>
      </c>
      <c r="CM81" s="32">
        <v>0.26</v>
      </c>
      <c r="CN81" s="32">
        <v>0.09</v>
      </c>
      <c r="CO81" s="32">
        <v>0.06</v>
      </c>
      <c r="CP81" s="32">
        <v>0.1</v>
      </c>
      <c r="CQ81" s="32">
        <v>0.43</v>
      </c>
      <c r="CR81" s="32">
        <v>0.3</v>
      </c>
      <c r="CS81" s="32">
        <v>0.28000000000000003</v>
      </c>
      <c r="CT81" s="32">
        <v>0.28000000000000003</v>
      </c>
      <c r="CU81" s="32">
        <v>0.21</v>
      </c>
      <c r="CV81" s="32">
        <v>0.23</v>
      </c>
      <c r="CW81" s="32">
        <v>0.28000000000000003</v>
      </c>
      <c r="CX81" s="32">
        <v>0.36</v>
      </c>
      <c r="CY81" s="32">
        <v>0.35</v>
      </c>
      <c r="CZ81" s="32">
        <v>0.15</v>
      </c>
      <c r="DA81" s="32">
        <v>0.22</v>
      </c>
      <c r="DB81" s="32">
        <v>0.28999999999999998</v>
      </c>
      <c r="DC81" s="32">
        <v>0.31</v>
      </c>
      <c r="DD81" s="32">
        <v>0.32</v>
      </c>
      <c r="DE81" s="32">
        <v>0.25</v>
      </c>
      <c r="DF81" s="32">
        <v>7.0000000000000007E-2</v>
      </c>
      <c r="DG81" s="32">
        <v>0.28000000000000003</v>
      </c>
      <c r="DH81" s="32">
        <v>0.17</v>
      </c>
      <c r="DI81" s="32">
        <v>0.41</v>
      </c>
      <c r="DJ81" s="32">
        <v>0.31</v>
      </c>
      <c r="DK81" s="32">
        <v>0.48</v>
      </c>
      <c r="DL81" s="32">
        <v>0.11</v>
      </c>
      <c r="DM81" s="32">
        <v>0.41</v>
      </c>
      <c r="DN81" s="32">
        <v>0.28999999999999998</v>
      </c>
      <c r="DO81" s="32">
        <v>0.28000000000000003</v>
      </c>
      <c r="DP81" s="32">
        <v>0.34</v>
      </c>
      <c r="DQ81" s="32">
        <v>0.35</v>
      </c>
      <c r="DR81" s="32">
        <v>0.23</v>
      </c>
      <c r="DS81" s="32">
        <v>0.19</v>
      </c>
      <c r="DT81" s="32">
        <v>0.25</v>
      </c>
      <c r="DU81" s="32">
        <v>0.42</v>
      </c>
      <c r="DV81" s="32">
        <v>0.22</v>
      </c>
      <c r="DW81" s="32">
        <v>0.19</v>
      </c>
      <c r="DX81" s="32">
        <v>0.24</v>
      </c>
      <c r="DY81" s="32">
        <v>0.36</v>
      </c>
      <c r="DZ81" s="32">
        <v>0.13</v>
      </c>
      <c r="EA81" s="32">
        <v>0.17</v>
      </c>
      <c r="EB81" s="32">
        <v>0.36</v>
      </c>
      <c r="EC81" s="32">
        <v>-0.02</v>
      </c>
      <c r="ED81" s="32">
        <v>0.25</v>
      </c>
      <c r="EE81" s="32">
        <v>0.28000000000000003</v>
      </c>
      <c r="EF81" s="32">
        <v>0.28000000000000003</v>
      </c>
      <c r="EG81" s="32">
        <v>0.27</v>
      </c>
      <c r="EH81" s="32">
        <v>0.19</v>
      </c>
      <c r="EI81" s="32">
        <v>0.24</v>
      </c>
      <c r="EJ81" s="32">
        <v>0.26</v>
      </c>
      <c r="EK81" s="32">
        <v>0.28000000000000003</v>
      </c>
      <c r="EL81" s="32">
        <v>0.3</v>
      </c>
      <c r="EM81" s="32">
        <v>0.25</v>
      </c>
      <c r="EN81" s="32">
        <v>0.15</v>
      </c>
      <c r="EO81" s="32">
        <v>0.15</v>
      </c>
    </row>
    <row r="82" spans="1:145" x14ac:dyDescent="0.25">
      <c r="A82" s="31" t="s">
        <v>160</v>
      </c>
      <c r="B82" s="32">
        <v>0.04</v>
      </c>
      <c r="C82" s="32">
        <v>0.16</v>
      </c>
      <c r="D82" s="32">
        <v>0.15</v>
      </c>
      <c r="E82" s="32">
        <v>0.26</v>
      </c>
      <c r="F82" s="32">
        <v>0.03</v>
      </c>
      <c r="G82" s="32">
        <v>0.13</v>
      </c>
      <c r="H82" s="32">
        <v>0.28000000000000003</v>
      </c>
      <c r="I82" s="32">
        <v>0.05</v>
      </c>
      <c r="J82" s="32">
        <v>0.01</v>
      </c>
      <c r="K82" s="32">
        <v>0.14000000000000001</v>
      </c>
      <c r="L82" s="32">
        <v>0.19</v>
      </c>
      <c r="M82" s="32">
        <v>0.23</v>
      </c>
      <c r="N82" s="32">
        <v>0.05</v>
      </c>
      <c r="O82" s="32">
        <v>0.34</v>
      </c>
      <c r="P82" s="32">
        <v>0.11</v>
      </c>
      <c r="Q82" s="32">
        <v>-0.06</v>
      </c>
      <c r="R82" s="32">
        <v>0.02</v>
      </c>
      <c r="S82" s="32">
        <v>0.23</v>
      </c>
      <c r="T82" s="32">
        <v>0.04</v>
      </c>
      <c r="U82" s="32">
        <v>0.45</v>
      </c>
      <c r="V82" s="32">
        <v>0.44</v>
      </c>
      <c r="W82" s="32">
        <v>0.18</v>
      </c>
      <c r="X82" s="32">
        <v>0.05</v>
      </c>
      <c r="Y82" s="32">
        <v>0.01</v>
      </c>
      <c r="Z82" s="32">
        <v>0.22</v>
      </c>
      <c r="AA82" s="32">
        <v>0.22</v>
      </c>
      <c r="AB82" s="32">
        <v>-7.0000000000000007E-2</v>
      </c>
      <c r="AC82" s="32">
        <v>0.28999999999999998</v>
      </c>
      <c r="AD82" s="32">
        <v>0.33</v>
      </c>
      <c r="AE82" s="32">
        <v>0.28999999999999998</v>
      </c>
      <c r="AF82" s="32">
        <v>0.4</v>
      </c>
      <c r="AG82" s="32">
        <v>-0.04</v>
      </c>
      <c r="AH82" s="32">
        <v>-0.03</v>
      </c>
      <c r="AI82" s="32">
        <v>-0.11</v>
      </c>
      <c r="AJ82" s="32">
        <v>0.23</v>
      </c>
      <c r="AK82" s="32">
        <v>0.34</v>
      </c>
      <c r="AL82" s="32">
        <v>0.08</v>
      </c>
      <c r="AM82" s="32">
        <v>0.26</v>
      </c>
      <c r="AN82" s="32">
        <v>0.14000000000000001</v>
      </c>
      <c r="AO82" s="32">
        <v>-0.04</v>
      </c>
      <c r="AP82" s="32">
        <v>0.06</v>
      </c>
      <c r="AQ82" s="32">
        <v>-0.12</v>
      </c>
      <c r="AR82" s="32">
        <v>-0.04</v>
      </c>
      <c r="AS82" s="32">
        <v>0.35</v>
      </c>
      <c r="AT82" s="32">
        <v>-0.02</v>
      </c>
      <c r="AU82" s="32">
        <v>0.09</v>
      </c>
      <c r="AV82" s="32">
        <v>0.34</v>
      </c>
      <c r="AW82" s="32">
        <v>0.28999999999999998</v>
      </c>
      <c r="AX82" s="32">
        <v>0.04</v>
      </c>
      <c r="AY82" s="32">
        <v>0.01</v>
      </c>
      <c r="AZ82" s="32">
        <v>0.34</v>
      </c>
      <c r="BA82" s="32">
        <v>0.05</v>
      </c>
      <c r="BB82" s="32">
        <v>0.08</v>
      </c>
      <c r="BC82" s="32">
        <v>0.22</v>
      </c>
      <c r="BD82" s="32">
        <v>0.27</v>
      </c>
      <c r="BE82" s="32">
        <v>7.0000000000000007E-2</v>
      </c>
      <c r="BF82" s="32">
        <v>0.24</v>
      </c>
      <c r="BG82" s="32">
        <v>0.03</v>
      </c>
      <c r="BH82" s="32">
        <v>0.23</v>
      </c>
      <c r="BI82" s="32">
        <v>0.17</v>
      </c>
      <c r="BJ82" s="32">
        <v>0.08</v>
      </c>
      <c r="BK82" s="32">
        <v>0.22</v>
      </c>
      <c r="BL82" s="32">
        <v>0.06</v>
      </c>
      <c r="BM82" s="32">
        <v>0.02</v>
      </c>
      <c r="BN82" s="32">
        <v>0</v>
      </c>
      <c r="BO82" s="32">
        <v>0.1</v>
      </c>
      <c r="BP82" s="32">
        <v>0</v>
      </c>
      <c r="BQ82" s="32">
        <v>0.26</v>
      </c>
      <c r="BR82" s="32">
        <v>0.04</v>
      </c>
      <c r="BS82" s="32">
        <v>-0.1</v>
      </c>
      <c r="BT82" s="32">
        <v>0.15</v>
      </c>
      <c r="BU82" s="32">
        <v>0.12</v>
      </c>
      <c r="BV82" s="32">
        <v>0.11</v>
      </c>
      <c r="BW82" s="32">
        <v>0.08</v>
      </c>
      <c r="BX82" s="32">
        <v>-0.01</v>
      </c>
      <c r="BY82" s="32">
        <v>0.01</v>
      </c>
      <c r="BZ82" s="32">
        <v>7.0000000000000007E-2</v>
      </c>
      <c r="CA82" s="32">
        <v>1</v>
      </c>
      <c r="CB82" s="32">
        <v>0</v>
      </c>
      <c r="CC82" s="32">
        <v>0.02</v>
      </c>
      <c r="CD82" s="32">
        <v>-0.02</v>
      </c>
      <c r="CE82" s="32">
        <v>0.06</v>
      </c>
      <c r="CF82" s="32">
        <v>-7.0000000000000007E-2</v>
      </c>
      <c r="CG82" s="32">
        <v>0.03</v>
      </c>
      <c r="CH82" s="32">
        <v>0.36</v>
      </c>
      <c r="CI82" s="32">
        <v>-0.11</v>
      </c>
      <c r="CJ82" s="32">
        <v>0.02</v>
      </c>
      <c r="CK82" s="32">
        <v>0.04</v>
      </c>
      <c r="CL82" s="32">
        <v>0.09</v>
      </c>
      <c r="CM82" s="32">
        <v>7.0000000000000007E-2</v>
      </c>
      <c r="CN82" s="32">
        <v>0.21</v>
      </c>
      <c r="CO82" s="32">
        <v>0.17</v>
      </c>
      <c r="CP82" s="32">
        <v>-0.03</v>
      </c>
      <c r="CQ82" s="32">
        <v>0.06</v>
      </c>
      <c r="CR82" s="32">
        <v>0.14000000000000001</v>
      </c>
      <c r="CS82" s="32">
        <v>0.15</v>
      </c>
      <c r="CT82" s="32">
        <v>0.12</v>
      </c>
      <c r="CU82" s="32">
        <v>0.04</v>
      </c>
      <c r="CV82" s="32">
        <v>0.09</v>
      </c>
      <c r="CW82" s="32">
        <v>0.14000000000000001</v>
      </c>
      <c r="CX82" s="32">
        <v>0.03</v>
      </c>
      <c r="CY82" s="32">
        <v>0.08</v>
      </c>
      <c r="CZ82" s="32">
        <v>0.03</v>
      </c>
      <c r="DA82" s="32">
        <v>0.06</v>
      </c>
      <c r="DB82" s="32">
        <v>0.17</v>
      </c>
      <c r="DC82" s="32">
        <v>0.24</v>
      </c>
      <c r="DD82" s="32">
        <v>0.13</v>
      </c>
      <c r="DE82" s="32">
        <v>0.17</v>
      </c>
      <c r="DF82" s="32">
        <v>-0.03</v>
      </c>
      <c r="DG82" s="32">
        <v>0.18</v>
      </c>
      <c r="DH82" s="32">
        <v>0.17</v>
      </c>
      <c r="DI82" s="32">
        <v>0.08</v>
      </c>
      <c r="DJ82" s="32">
        <v>0.05</v>
      </c>
      <c r="DK82" s="32">
        <v>0.05</v>
      </c>
      <c r="DL82" s="32">
        <v>0.31</v>
      </c>
      <c r="DM82" s="32">
        <v>0.12</v>
      </c>
      <c r="DN82" s="32">
        <v>7.0000000000000007E-2</v>
      </c>
      <c r="DO82" s="32">
        <v>0.18</v>
      </c>
      <c r="DP82" s="32">
        <v>0.12</v>
      </c>
      <c r="DQ82" s="32">
        <v>0.08</v>
      </c>
      <c r="DR82" s="32">
        <v>0.03</v>
      </c>
      <c r="DS82" s="32">
        <v>-0.08</v>
      </c>
      <c r="DT82" s="32">
        <v>0.06</v>
      </c>
      <c r="DU82" s="32">
        <v>0.12</v>
      </c>
      <c r="DV82" s="32">
        <v>0.08</v>
      </c>
      <c r="DW82" s="32">
        <v>-0.02</v>
      </c>
      <c r="DX82" s="32">
        <v>0.13</v>
      </c>
      <c r="DY82" s="32">
        <v>0.04</v>
      </c>
      <c r="DZ82" s="32">
        <v>-0.05</v>
      </c>
      <c r="EA82" s="32">
        <v>0.1</v>
      </c>
      <c r="EB82" s="32">
        <v>0.09</v>
      </c>
      <c r="EC82" s="32">
        <v>0.04</v>
      </c>
      <c r="ED82" s="32">
        <v>0.16</v>
      </c>
      <c r="EE82" s="32">
        <v>0.09</v>
      </c>
      <c r="EF82" s="32">
        <v>0.08</v>
      </c>
      <c r="EG82" s="32">
        <v>0.11</v>
      </c>
      <c r="EH82" s="32">
        <v>-0.11</v>
      </c>
      <c r="EI82" s="32">
        <v>0.04</v>
      </c>
      <c r="EJ82" s="32">
        <v>0.16</v>
      </c>
      <c r="EK82" s="32">
        <v>0.13</v>
      </c>
      <c r="EL82" s="32">
        <v>0.19</v>
      </c>
      <c r="EM82" s="32">
        <v>-0.04</v>
      </c>
      <c r="EN82" s="32">
        <v>0.09</v>
      </c>
      <c r="EO82" s="32">
        <v>-0.04</v>
      </c>
    </row>
    <row r="83" spans="1:145" x14ac:dyDescent="0.25">
      <c r="A83" s="31" t="s">
        <v>161</v>
      </c>
      <c r="B83" s="32">
        <v>0.05</v>
      </c>
      <c r="C83" s="32">
        <v>0.1</v>
      </c>
      <c r="D83" s="32">
        <v>-0.06</v>
      </c>
      <c r="E83" s="32">
        <v>0.02</v>
      </c>
      <c r="F83" s="32">
        <v>7.0000000000000007E-2</v>
      </c>
      <c r="G83" s="32">
        <v>-0.01</v>
      </c>
      <c r="H83" s="32">
        <v>-0.1</v>
      </c>
      <c r="I83" s="32">
        <v>0.01</v>
      </c>
      <c r="J83" s="32">
        <v>0.12</v>
      </c>
      <c r="K83" s="32">
        <v>-0.02</v>
      </c>
      <c r="L83" s="32">
        <v>-0.08</v>
      </c>
      <c r="M83" s="32">
        <v>-0.04</v>
      </c>
      <c r="N83" s="32">
        <v>0.08</v>
      </c>
      <c r="O83" s="32">
        <v>0</v>
      </c>
      <c r="P83" s="32">
        <v>7.0000000000000007E-2</v>
      </c>
      <c r="Q83" s="32">
        <v>-0.02</v>
      </c>
      <c r="R83" s="32">
        <v>7.0000000000000007E-2</v>
      </c>
      <c r="S83" s="32">
        <v>-0.09</v>
      </c>
      <c r="T83" s="32">
        <v>0.01</v>
      </c>
      <c r="U83" s="32">
        <v>0.02</v>
      </c>
      <c r="V83" s="32">
        <v>-0.12</v>
      </c>
      <c r="W83" s="32">
        <v>0.02</v>
      </c>
      <c r="X83" s="32">
        <v>0.01</v>
      </c>
      <c r="Y83" s="32">
        <v>0.1</v>
      </c>
      <c r="Z83" s="32">
        <v>-0.09</v>
      </c>
      <c r="AA83" s="32">
        <v>-0.08</v>
      </c>
      <c r="AB83" s="32">
        <v>0.04</v>
      </c>
      <c r="AC83" s="32">
        <v>-0.04</v>
      </c>
      <c r="AD83" s="32">
        <v>-7.0000000000000007E-2</v>
      </c>
      <c r="AE83" s="32">
        <v>-7.0000000000000007E-2</v>
      </c>
      <c r="AF83" s="32">
        <v>-0.04</v>
      </c>
      <c r="AG83" s="32">
        <v>0.04</v>
      </c>
      <c r="AH83" s="32">
        <v>0.05</v>
      </c>
      <c r="AI83" s="32">
        <v>0.17</v>
      </c>
      <c r="AJ83" s="32">
        <v>-0.01</v>
      </c>
      <c r="AK83" s="32">
        <v>0.03</v>
      </c>
      <c r="AL83" s="32">
        <v>-0.05</v>
      </c>
      <c r="AM83" s="32">
        <v>-0.04</v>
      </c>
      <c r="AN83" s="32">
        <v>0.01</v>
      </c>
      <c r="AO83" s="32">
        <v>-0.02</v>
      </c>
      <c r="AP83" s="32">
        <v>0</v>
      </c>
      <c r="AQ83" s="32">
        <v>0.16</v>
      </c>
      <c r="AR83" s="32">
        <v>0.08</v>
      </c>
      <c r="AS83" s="32">
        <v>0.11</v>
      </c>
      <c r="AT83" s="32">
        <v>0.02</v>
      </c>
      <c r="AU83" s="32">
        <v>0.01</v>
      </c>
      <c r="AV83" s="32">
        <v>0</v>
      </c>
      <c r="AW83" s="32">
        <v>-0.02</v>
      </c>
      <c r="AX83" s="32">
        <v>0</v>
      </c>
      <c r="AY83" s="32">
        <v>-0.02</v>
      </c>
      <c r="AZ83" s="32">
        <v>-0.02</v>
      </c>
      <c r="BA83" s="32">
        <v>0.01</v>
      </c>
      <c r="BB83" s="32">
        <v>0</v>
      </c>
      <c r="BC83" s="32">
        <v>-0.02</v>
      </c>
      <c r="BD83" s="32">
        <v>0.03</v>
      </c>
      <c r="BE83" s="32">
        <v>0</v>
      </c>
      <c r="BF83" s="32">
        <v>-0.08</v>
      </c>
      <c r="BG83" s="32">
        <v>-0.03</v>
      </c>
      <c r="BH83" s="32">
        <v>0</v>
      </c>
      <c r="BI83" s="32">
        <v>-0.02</v>
      </c>
      <c r="BJ83" s="32">
        <v>0.03</v>
      </c>
      <c r="BK83" s="32">
        <v>0</v>
      </c>
      <c r="BL83" s="32">
        <v>-0.03</v>
      </c>
      <c r="BM83" s="32">
        <v>0</v>
      </c>
      <c r="BN83" s="32">
        <v>0.05</v>
      </c>
      <c r="BO83" s="32">
        <v>-0.02</v>
      </c>
      <c r="BP83" s="32">
        <v>-0.05</v>
      </c>
      <c r="BQ83" s="32">
        <v>-0.13</v>
      </c>
      <c r="BR83" s="32">
        <v>-0.01</v>
      </c>
      <c r="BS83" s="32">
        <v>0.14000000000000001</v>
      </c>
      <c r="BT83" s="32">
        <v>-0.05</v>
      </c>
      <c r="BU83" s="32">
        <v>-0.01</v>
      </c>
      <c r="BV83" s="32">
        <v>-0.04</v>
      </c>
      <c r="BW83" s="32">
        <v>0.04</v>
      </c>
      <c r="BX83" s="32">
        <v>0.01</v>
      </c>
      <c r="BY83" s="32">
        <v>-0.12</v>
      </c>
      <c r="BZ83" s="32">
        <v>0</v>
      </c>
      <c r="CA83" s="32">
        <v>0</v>
      </c>
      <c r="CB83" s="32">
        <v>1</v>
      </c>
      <c r="CC83" s="32">
        <v>0.11</v>
      </c>
      <c r="CD83" s="32">
        <v>0.02</v>
      </c>
      <c r="CE83" s="32">
        <v>-0.09</v>
      </c>
      <c r="CF83" s="32">
        <v>0.16</v>
      </c>
      <c r="CG83" s="32">
        <v>-0.06</v>
      </c>
      <c r="CH83" s="32">
        <v>-7.0000000000000007E-2</v>
      </c>
      <c r="CI83" s="32">
        <v>0.16</v>
      </c>
      <c r="CJ83" s="32">
        <v>0.09</v>
      </c>
      <c r="CK83" s="32">
        <v>0.13</v>
      </c>
      <c r="CL83" s="32">
        <v>-0.08</v>
      </c>
      <c r="CM83" s="32">
        <v>-0.12</v>
      </c>
      <c r="CN83" s="32">
        <v>0.14000000000000001</v>
      </c>
      <c r="CO83" s="32">
        <v>0.03</v>
      </c>
      <c r="CP83" s="32">
        <v>0.06</v>
      </c>
      <c r="CQ83" s="32">
        <v>-0.02</v>
      </c>
      <c r="CR83" s="32">
        <v>-0.08</v>
      </c>
      <c r="CS83" s="32">
        <v>-0.06</v>
      </c>
      <c r="CT83" s="32">
        <v>-0.08</v>
      </c>
      <c r="CU83" s="32">
        <v>-0.05</v>
      </c>
      <c r="CV83" s="32">
        <v>-0.04</v>
      </c>
      <c r="CW83" s="32">
        <v>0.02</v>
      </c>
      <c r="CX83" s="32">
        <v>-0.03</v>
      </c>
      <c r="CY83" s="32">
        <v>-0.03</v>
      </c>
      <c r="CZ83" s="32">
        <v>0.04</v>
      </c>
      <c r="DA83" s="32">
        <v>-0.02</v>
      </c>
      <c r="DB83" s="32">
        <v>-0.01</v>
      </c>
      <c r="DC83" s="32">
        <v>-0.06</v>
      </c>
      <c r="DD83" s="32">
        <v>-0.03</v>
      </c>
      <c r="DE83" s="32">
        <v>-0.15</v>
      </c>
      <c r="DF83" s="32">
        <v>0.05</v>
      </c>
      <c r="DG83" s="32">
        <v>-0.13</v>
      </c>
      <c r="DH83" s="32">
        <v>-0.06</v>
      </c>
      <c r="DI83" s="32">
        <v>-0.04</v>
      </c>
      <c r="DJ83" s="32">
        <v>-7.0000000000000007E-2</v>
      </c>
      <c r="DK83" s="32">
        <v>-0.06</v>
      </c>
      <c r="DL83" s="32">
        <v>-0.12</v>
      </c>
      <c r="DM83" s="32">
        <v>-0.17</v>
      </c>
      <c r="DN83" s="32">
        <v>0.06</v>
      </c>
      <c r="DO83" s="32">
        <v>-0.04</v>
      </c>
      <c r="DP83" s="32">
        <v>-0.09</v>
      </c>
      <c r="DQ83" s="32">
        <v>0.02</v>
      </c>
      <c r="DR83" s="32">
        <v>-0.01</v>
      </c>
      <c r="DS83" s="32">
        <v>0.03</v>
      </c>
      <c r="DT83" s="32">
        <v>-0.08</v>
      </c>
      <c r="DU83" s="32">
        <v>-0.02</v>
      </c>
      <c r="DV83" s="32">
        <v>-0.05</v>
      </c>
      <c r="DW83" s="32">
        <v>-0.08</v>
      </c>
      <c r="DX83" s="32">
        <v>-0.06</v>
      </c>
      <c r="DY83" s="32">
        <v>0.01</v>
      </c>
      <c r="DZ83" s="32">
        <v>-0.01</v>
      </c>
      <c r="EA83" s="32">
        <v>-7.0000000000000007E-2</v>
      </c>
      <c r="EB83" s="32">
        <v>0.01</v>
      </c>
      <c r="EC83" s="32">
        <v>-0.14000000000000001</v>
      </c>
      <c r="ED83" s="32">
        <v>-7.0000000000000007E-2</v>
      </c>
      <c r="EE83" s="32">
        <v>-7.0000000000000007E-2</v>
      </c>
      <c r="EF83" s="32">
        <v>0.04</v>
      </c>
      <c r="EG83" s="32">
        <v>-0.03</v>
      </c>
      <c r="EH83" s="32">
        <v>0.01</v>
      </c>
      <c r="EI83" s="32">
        <v>-0.02</v>
      </c>
      <c r="EJ83" s="32">
        <v>0.04</v>
      </c>
      <c r="EK83" s="32">
        <v>0.02</v>
      </c>
      <c r="EL83" s="32">
        <v>-0.08</v>
      </c>
      <c r="EM83" s="32">
        <v>0</v>
      </c>
      <c r="EN83" s="32">
        <v>-0.08</v>
      </c>
      <c r="EO83" s="32">
        <v>-0.09</v>
      </c>
    </row>
    <row r="84" spans="1:145" x14ac:dyDescent="0.25">
      <c r="A84" s="31" t="s">
        <v>162</v>
      </c>
      <c r="B84" s="32">
        <v>0.22</v>
      </c>
      <c r="C84" s="32">
        <v>-0.02</v>
      </c>
      <c r="D84" s="32">
        <v>-0.01</v>
      </c>
      <c r="E84" s="32">
        <v>0.06</v>
      </c>
      <c r="F84" s="32">
        <v>7.0000000000000007E-2</v>
      </c>
      <c r="G84" s="32">
        <v>0.03</v>
      </c>
      <c r="H84" s="32">
        <v>-0.06</v>
      </c>
      <c r="I84" s="32">
        <v>0.11</v>
      </c>
      <c r="J84" s="32">
        <v>0.11</v>
      </c>
      <c r="K84" s="32">
        <v>0.15</v>
      </c>
      <c r="L84" s="32">
        <v>0</v>
      </c>
      <c r="M84" s="32">
        <v>7.0000000000000007E-2</v>
      </c>
      <c r="N84" s="32">
        <v>0.06</v>
      </c>
      <c r="O84" s="32">
        <v>0.04</v>
      </c>
      <c r="P84" s="32">
        <v>0.21</v>
      </c>
      <c r="Q84" s="32">
        <v>0.06</v>
      </c>
      <c r="R84" s="32">
        <v>0.04</v>
      </c>
      <c r="S84" s="32">
        <v>0.11</v>
      </c>
      <c r="T84" s="32">
        <v>0.16</v>
      </c>
      <c r="U84" s="32">
        <v>7.0000000000000007E-2</v>
      </c>
      <c r="V84" s="32">
        <v>-0.03</v>
      </c>
      <c r="W84" s="32">
        <v>0.15</v>
      </c>
      <c r="X84" s="32">
        <v>0.2</v>
      </c>
      <c r="Y84" s="32">
        <v>0.25</v>
      </c>
      <c r="Z84" s="32">
        <v>0.01</v>
      </c>
      <c r="AA84" s="32">
        <v>0</v>
      </c>
      <c r="AB84" s="32">
        <v>0.27</v>
      </c>
      <c r="AC84" s="32">
        <v>-0.08</v>
      </c>
      <c r="AD84" s="32">
        <v>0.01</v>
      </c>
      <c r="AE84" s="32">
        <v>-0.04</v>
      </c>
      <c r="AF84" s="32">
        <v>0.02</v>
      </c>
      <c r="AG84" s="32">
        <v>0.12</v>
      </c>
      <c r="AH84" s="32">
        <v>7.0000000000000007E-2</v>
      </c>
      <c r="AI84" s="32">
        <v>0.03</v>
      </c>
      <c r="AJ84" s="32">
        <v>-0.03</v>
      </c>
      <c r="AK84" s="32">
        <v>0.05</v>
      </c>
      <c r="AL84" s="32">
        <v>-0.03</v>
      </c>
      <c r="AM84" s="32">
        <v>0.09</v>
      </c>
      <c r="AN84" s="32">
        <v>0.14000000000000001</v>
      </c>
      <c r="AO84" s="32">
        <v>0.18</v>
      </c>
      <c r="AP84" s="32">
        <v>0.15</v>
      </c>
      <c r="AQ84" s="32">
        <v>0.01</v>
      </c>
      <c r="AR84" s="32">
        <v>0.16</v>
      </c>
      <c r="AS84" s="32">
        <v>0.01</v>
      </c>
      <c r="AT84" s="32">
        <v>0.24</v>
      </c>
      <c r="AU84" s="32">
        <v>0.13</v>
      </c>
      <c r="AV84" s="32">
        <v>7.0000000000000007E-2</v>
      </c>
      <c r="AW84" s="32">
        <v>0.11</v>
      </c>
      <c r="AX84" s="32">
        <v>0.11</v>
      </c>
      <c r="AY84" s="32">
        <v>0.27</v>
      </c>
      <c r="AZ84" s="32">
        <v>-0.03</v>
      </c>
      <c r="BA84" s="32">
        <v>0.1</v>
      </c>
      <c r="BB84" s="32">
        <v>0.17</v>
      </c>
      <c r="BC84" s="32">
        <v>7.0000000000000007E-2</v>
      </c>
      <c r="BD84" s="32">
        <v>0.09</v>
      </c>
      <c r="BE84" s="32">
        <v>0.14000000000000001</v>
      </c>
      <c r="BF84" s="32">
        <v>0.09</v>
      </c>
      <c r="BG84" s="32">
        <v>0.17</v>
      </c>
      <c r="BH84" s="32">
        <v>0.06</v>
      </c>
      <c r="BI84" s="32">
        <v>0.08</v>
      </c>
      <c r="BJ84" s="32">
        <v>0.01</v>
      </c>
      <c r="BK84" s="32">
        <v>0.08</v>
      </c>
      <c r="BL84" s="32">
        <v>0.13</v>
      </c>
      <c r="BM84" s="32">
        <v>0.15</v>
      </c>
      <c r="BN84" s="32">
        <v>0.68</v>
      </c>
      <c r="BO84" s="32">
        <v>0.09</v>
      </c>
      <c r="BP84" s="32">
        <v>7.0000000000000007E-2</v>
      </c>
      <c r="BQ84" s="32">
        <v>0.11</v>
      </c>
      <c r="BR84" s="32">
        <v>7.0000000000000007E-2</v>
      </c>
      <c r="BS84" s="32">
        <v>-0.01</v>
      </c>
      <c r="BT84" s="32">
        <v>0.03</v>
      </c>
      <c r="BU84" s="32">
        <v>-0.01</v>
      </c>
      <c r="BV84" s="32">
        <v>0.06</v>
      </c>
      <c r="BW84" s="32">
        <v>0.14000000000000001</v>
      </c>
      <c r="BX84" s="32">
        <v>0.17</v>
      </c>
      <c r="BY84" s="32">
        <v>-0.01</v>
      </c>
      <c r="BZ84" s="32">
        <v>0.19</v>
      </c>
      <c r="CA84" s="32">
        <v>0.02</v>
      </c>
      <c r="CB84" s="32">
        <v>0.11</v>
      </c>
      <c r="CC84" s="32">
        <v>1</v>
      </c>
      <c r="CD84" s="32">
        <v>0.16</v>
      </c>
      <c r="CE84" s="32">
        <v>0.05</v>
      </c>
      <c r="CF84" s="32">
        <v>0.02</v>
      </c>
      <c r="CG84" s="32">
        <v>0.18</v>
      </c>
      <c r="CH84" s="32">
        <v>0.09</v>
      </c>
      <c r="CI84" s="32">
        <v>0.04</v>
      </c>
      <c r="CJ84" s="32">
        <v>0.1</v>
      </c>
      <c r="CK84" s="32">
        <v>0.17</v>
      </c>
      <c r="CL84" s="32">
        <v>0.06</v>
      </c>
      <c r="CM84" s="32">
        <v>0.03</v>
      </c>
      <c r="CN84" s="32">
        <v>0.03</v>
      </c>
      <c r="CO84" s="32">
        <v>0.12</v>
      </c>
      <c r="CP84" s="32">
        <v>0.05</v>
      </c>
      <c r="CQ84" s="32">
        <v>0.17</v>
      </c>
      <c r="CR84" s="32">
        <v>0.06</v>
      </c>
      <c r="CS84" s="32">
        <v>0.09</v>
      </c>
      <c r="CT84" s="32">
        <v>0.17</v>
      </c>
      <c r="CU84" s="32">
        <v>0.01</v>
      </c>
      <c r="CV84" s="32">
        <v>0.12</v>
      </c>
      <c r="CW84" s="32">
        <v>0.06</v>
      </c>
      <c r="CX84" s="32">
        <v>0.13</v>
      </c>
      <c r="CY84" s="32">
        <v>0.13</v>
      </c>
      <c r="CZ84" s="32">
        <v>0.11</v>
      </c>
      <c r="DA84" s="32">
        <v>0.14000000000000001</v>
      </c>
      <c r="DB84" s="32">
        <v>0.12</v>
      </c>
      <c r="DC84" s="32">
        <v>0.02</v>
      </c>
      <c r="DD84" s="32">
        <v>0.21</v>
      </c>
      <c r="DE84" s="32">
        <v>0.06</v>
      </c>
      <c r="DF84" s="32">
        <v>7.0000000000000007E-2</v>
      </c>
      <c r="DG84" s="32">
        <v>0.05</v>
      </c>
      <c r="DH84" s="32">
        <v>-0.03</v>
      </c>
      <c r="DI84" s="32">
        <v>0.19</v>
      </c>
      <c r="DJ84" s="32">
        <v>0.13</v>
      </c>
      <c r="DK84" s="32">
        <v>0.17</v>
      </c>
      <c r="DL84" s="32">
        <v>0.03</v>
      </c>
      <c r="DM84" s="32">
        <v>0.1</v>
      </c>
      <c r="DN84" s="32">
        <v>0.17</v>
      </c>
      <c r="DO84" s="32">
        <v>0.06</v>
      </c>
      <c r="DP84" s="32">
        <v>0.1</v>
      </c>
      <c r="DQ84" s="32">
        <v>0.01</v>
      </c>
      <c r="DR84" s="32">
        <v>0.12</v>
      </c>
      <c r="DS84" s="32">
        <v>0.17</v>
      </c>
      <c r="DT84" s="32">
        <v>0.08</v>
      </c>
      <c r="DU84" s="32">
        <v>0.15</v>
      </c>
      <c r="DV84" s="32">
        <v>7.0000000000000007E-2</v>
      </c>
      <c r="DW84" s="32">
        <v>0.11</v>
      </c>
      <c r="DX84" s="32">
        <v>0.03</v>
      </c>
      <c r="DY84" s="32">
        <v>0.1</v>
      </c>
      <c r="DZ84" s="32">
        <v>0.08</v>
      </c>
      <c r="EA84" s="32">
        <v>7.0000000000000007E-2</v>
      </c>
      <c r="EB84" s="32">
        <v>0.14000000000000001</v>
      </c>
      <c r="EC84" s="32">
        <v>0.05</v>
      </c>
      <c r="ED84" s="32">
        <v>0.11</v>
      </c>
      <c r="EE84" s="32">
        <v>0.09</v>
      </c>
      <c r="EF84" s="32">
        <v>0.08</v>
      </c>
      <c r="EG84" s="32">
        <v>0.08</v>
      </c>
      <c r="EH84" s="32">
        <v>0.12</v>
      </c>
      <c r="EI84" s="32">
        <v>0.02</v>
      </c>
      <c r="EJ84" s="32">
        <v>0.11</v>
      </c>
      <c r="EK84" s="32">
        <v>0.15</v>
      </c>
      <c r="EL84" s="32">
        <v>0.05</v>
      </c>
      <c r="EM84" s="32">
        <v>0.05</v>
      </c>
      <c r="EN84" s="32">
        <v>0.1</v>
      </c>
      <c r="EO84" s="32">
        <v>0.09</v>
      </c>
    </row>
    <row r="85" spans="1:145" x14ac:dyDescent="0.25">
      <c r="A85" s="31" t="s">
        <v>163</v>
      </c>
      <c r="B85" s="32">
        <v>0.18</v>
      </c>
      <c r="C85" s="32">
        <v>-0.04</v>
      </c>
      <c r="D85" s="32">
        <v>0.04</v>
      </c>
      <c r="E85" s="32">
        <v>0.05</v>
      </c>
      <c r="F85" s="32">
        <v>0.16</v>
      </c>
      <c r="G85" s="32">
        <v>0.02</v>
      </c>
      <c r="H85" s="32">
        <v>0.05</v>
      </c>
      <c r="I85" s="32">
        <v>0.22</v>
      </c>
      <c r="J85" s="32">
        <v>0.09</v>
      </c>
      <c r="K85" s="32">
        <v>0.12</v>
      </c>
      <c r="L85" s="32">
        <v>0.15</v>
      </c>
      <c r="M85" s="32">
        <v>0.28000000000000003</v>
      </c>
      <c r="N85" s="32">
        <v>0.24</v>
      </c>
      <c r="O85" s="32">
        <v>0.03</v>
      </c>
      <c r="P85" s="32">
        <v>0.19</v>
      </c>
      <c r="Q85" s="32">
        <v>0.04</v>
      </c>
      <c r="R85" s="32">
        <v>0.15</v>
      </c>
      <c r="S85" s="32">
        <v>0.11</v>
      </c>
      <c r="T85" s="32">
        <v>0.25</v>
      </c>
      <c r="U85" s="32">
        <v>0.1</v>
      </c>
      <c r="V85" s="32">
        <v>0</v>
      </c>
      <c r="W85" s="32">
        <v>0.02</v>
      </c>
      <c r="X85" s="32">
        <v>0.2</v>
      </c>
      <c r="Y85" s="32">
        <v>0.31</v>
      </c>
      <c r="Z85" s="32">
        <v>0.11</v>
      </c>
      <c r="AA85" s="32">
        <v>0.08</v>
      </c>
      <c r="AB85" s="32">
        <v>0.33</v>
      </c>
      <c r="AC85" s="32">
        <v>-0.05</v>
      </c>
      <c r="AD85" s="32">
        <v>-0.04</v>
      </c>
      <c r="AE85" s="32">
        <v>0.11</v>
      </c>
      <c r="AF85" s="32">
        <v>-0.05</v>
      </c>
      <c r="AG85" s="32">
        <v>0</v>
      </c>
      <c r="AH85" s="32">
        <v>0.05</v>
      </c>
      <c r="AI85" s="32">
        <v>-0.08</v>
      </c>
      <c r="AJ85" s="32">
        <v>-7.0000000000000007E-2</v>
      </c>
      <c r="AK85" s="32">
        <v>-0.02</v>
      </c>
      <c r="AL85" s="32">
        <v>0.19</v>
      </c>
      <c r="AM85" s="32">
        <v>0.2</v>
      </c>
      <c r="AN85" s="32">
        <v>0.28999999999999998</v>
      </c>
      <c r="AO85" s="32">
        <v>0.17</v>
      </c>
      <c r="AP85" s="32">
        <v>0.33</v>
      </c>
      <c r="AQ85" s="32">
        <v>-0.08</v>
      </c>
      <c r="AR85" s="32">
        <v>0.2</v>
      </c>
      <c r="AS85" s="32">
        <v>0.1</v>
      </c>
      <c r="AT85" s="32">
        <v>0.32</v>
      </c>
      <c r="AU85" s="32">
        <v>0.05</v>
      </c>
      <c r="AV85" s="32">
        <v>-0.02</v>
      </c>
      <c r="AW85" s="32">
        <v>0.09</v>
      </c>
      <c r="AX85" s="32">
        <v>0.2</v>
      </c>
      <c r="AY85" s="32">
        <v>0.22</v>
      </c>
      <c r="AZ85" s="32">
        <v>0.08</v>
      </c>
      <c r="BA85" s="32">
        <v>0.21</v>
      </c>
      <c r="BB85" s="32">
        <v>0.22</v>
      </c>
      <c r="BC85" s="32">
        <v>0.01</v>
      </c>
      <c r="BD85" s="32">
        <v>0.09</v>
      </c>
      <c r="BE85" s="32">
        <v>0.12</v>
      </c>
      <c r="BF85" s="32">
        <v>0.12</v>
      </c>
      <c r="BG85" s="32">
        <v>0.26</v>
      </c>
      <c r="BH85" s="32">
        <v>0.11</v>
      </c>
      <c r="BI85" s="32">
        <v>7.0000000000000007E-2</v>
      </c>
      <c r="BJ85" s="32">
        <v>-0.05</v>
      </c>
      <c r="BK85" s="32">
        <v>0.09</v>
      </c>
      <c r="BL85" s="32">
        <v>0.19</v>
      </c>
      <c r="BM85" s="32">
        <v>0.25</v>
      </c>
      <c r="BN85" s="32">
        <v>0.12</v>
      </c>
      <c r="BO85" s="32">
        <v>0.32</v>
      </c>
      <c r="BP85" s="32">
        <v>0.3</v>
      </c>
      <c r="BQ85" s="32">
        <v>0.15</v>
      </c>
      <c r="BR85" s="32">
        <v>0.28000000000000003</v>
      </c>
      <c r="BS85" s="32">
        <v>0.01</v>
      </c>
      <c r="BT85" s="32">
        <v>0.28000000000000003</v>
      </c>
      <c r="BU85" s="32">
        <v>0.08</v>
      </c>
      <c r="BV85" s="32">
        <v>0.32</v>
      </c>
      <c r="BW85" s="32">
        <v>0.28000000000000003</v>
      </c>
      <c r="BX85" s="32">
        <v>0.1</v>
      </c>
      <c r="BY85" s="32">
        <v>0.18</v>
      </c>
      <c r="BZ85" s="32">
        <v>0.27</v>
      </c>
      <c r="CA85" s="32">
        <v>-0.02</v>
      </c>
      <c r="CB85" s="32">
        <v>0.02</v>
      </c>
      <c r="CC85" s="32">
        <v>0.16</v>
      </c>
      <c r="CD85" s="32">
        <v>1</v>
      </c>
      <c r="CE85" s="32">
        <v>0.04</v>
      </c>
      <c r="CF85" s="32">
        <v>-0.01</v>
      </c>
      <c r="CG85" s="32">
        <v>0.49</v>
      </c>
      <c r="CH85" s="32">
        <v>0.12</v>
      </c>
      <c r="CI85" s="32">
        <v>0.01</v>
      </c>
      <c r="CJ85" s="32">
        <v>0.3</v>
      </c>
      <c r="CK85" s="32">
        <v>0.23</v>
      </c>
      <c r="CL85" s="32">
        <v>0.14000000000000001</v>
      </c>
      <c r="CM85" s="32">
        <v>0.19</v>
      </c>
      <c r="CN85" s="32">
        <v>0.03</v>
      </c>
      <c r="CO85" s="32">
        <v>0.06</v>
      </c>
      <c r="CP85" s="32">
        <v>0.22</v>
      </c>
      <c r="CQ85" s="32">
        <v>0.26</v>
      </c>
      <c r="CR85" s="32">
        <v>0.22</v>
      </c>
      <c r="CS85" s="32">
        <v>0.04</v>
      </c>
      <c r="CT85" s="32">
        <v>0.25</v>
      </c>
      <c r="CU85" s="32">
        <v>0.21</v>
      </c>
      <c r="CV85" s="32">
        <v>0.26</v>
      </c>
      <c r="CW85" s="32">
        <v>0.44</v>
      </c>
      <c r="CX85" s="32">
        <v>0.26</v>
      </c>
      <c r="CY85" s="32">
        <v>0.22</v>
      </c>
      <c r="CZ85" s="32">
        <v>0.23</v>
      </c>
      <c r="DA85" s="32">
        <v>0.32</v>
      </c>
      <c r="DB85" s="32">
        <v>0.17</v>
      </c>
      <c r="DC85" s="32">
        <v>0.09</v>
      </c>
      <c r="DD85" s="32">
        <v>0.33</v>
      </c>
      <c r="DE85" s="32">
        <v>0.11</v>
      </c>
      <c r="DF85" s="32">
        <v>0.25</v>
      </c>
      <c r="DG85" s="32">
        <v>0.14000000000000001</v>
      </c>
      <c r="DH85" s="32">
        <v>0.12</v>
      </c>
      <c r="DI85" s="32">
        <v>0.23</v>
      </c>
      <c r="DJ85" s="32">
        <v>0.35</v>
      </c>
      <c r="DK85" s="32">
        <v>0.27</v>
      </c>
      <c r="DL85" s="32">
        <v>-0.01</v>
      </c>
      <c r="DM85" s="32">
        <v>0.34</v>
      </c>
      <c r="DN85" s="32">
        <v>0.33</v>
      </c>
      <c r="DO85" s="32">
        <v>0.1</v>
      </c>
      <c r="DP85" s="32">
        <v>0.36</v>
      </c>
      <c r="DQ85" s="32">
        <v>0.1</v>
      </c>
      <c r="DR85" s="32">
        <v>0.16</v>
      </c>
      <c r="DS85" s="32">
        <v>0.44</v>
      </c>
      <c r="DT85" s="32">
        <v>0.24</v>
      </c>
      <c r="DU85" s="32">
        <v>0.3</v>
      </c>
      <c r="DV85" s="32">
        <v>0.32</v>
      </c>
      <c r="DW85" s="32">
        <v>0.37</v>
      </c>
      <c r="DX85" s="32">
        <v>0.06</v>
      </c>
      <c r="DY85" s="32">
        <v>0.37</v>
      </c>
      <c r="DZ85" s="32">
        <v>0.25</v>
      </c>
      <c r="EA85" s="32">
        <v>0.27</v>
      </c>
      <c r="EB85" s="32">
        <v>0.31</v>
      </c>
      <c r="EC85" s="32">
        <v>-0.02</v>
      </c>
      <c r="ED85" s="32">
        <v>0.12</v>
      </c>
      <c r="EE85" s="32">
        <v>0.16</v>
      </c>
      <c r="EF85" s="32">
        <v>7.0000000000000007E-2</v>
      </c>
      <c r="EG85" s="32">
        <v>0.04</v>
      </c>
      <c r="EH85" s="32">
        <v>0.25</v>
      </c>
      <c r="EI85" s="32">
        <v>0.11</v>
      </c>
      <c r="EJ85" s="32">
        <v>0.24</v>
      </c>
      <c r="EK85" s="32">
        <v>0.15</v>
      </c>
      <c r="EL85" s="32">
        <v>0.17</v>
      </c>
      <c r="EM85" s="32">
        <v>0.22</v>
      </c>
      <c r="EN85" s="32">
        <v>0.25</v>
      </c>
      <c r="EO85" s="32">
        <v>0.11</v>
      </c>
    </row>
    <row r="86" spans="1:145" x14ac:dyDescent="0.25">
      <c r="A86" s="31" t="s">
        <v>164</v>
      </c>
      <c r="B86" s="32">
        <v>7.0000000000000007E-2</v>
      </c>
      <c r="C86" s="32">
        <v>-0.03</v>
      </c>
      <c r="D86" s="32">
        <v>0.05</v>
      </c>
      <c r="E86" s="32">
        <v>0</v>
      </c>
      <c r="F86" s="32">
        <v>-0.08</v>
      </c>
      <c r="G86" s="32">
        <v>-0.02</v>
      </c>
      <c r="H86" s="32">
        <v>0.02</v>
      </c>
      <c r="I86" s="32">
        <v>-0.01</v>
      </c>
      <c r="J86" s="32">
        <v>0.01</v>
      </c>
      <c r="K86" s="32">
        <v>-0.04</v>
      </c>
      <c r="L86" s="32">
        <v>0.06</v>
      </c>
      <c r="M86" s="32">
        <v>0.1</v>
      </c>
      <c r="N86" s="32">
        <v>0.05</v>
      </c>
      <c r="O86" s="32">
        <v>-0.04</v>
      </c>
      <c r="P86" s="32">
        <v>0.09</v>
      </c>
      <c r="Q86" s="32">
        <v>0.02</v>
      </c>
      <c r="R86" s="32">
        <v>0.01</v>
      </c>
      <c r="S86" s="32">
        <v>-0.03</v>
      </c>
      <c r="T86" s="32">
        <v>0.28000000000000003</v>
      </c>
      <c r="U86" s="32">
        <v>0.1</v>
      </c>
      <c r="V86" s="32">
        <v>0.05</v>
      </c>
      <c r="W86" s="32">
        <v>0.06</v>
      </c>
      <c r="X86" s="32">
        <v>0.27</v>
      </c>
      <c r="Y86" s="32">
        <v>0.12</v>
      </c>
      <c r="Z86" s="32">
        <v>-0.02</v>
      </c>
      <c r="AA86" s="32">
        <v>0.08</v>
      </c>
      <c r="AB86" s="32">
        <v>0.08</v>
      </c>
      <c r="AC86" s="32">
        <v>7.0000000000000007E-2</v>
      </c>
      <c r="AD86" s="32">
        <v>7.0000000000000007E-2</v>
      </c>
      <c r="AE86" s="32">
        <v>0.14000000000000001</v>
      </c>
      <c r="AF86" s="32">
        <v>0.08</v>
      </c>
      <c r="AG86" s="32">
        <v>-0.02</v>
      </c>
      <c r="AH86" s="32">
        <v>-0.03</v>
      </c>
      <c r="AI86" s="32">
        <v>0.11</v>
      </c>
      <c r="AJ86" s="32">
        <v>0.08</v>
      </c>
      <c r="AK86" s="32">
        <v>0.05</v>
      </c>
      <c r="AL86" s="32">
        <v>0.21</v>
      </c>
      <c r="AM86" s="32">
        <v>0.13</v>
      </c>
      <c r="AN86" s="32">
        <v>0.09</v>
      </c>
      <c r="AO86" s="32">
        <v>0.09</v>
      </c>
      <c r="AP86" s="32">
        <v>0.01</v>
      </c>
      <c r="AQ86" s="32">
        <v>0.11</v>
      </c>
      <c r="AR86" s="32">
        <v>0.28000000000000003</v>
      </c>
      <c r="AS86" s="32">
        <v>7.0000000000000007E-2</v>
      </c>
      <c r="AT86" s="32">
        <v>0.22</v>
      </c>
      <c r="AU86" s="32">
        <v>0.03</v>
      </c>
      <c r="AV86" s="32">
        <v>0.04</v>
      </c>
      <c r="AW86" s="32">
        <v>0.14000000000000001</v>
      </c>
      <c r="AX86" s="32">
        <v>0.11</v>
      </c>
      <c r="AY86" s="32">
        <v>0.18</v>
      </c>
      <c r="AZ86" s="32">
        <v>0.16</v>
      </c>
      <c r="BA86" s="32">
        <v>0.17</v>
      </c>
      <c r="BB86" s="32">
        <v>0.39</v>
      </c>
      <c r="BC86" s="32">
        <v>0.06</v>
      </c>
      <c r="BD86" s="32">
        <v>0.12</v>
      </c>
      <c r="BE86" s="32">
        <v>0.06</v>
      </c>
      <c r="BF86" s="32">
        <v>0.05</v>
      </c>
      <c r="BG86" s="32">
        <v>0.08</v>
      </c>
      <c r="BH86" s="32">
        <v>0.1</v>
      </c>
      <c r="BI86" s="32">
        <v>0.02</v>
      </c>
      <c r="BJ86" s="32">
        <v>-0.05</v>
      </c>
      <c r="BK86" s="32">
        <v>0.19</v>
      </c>
      <c r="BL86" s="32">
        <v>0.23</v>
      </c>
      <c r="BM86" s="32">
        <v>0.13</v>
      </c>
      <c r="BN86" s="32">
        <v>0.05</v>
      </c>
      <c r="BO86" s="32">
        <v>0.17</v>
      </c>
      <c r="BP86" s="32">
        <v>0.08</v>
      </c>
      <c r="BQ86" s="32">
        <v>0.19</v>
      </c>
      <c r="BR86" s="32">
        <v>0.19</v>
      </c>
      <c r="BS86" s="32">
        <v>0.12</v>
      </c>
      <c r="BT86" s="32">
        <v>0.14000000000000001</v>
      </c>
      <c r="BU86" s="32">
        <v>0.11</v>
      </c>
      <c r="BV86" s="32">
        <v>0.2</v>
      </c>
      <c r="BW86" s="32">
        <v>0.12</v>
      </c>
      <c r="BX86" s="32">
        <v>0</v>
      </c>
      <c r="BY86" s="32">
        <v>0.2</v>
      </c>
      <c r="BZ86" s="32">
        <v>0.11</v>
      </c>
      <c r="CA86" s="32">
        <v>0.06</v>
      </c>
      <c r="CB86" s="32">
        <v>-0.09</v>
      </c>
      <c r="CC86" s="32">
        <v>0.05</v>
      </c>
      <c r="CD86" s="32">
        <v>0.04</v>
      </c>
      <c r="CE86" s="32">
        <v>1</v>
      </c>
      <c r="CF86" s="32">
        <v>0.14000000000000001</v>
      </c>
      <c r="CG86" s="32">
        <v>0.14000000000000001</v>
      </c>
      <c r="CH86" s="32">
        <v>0.2</v>
      </c>
      <c r="CI86" s="32">
        <v>0.15</v>
      </c>
      <c r="CJ86" s="32">
        <v>0.02</v>
      </c>
      <c r="CK86" s="32">
        <v>0.05</v>
      </c>
      <c r="CL86" s="32">
        <v>0.18</v>
      </c>
      <c r="CM86" s="32">
        <v>0.3</v>
      </c>
      <c r="CN86" s="32">
        <v>0.05</v>
      </c>
      <c r="CO86" s="32">
        <v>0.06</v>
      </c>
      <c r="CP86" s="32">
        <v>0.05</v>
      </c>
      <c r="CQ86" s="32">
        <v>0.23</v>
      </c>
      <c r="CR86" s="32">
        <v>0.36</v>
      </c>
      <c r="CS86" s="32">
        <v>0.39</v>
      </c>
      <c r="CT86" s="32">
        <v>0.18</v>
      </c>
      <c r="CU86" s="32">
        <v>0.12</v>
      </c>
      <c r="CV86" s="32">
        <v>0.12</v>
      </c>
      <c r="CW86" s="32">
        <v>0.06</v>
      </c>
      <c r="CX86" s="32">
        <v>0.09</v>
      </c>
      <c r="CY86" s="32">
        <v>0.16</v>
      </c>
      <c r="CZ86" s="32">
        <v>0.17</v>
      </c>
      <c r="DA86" s="32">
        <v>0.02</v>
      </c>
      <c r="DB86" s="32">
        <v>0.24</v>
      </c>
      <c r="DC86" s="32">
        <v>7.0000000000000007E-2</v>
      </c>
      <c r="DD86" s="32">
        <v>0.22</v>
      </c>
      <c r="DE86" s="32">
        <v>0.32</v>
      </c>
      <c r="DF86" s="32">
        <v>0.01</v>
      </c>
      <c r="DG86" s="32">
        <v>0.15</v>
      </c>
      <c r="DH86" s="32">
        <v>0.38</v>
      </c>
      <c r="DI86" s="32">
        <v>0.14000000000000001</v>
      </c>
      <c r="DJ86" s="32">
        <v>0.16</v>
      </c>
      <c r="DK86" s="32">
        <v>0.22</v>
      </c>
      <c r="DL86" s="32">
        <v>0.06</v>
      </c>
      <c r="DM86" s="32">
        <v>0.2</v>
      </c>
      <c r="DN86" s="32">
        <v>0.13</v>
      </c>
      <c r="DO86" s="32">
        <v>0.28999999999999998</v>
      </c>
      <c r="DP86" s="32">
        <v>0.15</v>
      </c>
      <c r="DQ86" s="32">
        <v>0.24</v>
      </c>
      <c r="DR86" s="32">
        <v>0.16</v>
      </c>
      <c r="DS86" s="32">
        <v>7.0000000000000007E-2</v>
      </c>
      <c r="DT86" s="32">
        <v>0.24</v>
      </c>
      <c r="DU86" s="32">
        <v>0.23</v>
      </c>
      <c r="DV86" s="32">
        <v>0.21</v>
      </c>
      <c r="DW86" s="32">
        <v>0.14000000000000001</v>
      </c>
      <c r="DX86" s="32">
        <v>0.39</v>
      </c>
      <c r="DY86" s="32">
        <v>0.23</v>
      </c>
      <c r="DZ86" s="32">
        <v>0.15</v>
      </c>
      <c r="EA86" s="32">
        <v>0.06</v>
      </c>
      <c r="EB86" s="32">
        <v>0.26</v>
      </c>
      <c r="EC86" s="32">
        <v>0.09</v>
      </c>
      <c r="ED86" s="32">
        <v>0.21</v>
      </c>
      <c r="EE86" s="32">
        <v>0.34</v>
      </c>
      <c r="EF86" s="32">
        <v>0.24</v>
      </c>
      <c r="EG86" s="32">
        <v>0.26</v>
      </c>
      <c r="EH86" s="32">
        <v>0.02</v>
      </c>
      <c r="EI86" s="32">
        <v>0.24</v>
      </c>
      <c r="EJ86" s="32">
        <v>0.09</v>
      </c>
      <c r="EK86" s="32">
        <v>0.27</v>
      </c>
      <c r="EL86" s="32">
        <v>0.21</v>
      </c>
      <c r="EM86" s="32">
        <v>7.0000000000000007E-2</v>
      </c>
      <c r="EN86" s="32">
        <v>0.05</v>
      </c>
      <c r="EO86" s="32">
        <v>0.1</v>
      </c>
    </row>
    <row r="87" spans="1:145" x14ac:dyDescent="0.25">
      <c r="A87" s="31" t="s">
        <v>165</v>
      </c>
      <c r="B87" s="32">
        <v>0.08</v>
      </c>
      <c r="C87" s="32">
        <v>-0.04</v>
      </c>
      <c r="D87" s="32">
        <v>-0.04</v>
      </c>
      <c r="E87" s="32">
        <v>0.03</v>
      </c>
      <c r="F87" s="32">
        <v>0.23</v>
      </c>
      <c r="G87" s="32">
        <v>0.02</v>
      </c>
      <c r="H87" s="32">
        <v>-0.13</v>
      </c>
      <c r="I87" s="32">
        <v>0.06</v>
      </c>
      <c r="J87" s="32">
        <v>0.16</v>
      </c>
      <c r="K87" s="32">
        <v>0.01</v>
      </c>
      <c r="L87" s="32">
        <v>0</v>
      </c>
      <c r="M87" s="32">
        <v>-0.09</v>
      </c>
      <c r="N87" s="32">
        <v>0.08</v>
      </c>
      <c r="O87" s="32">
        <v>-0.02</v>
      </c>
      <c r="P87" s="32">
        <v>0.21</v>
      </c>
      <c r="Q87" s="32">
        <v>-0.06</v>
      </c>
      <c r="R87" s="32">
        <v>0.19</v>
      </c>
      <c r="S87" s="32">
        <v>-0.1</v>
      </c>
      <c r="T87" s="32">
        <v>0.01</v>
      </c>
      <c r="U87" s="32">
        <v>-0.09</v>
      </c>
      <c r="V87" s="32">
        <v>-0.1</v>
      </c>
      <c r="W87" s="32">
        <v>-0.01</v>
      </c>
      <c r="X87" s="32">
        <v>-0.02</v>
      </c>
      <c r="Y87" s="32">
        <v>0.03</v>
      </c>
      <c r="Z87" s="32">
        <v>-0.06</v>
      </c>
      <c r="AA87" s="32">
        <v>-7.0000000000000007E-2</v>
      </c>
      <c r="AB87" s="32">
        <v>0.02</v>
      </c>
      <c r="AC87" s="32">
        <v>-0.05</v>
      </c>
      <c r="AD87" s="32">
        <v>0.09</v>
      </c>
      <c r="AE87" s="32">
        <v>-0.22</v>
      </c>
      <c r="AF87" s="32">
        <v>-0.08</v>
      </c>
      <c r="AG87" s="32">
        <v>0.25</v>
      </c>
      <c r="AH87" s="32">
        <v>0.22</v>
      </c>
      <c r="AI87" s="32">
        <v>0.75</v>
      </c>
      <c r="AJ87" s="32">
        <v>-0.03</v>
      </c>
      <c r="AK87" s="32">
        <v>-0.19</v>
      </c>
      <c r="AL87" s="32">
        <v>0.01</v>
      </c>
      <c r="AM87" s="32">
        <v>-0.11</v>
      </c>
      <c r="AN87" s="32">
        <v>-0.17</v>
      </c>
      <c r="AO87" s="32">
        <v>7.0000000000000007E-2</v>
      </c>
      <c r="AP87" s="32">
        <v>-0.1</v>
      </c>
      <c r="AQ87" s="32">
        <v>0.78</v>
      </c>
      <c r="AR87" s="32">
        <v>0.05</v>
      </c>
      <c r="AS87" s="32">
        <v>-0.16</v>
      </c>
      <c r="AT87" s="32">
        <v>-7.0000000000000007E-2</v>
      </c>
      <c r="AU87" s="32">
        <v>0.13</v>
      </c>
      <c r="AV87" s="32">
        <v>-0.05</v>
      </c>
      <c r="AW87" s="32">
        <v>-0.08</v>
      </c>
      <c r="AX87" s="32">
        <v>7.0000000000000007E-2</v>
      </c>
      <c r="AY87" s="32">
        <v>0.04</v>
      </c>
      <c r="AZ87" s="32">
        <v>-0.18</v>
      </c>
      <c r="BA87" s="32">
        <v>-0.02</v>
      </c>
      <c r="BB87" s="32">
        <v>-0.13</v>
      </c>
      <c r="BC87" s="32">
        <v>-0.02</v>
      </c>
      <c r="BD87" s="32">
        <v>-0.13</v>
      </c>
      <c r="BE87" s="32">
        <v>0.1</v>
      </c>
      <c r="BF87" s="32">
        <v>0.03</v>
      </c>
      <c r="BG87" s="32">
        <v>-0.04</v>
      </c>
      <c r="BH87" s="32">
        <v>-0.18</v>
      </c>
      <c r="BI87" s="32">
        <v>0.01</v>
      </c>
      <c r="BJ87" s="32">
        <v>0.04</v>
      </c>
      <c r="BK87" s="32">
        <v>-0.09</v>
      </c>
      <c r="BL87" s="32">
        <v>-0.03</v>
      </c>
      <c r="BM87" s="32">
        <v>0.04</v>
      </c>
      <c r="BN87" s="32">
        <v>0.06</v>
      </c>
      <c r="BO87" s="32">
        <v>-0.13</v>
      </c>
      <c r="BP87" s="32">
        <v>-0.05</v>
      </c>
      <c r="BQ87" s="32">
        <v>-0.19</v>
      </c>
      <c r="BR87" s="32">
        <v>0.04</v>
      </c>
      <c r="BS87" s="32">
        <v>0.84</v>
      </c>
      <c r="BT87" s="32">
        <v>-0.28000000000000003</v>
      </c>
      <c r="BU87" s="32">
        <v>-0.12</v>
      </c>
      <c r="BV87" s="32">
        <v>-7.0000000000000007E-2</v>
      </c>
      <c r="BW87" s="32">
        <v>7.0000000000000007E-2</v>
      </c>
      <c r="BX87" s="32">
        <v>0.02</v>
      </c>
      <c r="BY87" s="32">
        <v>-0.11</v>
      </c>
      <c r="BZ87" s="32">
        <v>-0.14000000000000001</v>
      </c>
      <c r="CA87" s="32">
        <v>-7.0000000000000007E-2</v>
      </c>
      <c r="CB87" s="32">
        <v>0.16</v>
      </c>
      <c r="CC87" s="32">
        <v>0.02</v>
      </c>
      <c r="CD87" s="32">
        <v>-0.01</v>
      </c>
      <c r="CE87" s="32">
        <v>0.14000000000000001</v>
      </c>
      <c r="CF87" s="32">
        <v>1</v>
      </c>
      <c r="CG87" s="32">
        <v>-0.09</v>
      </c>
      <c r="CH87" s="32">
        <v>-0.2</v>
      </c>
      <c r="CI87" s="32">
        <v>0.84</v>
      </c>
      <c r="CJ87" s="32">
        <v>0.05</v>
      </c>
      <c r="CK87" s="32">
        <v>0.02</v>
      </c>
      <c r="CL87" s="32">
        <v>-0.11</v>
      </c>
      <c r="CM87" s="32">
        <v>-0.12</v>
      </c>
      <c r="CN87" s="32">
        <v>0.02</v>
      </c>
      <c r="CO87" s="32">
        <v>-0.06</v>
      </c>
      <c r="CP87" s="32">
        <v>0.08</v>
      </c>
      <c r="CQ87" s="32">
        <v>-0.25</v>
      </c>
      <c r="CR87" s="32">
        <v>-0.12</v>
      </c>
      <c r="CS87" s="32">
        <v>-0.02</v>
      </c>
      <c r="CT87" s="32">
        <v>-0.05</v>
      </c>
      <c r="CU87" s="32">
        <v>-0.01</v>
      </c>
      <c r="CV87" s="32">
        <v>-0.18</v>
      </c>
      <c r="CW87" s="32">
        <v>-0.13</v>
      </c>
      <c r="CX87" s="32">
        <v>-0.12</v>
      </c>
      <c r="CY87" s="32">
        <v>-0.3</v>
      </c>
      <c r="CZ87" s="32">
        <v>0.1</v>
      </c>
      <c r="DA87" s="32">
        <v>-0.03</v>
      </c>
      <c r="DB87" s="32">
        <v>-0.11</v>
      </c>
      <c r="DC87" s="32">
        <v>-0.32</v>
      </c>
      <c r="DD87" s="32">
        <v>-0.11</v>
      </c>
      <c r="DE87" s="32">
        <v>-0.14000000000000001</v>
      </c>
      <c r="DF87" s="32">
        <v>0.11</v>
      </c>
      <c r="DG87" s="32">
        <v>-0.11</v>
      </c>
      <c r="DH87" s="32">
        <v>-0.06</v>
      </c>
      <c r="DI87" s="32">
        <v>-0.33</v>
      </c>
      <c r="DJ87" s="32">
        <v>-0.19</v>
      </c>
      <c r="DK87" s="32">
        <v>-0.32</v>
      </c>
      <c r="DL87" s="32">
        <v>-0.25</v>
      </c>
      <c r="DM87" s="32">
        <v>-0.26</v>
      </c>
      <c r="DN87" s="32">
        <v>-0.02</v>
      </c>
      <c r="DO87" s="32">
        <v>0</v>
      </c>
      <c r="DP87" s="32">
        <v>-0.24</v>
      </c>
      <c r="DQ87" s="32">
        <v>0.02</v>
      </c>
      <c r="DR87" s="32">
        <v>0.05</v>
      </c>
      <c r="DS87" s="32">
        <v>0</v>
      </c>
      <c r="DT87" s="32">
        <v>-0.04</v>
      </c>
      <c r="DU87" s="32">
        <v>-0.13</v>
      </c>
      <c r="DV87" s="32">
        <v>-0.03</v>
      </c>
      <c r="DW87" s="32">
        <v>-0.18</v>
      </c>
      <c r="DX87" s="32">
        <v>-0.1</v>
      </c>
      <c r="DY87" s="32">
        <v>-0.14000000000000001</v>
      </c>
      <c r="DZ87" s="32">
        <v>0.1</v>
      </c>
      <c r="EA87" s="32">
        <v>-0.14000000000000001</v>
      </c>
      <c r="EB87" s="32">
        <v>-7.0000000000000007E-2</v>
      </c>
      <c r="EC87" s="32">
        <v>-0.09</v>
      </c>
      <c r="ED87" s="32">
        <v>-0.05</v>
      </c>
      <c r="EE87" s="32">
        <v>-0.1</v>
      </c>
      <c r="EF87" s="32">
        <v>0.02</v>
      </c>
      <c r="EG87" s="32">
        <v>-0.06</v>
      </c>
      <c r="EH87" s="32">
        <v>-0.04</v>
      </c>
      <c r="EI87" s="32">
        <v>-0.08</v>
      </c>
      <c r="EJ87" s="32">
        <v>-0.01</v>
      </c>
      <c r="EK87" s="32">
        <v>0.04</v>
      </c>
      <c r="EL87" s="32">
        <v>-0.14000000000000001</v>
      </c>
      <c r="EM87" s="32">
        <v>0</v>
      </c>
      <c r="EN87" s="32">
        <v>-0.04</v>
      </c>
      <c r="EO87" s="32">
        <v>-0.05</v>
      </c>
    </row>
    <row r="88" spans="1:145" x14ac:dyDescent="0.25">
      <c r="A88" s="31" t="s">
        <v>166</v>
      </c>
      <c r="B88" s="32">
        <v>0.24</v>
      </c>
      <c r="C88" s="32">
        <v>-0.03</v>
      </c>
      <c r="D88" s="32">
        <v>0.11</v>
      </c>
      <c r="E88" s="32">
        <v>0.03</v>
      </c>
      <c r="F88" s="32">
        <v>0.16</v>
      </c>
      <c r="G88" s="32">
        <v>0.05</v>
      </c>
      <c r="H88" s="32">
        <v>0.11</v>
      </c>
      <c r="I88" s="32">
        <v>0.28999999999999998</v>
      </c>
      <c r="J88" s="32">
        <v>0.09</v>
      </c>
      <c r="K88" s="32">
        <v>0.18</v>
      </c>
      <c r="L88" s="32">
        <v>0.1</v>
      </c>
      <c r="M88" s="32">
        <v>0.35</v>
      </c>
      <c r="N88" s="32">
        <v>0.3</v>
      </c>
      <c r="O88" s="32">
        <v>0.02</v>
      </c>
      <c r="P88" s="32">
        <v>0.16</v>
      </c>
      <c r="Q88" s="32">
        <v>0.01</v>
      </c>
      <c r="R88" s="32">
        <v>0.14000000000000001</v>
      </c>
      <c r="S88" s="32">
        <v>0.14000000000000001</v>
      </c>
      <c r="T88" s="32">
        <v>0.38</v>
      </c>
      <c r="U88" s="32">
        <v>0.12</v>
      </c>
      <c r="V88" s="32">
        <v>0</v>
      </c>
      <c r="W88" s="32">
        <v>-0.03</v>
      </c>
      <c r="X88" s="32">
        <v>0.31</v>
      </c>
      <c r="Y88" s="32">
        <v>0.34</v>
      </c>
      <c r="Z88" s="32">
        <v>0.08</v>
      </c>
      <c r="AA88" s="32">
        <v>7.0000000000000007E-2</v>
      </c>
      <c r="AB88" s="32">
        <v>0.36</v>
      </c>
      <c r="AC88" s="32">
        <v>-0.09</v>
      </c>
      <c r="AD88" s="32">
        <v>-7.0000000000000007E-2</v>
      </c>
      <c r="AE88" s="32">
        <v>0.12</v>
      </c>
      <c r="AF88" s="32">
        <v>-0.04</v>
      </c>
      <c r="AG88" s="32">
        <v>0.04</v>
      </c>
      <c r="AH88" s="32">
        <v>0.05</v>
      </c>
      <c r="AI88" s="32">
        <v>-0.1</v>
      </c>
      <c r="AJ88" s="32">
        <v>0.06</v>
      </c>
      <c r="AK88" s="32">
        <v>-0.01</v>
      </c>
      <c r="AL88" s="32">
        <v>0.33</v>
      </c>
      <c r="AM88" s="32">
        <v>0.11</v>
      </c>
      <c r="AN88" s="32">
        <v>0.42</v>
      </c>
      <c r="AO88" s="32">
        <v>0.11</v>
      </c>
      <c r="AP88" s="32">
        <v>0.37</v>
      </c>
      <c r="AQ88" s="32">
        <v>-0.15</v>
      </c>
      <c r="AR88" s="32">
        <v>0.32</v>
      </c>
      <c r="AS88" s="32">
        <v>0.06</v>
      </c>
      <c r="AT88" s="32">
        <v>0.43</v>
      </c>
      <c r="AU88" s="32">
        <v>0.08</v>
      </c>
      <c r="AV88" s="32">
        <v>7.0000000000000007E-2</v>
      </c>
      <c r="AW88" s="32">
        <v>0.12</v>
      </c>
      <c r="AX88" s="32">
        <v>0.21</v>
      </c>
      <c r="AY88" s="32">
        <v>0.31</v>
      </c>
      <c r="AZ88" s="32">
        <v>0.17</v>
      </c>
      <c r="BA88" s="32">
        <v>0.26</v>
      </c>
      <c r="BB88" s="32">
        <v>0.38</v>
      </c>
      <c r="BC88" s="32">
        <v>0.11</v>
      </c>
      <c r="BD88" s="32">
        <v>0.09</v>
      </c>
      <c r="BE88" s="32">
        <v>0.12</v>
      </c>
      <c r="BF88" s="32">
        <v>0.1</v>
      </c>
      <c r="BG88" s="32">
        <v>0.34</v>
      </c>
      <c r="BH88" s="32">
        <v>0.15</v>
      </c>
      <c r="BI88" s="32">
        <v>0.09</v>
      </c>
      <c r="BJ88" s="32">
        <v>-0.03</v>
      </c>
      <c r="BK88" s="32">
        <v>0.09</v>
      </c>
      <c r="BL88" s="32">
        <v>0.22</v>
      </c>
      <c r="BM88" s="32">
        <v>0.28999999999999998</v>
      </c>
      <c r="BN88" s="32">
        <v>0.1</v>
      </c>
      <c r="BO88" s="32">
        <v>0.33</v>
      </c>
      <c r="BP88" s="32">
        <v>0.31</v>
      </c>
      <c r="BQ88" s="32">
        <v>0.15</v>
      </c>
      <c r="BR88" s="32">
        <v>0.41</v>
      </c>
      <c r="BS88" s="32">
        <v>-0.08</v>
      </c>
      <c r="BT88" s="32">
        <v>0.24</v>
      </c>
      <c r="BU88" s="32">
        <v>0.16</v>
      </c>
      <c r="BV88" s="32">
        <v>0.38</v>
      </c>
      <c r="BW88" s="32">
        <v>0.27</v>
      </c>
      <c r="BX88" s="32">
        <v>0.18</v>
      </c>
      <c r="BY88" s="32">
        <v>0.34</v>
      </c>
      <c r="BZ88" s="32">
        <v>0.28000000000000003</v>
      </c>
      <c r="CA88" s="32">
        <v>0.03</v>
      </c>
      <c r="CB88" s="32">
        <v>-0.06</v>
      </c>
      <c r="CC88" s="32">
        <v>0.18</v>
      </c>
      <c r="CD88" s="32">
        <v>0.49</v>
      </c>
      <c r="CE88" s="32">
        <v>0.14000000000000001</v>
      </c>
      <c r="CF88" s="32">
        <v>-0.09</v>
      </c>
      <c r="CG88" s="32">
        <v>1</v>
      </c>
      <c r="CH88" s="32">
        <v>0.13</v>
      </c>
      <c r="CI88" s="32">
        <v>-0.08</v>
      </c>
      <c r="CJ88" s="32">
        <v>0.28000000000000003</v>
      </c>
      <c r="CK88" s="32">
        <v>0.39</v>
      </c>
      <c r="CL88" s="32">
        <v>0.25</v>
      </c>
      <c r="CM88" s="32">
        <v>0.15</v>
      </c>
      <c r="CN88" s="32">
        <v>-0.03</v>
      </c>
      <c r="CO88" s="32">
        <v>0.11</v>
      </c>
      <c r="CP88" s="32">
        <v>0.23</v>
      </c>
      <c r="CQ88" s="32">
        <v>0.38</v>
      </c>
      <c r="CR88" s="32">
        <v>0.15</v>
      </c>
      <c r="CS88" s="32">
        <v>0.05</v>
      </c>
      <c r="CT88" s="32">
        <v>0.41</v>
      </c>
      <c r="CU88" s="32">
        <v>0.15</v>
      </c>
      <c r="CV88" s="32">
        <v>0.27</v>
      </c>
      <c r="CW88" s="32">
        <v>0.32</v>
      </c>
      <c r="CX88" s="32">
        <v>0.24</v>
      </c>
      <c r="CY88" s="32">
        <v>0.35</v>
      </c>
      <c r="CZ88" s="32">
        <v>0.31</v>
      </c>
      <c r="DA88" s="32">
        <v>0.37</v>
      </c>
      <c r="DB88" s="32">
        <v>0.23</v>
      </c>
      <c r="DC88" s="32">
        <v>0.23</v>
      </c>
      <c r="DD88" s="32">
        <v>0.47</v>
      </c>
      <c r="DE88" s="32">
        <v>0.15</v>
      </c>
      <c r="DF88" s="32">
        <v>0.37</v>
      </c>
      <c r="DG88" s="32">
        <v>0.19</v>
      </c>
      <c r="DH88" s="32">
        <v>0.16</v>
      </c>
      <c r="DI88" s="32">
        <v>0.38</v>
      </c>
      <c r="DJ88" s="32">
        <v>0.39</v>
      </c>
      <c r="DK88" s="32">
        <v>0.39</v>
      </c>
      <c r="DL88" s="32">
        <v>0.06</v>
      </c>
      <c r="DM88" s="32">
        <v>0.46</v>
      </c>
      <c r="DN88" s="32">
        <v>0.41</v>
      </c>
      <c r="DO88" s="32">
        <v>0.21</v>
      </c>
      <c r="DP88" s="32">
        <v>0.43</v>
      </c>
      <c r="DQ88" s="32">
        <v>7.0000000000000007E-2</v>
      </c>
      <c r="DR88" s="32">
        <v>0.06</v>
      </c>
      <c r="DS88" s="32">
        <v>0.34</v>
      </c>
      <c r="DT88" s="32">
        <v>0.22</v>
      </c>
      <c r="DU88" s="32">
        <v>0.28999999999999998</v>
      </c>
      <c r="DV88" s="32">
        <v>0.3</v>
      </c>
      <c r="DW88" s="32">
        <v>0.5</v>
      </c>
      <c r="DX88" s="32">
        <v>0.08</v>
      </c>
      <c r="DY88" s="32">
        <v>0.45</v>
      </c>
      <c r="DZ88" s="32">
        <v>0.42</v>
      </c>
      <c r="EA88" s="32">
        <v>0.3</v>
      </c>
      <c r="EB88" s="32">
        <v>0.42</v>
      </c>
      <c r="EC88" s="32">
        <v>0</v>
      </c>
      <c r="ED88" s="32">
        <v>0.3</v>
      </c>
      <c r="EE88" s="32">
        <v>7.0000000000000007E-2</v>
      </c>
      <c r="EF88" s="32">
        <v>0.08</v>
      </c>
      <c r="EG88" s="32">
        <v>0.09</v>
      </c>
      <c r="EH88" s="32">
        <v>0.31</v>
      </c>
      <c r="EI88" s="32">
        <v>0.04</v>
      </c>
      <c r="EJ88" s="32">
        <v>0.2</v>
      </c>
      <c r="EK88" s="32">
        <v>0.09</v>
      </c>
      <c r="EL88" s="32">
        <v>7.0000000000000007E-2</v>
      </c>
      <c r="EM88" s="32">
        <v>0.12</v>
      </c>
      <c r="EN88" s="32">
        <v>0.24</v>
      </c>
      <c r="EO88" s="32">
        <v>0.17</v>
      </c>
    </row>
    <row r="89" spans="1:145" x14ac:dyDescent="0.25">
      <c r="A89" s="31" t="s">
        <v>167</v>
      </c>
      <c r="B89" s="32">
        <v>-0.08</v>
      </c>
      <c r="C89" s="32">
        <v>0.13</v>
      </c>
      <c r="D89" s="32">
        <v>0.04</v>
      </c>
      <c r="E89" s="32">
        <v>0.18</v>
      </c>
      <c r="F89" s="32">
        <v>-7.0000000000000007E-2</v>
      </c>
      <c r="G89" s="32">
        <v>0.17</v>
      </c>
      <c r="H89" s="32">
        <v>0.26</v>
      </c>
      <c r="I89" s="32">
        <v>0.02</v>
      </c>
      <c r="J89" s="32">
        <v>0</v>
      </c>
      <c r="K89" s="32">
        <v>0.02</v>
      </c>
      <c r="L89" s="32">
        <v>0.17</v>
      </c>
      <c r="M89" s="32">
        <v>0.34</v>
      </c>
      <c r="N89" s="32">
        <v>0.1</v>
      </c>
      <c r="O89" s="32">
        <v>0.36</v>
      </c>
      <c r="P89" s="32">
        <v>-0.03</v>
      </c>
      <c r="Q89" s="32">
        <v>0.11</v>
      </c>
      <c r="R89" s="32">
        <v>0.03</v>
      </c>
      <c r="S89" s="32">
        <v>0.15</v>
      </c>
      <c r="T89" s="32">
        <v>0.19</v>
      </c>
      <c r="U89" s="32">
        <v>0.41</v>
      </c>
      <c r="V89" s="32">
        <v>0.39</v>
      </c>
      <c r="W89" s="32">
        <v>0.25</v>
      </c>
      <c r="X89" s="32">
        <v>0.24</v>
      </c>
      <c r="Y89" s="32">
        <v>0.06</v>
      </c>
      <c r="Z89" s="32">
        <v>0.34</v>
      </c>
      <c r="AA89" s="32">
        <v>0.19</v>
      </c>
      <c r="AB89" s="32">
        <v>0.01</v>
      </c>
      <c r="AC89" s="32">
        <v>0.22</v>
      </c>
      <c r="AD89" s="32">
        <v>0.25</v>
      </c>
      <c r="AE89" s="32">
        <v>0.37</v>
      </c>
      <c r="AF89" s="32">
        <v>0.51</v>
      </c>
      <c r="AG89" s="32">
        <v>-0.13</v>
      </c>
      <c r="AH89" s="32">
        <v>-0.13</v>
      </c>
      <c r="AI89" s="32">
        <v>-0.21</v>
      </c>
      <c r="AJ89" s="32">
        <v>0.2</v>
      </c>
      <c r="AK89" s="32">
        <v>0.5</v>
      </c>
      <c r="AL89" s="32">
        <v>0.12</v>
      </c>
      <c r="AM89" s="32">
        <v>0.2</v>
      </c>
      <c r="AN89" s="32">
        <v>0.19</v>
      </c>
      <c r="AO89" s="32">
        <v>0</v>
      </c>
      <c r="AP89" s="32">
        <v>0.18</v>
      </c>
      <c r="AQ89" s="32">
        <v>-0.13</v>
      </c>
      <c r="AR89" s="32">
        <v>0.14000000000000001</v>
      </c>
      <c r="AS89" s="32">
        <v>0.42</v>
      </c>
      <c r="AT89" s="32">
        <v>0.14000000000000001</v>
      </c>
      <c r="AU89" s="32">
        <v>0</v>
      </c>
      <c r="AV89" s="32">
        <v>0.3</v>
      </c>
      <c r="AW89" s="32">
        <v>0.42</v>
      </c>
      <c r="AX89" s="32">
        <v>0.06</v>
      </c>
      <c r="AY89" s="32">
        <v>0.15</v>
      </c>
      <c r="AZ89" s="32">
        <v>0.36</v>
      </c>
      <c r="BA89" s="32">
        <v>0.28000000000000003</v>
      </c>
      <c r="BB89" s="32">
        <v>0.28999999999999998</v>
      </c>
      <c r="BC89" s="32">
        <v>0.14000000000000001</v>
      </c>
      <c r="BD89" s="32">
        <v>0.36</v>
      </c>
      <c r="BE89" s="32">
        <v>0.14000000000000001</v>
      </c>
      <c r="BF89" s="32">
        <v>0.24</v>
      </c>
      <c r="BG89" s="32">
        <v>0.12</v>
      </c>
      <c r="BH89" s="32">
        <v>0.28000000000000003</v>
      </c>
      <c r="BI89" s="32">
        <v>0.15</v>
      </c>
      <c r="BJ89" s="32">
        <v>0.14000000000000001</v>
      </c>
      <c r="BK89" s="32">
        <v>0.24</v>
      </c>
      <c r="BL89" s="32">
        <v>0.44</v>
      </c>
      <c r="BM89" s="32">
        <v>0.02</v>
      </c>
      <c r="BN89" s="32">
        <v>0.05</v>
      </c>
      <c r="BO89" s="32">
        <v>0.24</v>
      </c>
      <c r="BP89" s="32">
        <v>0.01</v>
      </c>
      <c r="BQ89" s="32">
        <v>0.47</v>
      </c>
      <c r="BR89" s="32">
        <v>0.15</v>
      </c>
      <c r="BS89" s="32">
        <v>-0.15</v>
      </c>
      <c r="BT89" s="32">
        <v>0.33</v>
      </c>
      <c r="BU89" s="32">
        <v>0.25</v>
      </c>
      <c r="BV89" s="32">
        <v>0.12</v>
      </c>
      <c r="BW89" s="32">
        <v>0.11</v>
      </c>
      <c r="BX89" s="32">
        <v>-0.03</v>
      </c>
      <c r="BY89" s="32">
        <v>0.22</v>
      </c>
      <c r="BZ89" s="32">
        <v>0.19</v>
      </c>
      <c r="CA89" s="32">
        <v>0.36</v>
      </c>
      <c r="CB89" s="32">
        <v>-7.0000000000000007E-2</v>
      </c>
      <c r="CC89" s="32">
        <v>0.09</v>
      </c>
      <c r="CD89" s="32">
        <v>0.12</v>
      </c>
      <c r="CE89" s="32">
        <v>0.2</v>
      </c>
      <c r="CF89" s="32">
        <v>-0.2</v>
      </c>
      <c r="CG89" s="32">
        <v>0.13</v>
      </c>
      <c r="CH89" s="32">
        <v>1</v>
      </c>
      <c r="CI89" s="32">
        <v>-0.15</v>
      </c>
      <c r="CJ89" s="32">
        <v>-0.02</v>
      </c>
      <c r="CK89" s="32">
        <v>0.1</v>
      </c>
      <c r="CL89" s="32">
        <v>0.24</v>
      </c>
      <c r="CM89" s="32">
        <v>0.28000000000000003</v>
      </c>
      <c r="CN89" s="32">
        <v>0.31</v>
      </c>
      <c r="CO89" s="32">
        <v>0.2</v>
      </c>
      <c r="CP89" s="32">
        <v>-0.01</v>
      </c>
      <c r="CQ89" s="32">
        <v>0.26</v>
      </c>
      <c r="CR89" s="32">
        <v>0.41</v>
      </c>
      <c r="CS89" s="32">
        <v>0.45</v>
      </c>
      <c r="CT89" s="32">
        <v>0.28000000000000003</v>
      </c>
      <c r="CU89" s="32">
        <v>0.27</v>
      </c>
      <c r="CV89" s="32">
        <v>0.2</v>
      </c>
      <c r="CW89" s="32">
        <v>0.2</v>
      </c>
      <c r="CX89" s="32">
        <v>0.28999999999999998</v>
      </c>
      <c r="CY89" s="32">
        <v>0.32</v>
      </c>
      <c r="CZ89" s="32">
        <v>0.05</v>
      </c>
      <c r="DA89" s="32">
        <v>-0.04</v>
      </c>
      <c r="DB89" s="32">
        <v>0.36</v>
      </c>
      <c r="DC89" s="32">
        <v>0.31</v>
      </c>
      <c r="DD89" s="32">
        <v>0.17</v>
      </c>
      <c r="DE89" s="32">
        <v>0.72</v>
      </c>
      <c r="DF89" s="32">
        <v>-0.11</v>
      </c>
      <c r="DG89" s="32">
        <v>0.59</v>
      </c>
      <c r="DH89" s="32">
        <v>0.3</v>
      </c>
      <c r="DI89" s="32">
        <v>0.24</v>
      </c>
      <c r="DJ89" s="32">
        <v>0.25</v>
      </c>
      <c r="DK89" s="32">
        <v>0.28000000000000003</v>
      </c>
      <c r="DL89" s="32">
        <v>0.6</v>
      </c>
      <c r="DM89" s="32">
        <v>0.32</v>
      </c>
      <c r="DN89" s="32">
        <v>0.06</v>
      </c>
      <c r="DO89" s="32">
        <v>0.27</v>
      </c>
      <c r="DP89" s="32">
        <v>0.25</v>
      </c>
      <c r="DQ89" s="32">
        <v>0.17</v>
      </c>
      <c r="DR89" s="32">
        <v>0.41</v>
      </c>
      <c r="DS89" s="32">
        <v>-0.1</v>
      </c>
      <c r="DT89" s="32">
        <v>0.22</v>
      </c>
      <c r="DU89" s="32">
        <v>0.26</v>
      </c>
      <c r="DV89" s="32">
        <v>0.2</v>
      </c>
      <c r="DW89" s="32">
        <v>0.13</v>
      </c>
      <c r="DX89" s="32">
        <v>0.43</v>
      </c>
      <c r="DY89" s="32">
        <v>0.16</v>
      </c>
      <c r="DZ89" s="32">
        <v>-0.02</v>
      </c>
      <c r="EA89" s="32">
        <v>0.31</v>
      </c>
      <c r="EB89" s="32">
        <v>0.15</v>
      </c>
      <c r="EC89" s="32">
        <v>0.3</v>
      </c>
      <c r="ED89" s="32">
        <v>0.3</v>
      </c>
      <c r="EE89" s="32">
        <v>0.37</v>
      </c>
      <c r="EF89" s="32">
        <v>0.33</v>
      </c>
      <c r="EG89" s="32">
        <v>0.34</v>
      </c>
      <c r="EH89" s="32">
        <v>-7.0000000000000007E-2</v>
      </c>
      <c r="EI89" s="32">
        <v>0.38</v>
      </c>
      <c r="EJ89" s="32">
        <v>0.22</v>
      </c>
      <c r="EK89" s="32">
        <v>0.35</v>
      </c>
      <c r="EL89" s="32">
        <v>0.46</v>
      </c>
      <c r="EM89" s="32">
        <v>0.18</v>
      </c>
      <c r="EN89" s="32">
        <v>0.16</v>
      </c>
      <c r="EO89" s="32">
        <v>0.1</v>
      </c>
    </row>
    <row r="90" spans="1:145" x14ac:dyDescent="0.25">
      <c r="A90" s="31" t="s">
        <v>168</v>
      </c>
      <c r="B90" s="32">
        <v>0.09</v>
      </c>
      <c r="C90" s="32">
        <v>-0.06</v>
      </c>
      <c r="D90" s="32">
        <v>-7.0000000000000007E-2</v>
      </c>
      <c r="E90" s="32">
        <v>-0.05</v>
      </c>
      <c r="F90" s="32">
        <v>0.18</v>
      </c>
      <c r="G90" s="32">
        <v>-0.02</v>
      </c>
      <c r="H90" s="32">
        <v>-0.13</v>
      </c>
      <c r="I90" s="32">
        <v>0.11</v>
      </c>
      <c r="J90" s="32">
        <v>0.15</v>
      </c>
      <c r="K90" s="32">
        <v>0</v>
      </c>
      <c r="L90" s="32">
        <v>-0.02</v>
      </c>
      <c r="M90" s="32">
        <v>-0.12</v>
      </c>
      <c r="N90" s="32">
        <v>0.08</v>
      </c>
      <c r="O90" s="32">
        <v>-0.05</v>
      </c>
      <c r="P90" s="32">
        <v>0.22</v>
      </c>
      <c r="Q90" s="32">
        <v>-0.05</v>
      </c>
      <c r="R90" s="32">
        <v>0.18</v>
      </c>
      <c r="S90" s="32">
        <v>-0.16</v>
      </c>
      <c r="T90" s="32">
        <v>-0.03</v>
      </c>
      <c r="U90" s="32">
        <v>-0.08</v>
      </c>
      <c r="V90" s="32">
        <v>-0.14000000000000001</v>
      </c>
      <c r="W90" s="32">
        <v>-0.03</v>
      </c>
      <c r="X90" s="32">
        <v>0</v>
      </c>
      <c r="Y90" s="32">
        <v>0.04</v>
      </c>
      <c r="Z90" s="32">
        <v>-0.1</v>
      </c>
      <c r="AA90" s="32">
        <v>-0.15</v>
      </c>
      <c r="AB90" s="32">
        <v>0.03</v>
      </c>
      <c r="AC90" s="32">
        <v>0</v>
      </c>
      <c r="AD90" s="32">
        <v>0</v>
      </c>
      <c r="AE90" s="32">
        <v>-0.25</v>
      </c>
      <c r="AF90" s="32">
        <v>-0.11</v>
      </c>
      <c r="AG90" s="32">
        <v>0.26</v>
      </c>
      <c r="AH90" s="32">
        <v>0.24</v>
      </c>
      <c r="AI90" s="32">
        <v>0.77</v>
      </c>
      <c r="AJ90" s="32">
        <v>0</v>
      </c>
      <c r="AK90" s="32">
        <v>-0.18</v>
      </c>
      <c r="AL90" s="32">
        <v>-0.05</v>
      </c>
      <c r="AM90" s="32">
        <v>-0.13</v>
      </c>
      <c r="AN90" s="32">
        <v>-0.18</v>
      </c>
      <c r="AO90" s="32">
        <v>0.1</v>
      </c>
      <c r="AP90" s="32">
        <v>-7.0000000000000007E-2</v>
      </c>
      <c r="AQ90" s="32">
        <v>0.78</v>
      </c>
      <c r="AR90" s="32">
        <v>0.04</v>
      </c>
      <c r="AS90" s="32">
        <v>-0.21</v>
      </c>
      <c r="AT90" s="32">
        <v>-0.06</v>
      </c>
      <c r="AU90" s="32">
        <v>0.1</v>
      </c>
      <c r="AV90" s="32">
        <v>-0.03</v>
      </c>
      <c r="AW90" s="32">
        <v>-7.0000000000000007E-2</v>
      </c>
      <c r="AX90" s="32">
        <v>0.08</v>
      </c>
      <c r="AY90" s="32">
        <v>0.06</v>
      </c>
      <c r="AZ90" s="32">
        <v>-0.22</v>
      </c>
      <c r="BA90" s="32">
        <v>-0.02</v>
      </c>
      <c r="BB90" s="32">
        <v>-0.13</v>
      </c>
      <c r="BC90" s="32">
        <v>-0.04</v>
      </c>
      <c r="BD90" s="32">
        <v>-0.19</v>
      </c>
      <c r="BE90" s="32">
        <v>7.0000000000000007E-2</v>
      </c>
      <c r="BF90" s="32">
        <v>-0.04</v>
      </c>
      <c r="BG90" s="32">
        <v>-0.01</v>
      </c>
      <c r="BH90" s="32">
        <v>-0.16</v>
      </c>
      <c r="BI90" s="32">
        <v>0</v>
      </c>
      <c r="BJ90" s="32">
        <v>0.05</v>
      </c>
      <c r="BK90" s="32">
        <v>-0.14000000000000001</v>
      </c>
      <c r="BL90" s="32">
        <v>-0.01</v>
      </c>
      <c r="BM90" s="32">
        <v>0.06</v>
      </c>
      <c r="BN90" s="32">
        <v>7.0000000000000007E-2</v>
      </c>
      <c r="BO90" s="32">
        <v>-0.15</v>
      </c>
      <c r="BP90" s="32">
        <v>-0.02</v>
      </c>
      <c r="BQ90" s="32">
        <v>-0.18</v>
      </c>
      <c r="BR90" s="32">
        <v>0</v>
      </c>
      <c r="BS90" s="32">
        <v>0.81</v>
      </c>
      <c r="BT90" s="32">
        <v>-0.26</v>
      </c>
      <c r="BU90" s="32">
        <v>-0.11</v>
      </c>
      <c r="BV90" s="32">
        <v>-0.08</v>
      </c>
      <c r="BW90" s="32">
        <v>0.01</v>
      </c>
      <c r="BX90" s="32">
        <v>0.04</v>
      </c>
      <c r="BY90" s="32">
        <v>-0.1</v>
      </c>
      <c r="BZ90" s="32">
        <v>-0.19</v>
      </c>
      <c r="CA90" s="32">
        <v>-0.11</v>
      </c>
      <c r="CB90" s="32">
        <v>0.16</v>
      </c>
      <c r="CC90" s="32">
        <v>0.04</v>
      </c>
      <c r="CD90" s="32">
        <v>0.01</v>
      </c>
      <c r="CE90" s="32">
        <v>0.15</v>
      </c>
      <c r="CF90" s="32">
        <v>0.84</v>
      </c>
      <c r="CG90" s="32">
        <v>-0.08</v>
      </c>
      <c r="CH90" s="32">
        <v>-0.15</v>
      </c>
      <c r="CI90" s="32">
        <v>1</v>
      </c>
      <c r="CJ90" s="32">
        <v>0.08</v>
      </c>
      <c r="CK90" s="32">
        <v>0.05</v>
      </c>
      <c r="CL90" s="32">
        <v>-0.1</v>
      </c>
      <c r="CM90" s="32">
        <v>-0.09</v>
      </c>
      <c r="CN90" s="32">
        <v>0.03</v>
      </c>
      <c r="CO90" s="32">
        <v>-0.09</v>
      </c>
      <c r="CP90" s="32">
        <v>0.03</v>
      </c>
      <c r="CQ90" s="32">
        <v>-0.27</v>
      </c>
      <c r="CR90" s="32">
        <v>-0.16</v>
      </c>
      <c r="CS90" s="32">
        <v>-0.04</v>
      </c>
      <c r="CT90" s="32">
        <v>-7.0000000000000007E-2</v>
      </c>
      <c r="CU90" s="32">
        <v>-0.03</v>
      </c>
      <c r="CV90" s="32">
        <v>-0.16</v>
      </c>
      <c r="CW90" s="32">
        <v>-0.12</v>
      </c>
      <c r="CX90" s="32">
        <v>-0.13</v>
      </c>
      <c r="CY90" s="32">
        <v>-0.31</v>
      </c>
      <c r="CZ90" s="32">
        <v>0.09</v>
      </c>
      <c r="DA90" s="32">
        <v>-0.01</v>
      </c>
      <c r="DB90" s="32">
        <v>-0.13</v>
      </c>
      <c r="DC90" s="32">
        <v>-0.34</v>
      </c>
      <c r="DD90" s="32">
        <v>-0.11</v>
      </c>
      <c r="DE90" s="32">
        <v>-0.1</v>
      </c>
      <c r="DF90" s="32">
        <v>0.13</v>
      </c>
      <c r="DG90" s="32">
        <v>-7.0000000000000007E-2</v>
      </c>
      <c r="DH90" s="32">
        <v>-0.06</v>
      </c>
      <c r="DI90" s="32">
        <v>-0.33</v>
      </c>
      <c r="DJ90" s="32">
        <v>-0.17</v>
      </c>
      <c r="DK90" s="32">
        <v>-0.33</v>
      </c>
      <c r="DL90" s="32">
        <v>-0.18</v>
      </c>
      <c r="DM90" s="32">
        <v>-0.3</v>
      </c>
      <c r="DN90" s="32">
        <v>0.04</v>
      </c>
      <c r="DO90" s="32">
        <v>0.01</v>
      </c>
      <c r="DP90" s="32">
        <v>-0.24</v>
      </c>
      <c r="DQ90" s="32">
        <v>0</v>
      </c>
      <c r="DR90" s="32">
        <v>0.11</v>
      </c>
      <c r="DS90" s="32">
        <v>0.02</v>
      </c>
      <c r="DT90" s="32">
        <v>-0.02</v>
      </c>
      <c r="DU90" s="32">
        <v>-0.15</v>
      </c>
      <c r="DV90" s="32">
        <v>0.03</v>
      </c>
      <c r="DW90" s="32">
        <v>-0.12</v>
      </c>
      <c r="DX90" s="32">
        <v>-0.12</v>
      </c>
      <c r="DY90" s="32">
        <v>-0.15</v>
      </c>
      <c r="DZ90" s="32">
        <v>0.06</v>
      </c>
      <c r="EA90" s="32">
        <v>-0.12</v>
      </c>
      <c r="EB90" s="32">
        <v>-0.11</v>
      </c>
      <c r="EC90" s="32">
        <v>-0.05</v>
      </c>
      <c r="ED90" s="32">
        <v>-0.06</v>
      </c>
      <c r="EE90" s="32">
        <v>-0.11</v>
      </c>
      <c r="EF90" s="32">
        <v>0.01</v>
      </c>
      <c r="EG90" s="32">
        <v>-0.13</v>
      </c>
      <c r="EH90" s="32">
        <v>-0.11</v>
      </c>
      <c r="EI90" s="32">
        <v>-0.12</v>
      </c>
      <c r="EJ90" s="32">
        <v>0</v>
      </c>
      <c r="EK90" s="32">
        <v>0.08</v>
      </c>
      <c r="EL90" s="32">
        <v>-0.13</v>
      </c>
      <c r="EM90" s="32">
        <v>-0.01</v>
      </c>
      <c r="EN90" s="32">
        <v>-0.03</v>
      </c>
      <c r="EO90" s="32">
        <v>-0.03</v>
      </c>
    </row>
    <row r="91" spans="1:145" x14ac:dyDescent="0.25">
      <c r="A91" s="31" t="s">
        <v>169</v>
      </c>
      <c r="B91" s="32">
        <v>0.26</v>
      </c>
      <c r="C91" s="32">
        <v>-0.01</v>
      </c>
      <c r="D91" s="32">
        <v>0.05</v>
      </c>
      <c r="E91" s="32">
        <v>0.06</v>
      </c>
      <c r="F91" s="32">
        <v>0.28999999999999998</v>
      </c>
      <c r="G91" s="32">
        <v>7.0000000000000007E-2</v>
      </c>
      <c r="H91" s="32">
        <v>-0.01</v>
      </c>
      <c r="I91" s="32">
        <v>0.24</v>
      </c>
      <c r="J91" s="32">
        <v>0.2</v>
      </c>
      <c r="K91" s="32">
        <v>0.17</v>
      </c>
      <c r="L91" s="32">
        <v>-0.02</v>
      </c>
      <c r="M91" s="32">
        <v>0.08</v>
      </c>
      <c r="N91" s="32">
        <v>0.25</v>
      </c>
      <c r="O91" s="32">
        <v>-0.03</v>
      </c>
      <c r="P91" s="32">
        <v>0.23</v>
      </c>
      <c r="Q91" s="32">
        <v>0.03</v>
      </c>
      <c r="R91" s="32">
        <v>0.3</v>
      </c>
      <c r="S91" s="32">
        <v>0.08</v>
      </c>
      <c r="T91" s="32">
        <v>0.09</v>
      </c>
      <c r="U91" s="32">
        <v>0.13</v>
      </c>
      <c r="V91" s="32">
        <v>-0.05</v>
      </c>
      <c r="W91" s="32">
        <v>0.02</v>
      </c>
      <c r="X91" s="32">
        <v>0.1</v>
      </c>
      <c r="Y91" s="32">
        <v>0.32</v>
      </c>
      <c r="Z91" s="32">
        <v>0.02</v>
      </c>
      <c r="AA91" s="32">
        <v>0.02</v>
      </c>
      <c r="AB91" s="32">
        <v>0.3</v>
      </c>
      <c r="AC91" s="32">
        <v>7.0000000000000007E-2</v>
      </c>
      <c r="AD91" s="32">
        <v>0.05</v>
      </c>
      <c r="AE91" s="32">
        <v>-0.01</v>
      </c>
      <c r="AF91" s="32">
        <v>-0.1</v>
      </c>
      <c r="AG91" s="32">
        <v>0.22</v>
      </c>
      <c r="AH91" s="32">
        <v>0.23</v>
      </c>
      <c r="AI91" s="32">
        <v>0.11</v>
      </c>
      <c r="AJ91" s="32">
        <v>-0.06</v>
      </c>
      <c r="AK91" s="32">
        <v>-0.03</v>
      </c>
      <c r="AL91" s="32">
        <v>0.22</v>
      </c>
      <c r="AM91" s="32">
        <v>0.08</v>
      </c>
      <c r="AN91" s="32">
        <v>0.12</v>
      </c>
      <c r="AO91" s="32">
        <v>0.18</v>
      </c>
      <c r="AP91" s="32">
        <v>0.34</v>
      </c>
      <c r="AQ91" s="32">
        <v>7.0000000000000007E-2</v>
      </c>
      <c r="AR91" s="32">
        <v>7.0000000000000007E-2</v>
      </c>
      <c r="AS91" s="32">
        <v>0.06</v>
      </c>
      <c r="AT91" s="32">
        <v>0.11</v>
      </c>
      <c r="AU91" s="32">
        <v>0.09</v>
      </c>
      <c r="AV91" s="32">
        <v>0.06</v>
      </c>
      <c r="AW91" s="32">
        <v>-0.04</v>
      </c>
      <c r="AX91" s="32">
        <v>0.22</v>
      </c>
      <c r="AY91" s="32">
        <v>0.12</v>
      </c>
      <c r="AZ91" s="32">
        <v>-7.0000000000000007E-2</v>
      </c>
      <c r="BA91" s="32">
        <v>0.05</v>
      </c>
      <c r="BB91" s="32">
        <v>7.0000000000000007E-2</v>
      </c>
      <c r="BC91" s="32">
        <v>-0.06</v>
      </c>
      <c r="BD91" s="32">
        <v>7.0000000000000007E-2</v>
      </c>
      <c r="BE91" s="32">
        <v>0.19</v>
      </c>
      <c r="BF91" s="32">
        <v>-0.01</v>
      </c>
      <c r="BG91" s="32">
        <v>0.13</v>
      </c>
      <c r="BH91" s="32">
        <v>0.15</v>
      </c>
      <c r="BI91" s="32">
        <v>-0.03</v>
      </c>
      <c r="BJ91" s="32">
        <v>-0.05</v>
      </c>
      <c r="BK91" s="32">
        <v>-0.11</v>
      </c>
      <c r="BL91" s="32">
        <v>0.02</v>
      </c>
      <c r="BM91" s="32">
        <v>0.19</v>
      </c>
      <c r="BN91" s="32">
        <v>0.14000000000000001</v>
      </c>
      <c r="BO91" s="32">
        <v>0.2</v>
      </c>
      <c r="BP91" s="32">
        <v>0.27</v>
      </c>
      <c r="BQ91" s="32">
        <v>-0.04</v>
      </c>
      <c r="BR91" s="32">
        <v>0.19</v>
      </c>
      <c r="BS91" s="32">
        <v>0.11</v>
      </c>
      <c r="BT91" s="32">
        <v>0.11</v>
      </c>
      <c r="BU91" s="32">
        <v>-0.03</v>
      </c>
      <c r="BV91" s="32">
        <v>0.25</v>
      </c>
      <c r="BW91" s="32">
        <v>0.2</v>
      </c>
      <c r="BX91" s="32">
        <v>0.13</v>
      </c>
      <c r="BY91" s="32">
        <v>0.06</v>
      </c>
      <c r="BZ91" s="32">
        <v>0.18</v>
      </c>
      <c r="CA91" s="32">
        <v>0.02</v>
      </c>
      <c r="CB91" s="32">
        <v>0.09</v>
      </c>
      <c r="CC91" s="32">
        <v>0.1</v>
      </c>
      <c r="CD91" s="32">
        <v>0.3</v>
      </c>
      <c r="CE91" s="32">
        <v>0.02</v>
      </c>
      <c r="CF91" s="32">
        <v>0.05</v>
      </c>
      <c r="CG91" s="32">
        <v>0.28000000000000003</v>
      </c>
      <c r="CH91" s="32">
        <v>-0.02</v>
      </c>
      <c r="CI91" s="32">
        <v>0.08</v>
      </c>
      <c r="CJ91" s="32">
        <v>1</v>
      </c>
      <c r="CK91" s="32">
        <v>0.22</v>
      </c>
      <c r="CL91" s="32">
        <v>0.04</v>
      </c>
      <c r="CM91" s="32">
        <v>-0.01</v>
      </c>
      <c r="CN91" s="32">
        <v>-0.03</v>
      </c>
      <c r="CO91" s="32">
        <v>-0.09</v>
      </c>
      <c r="CP91" s="32">
        <v>0.17</v>
      </c>
      <c r="CQ91" s="32">
        <v>0.1</v>
      </c>
      <c r="CR91" s="32">
        <v>-0.03</v>
      </c>
      <c r="CS91" s="32">
        <v>-0.15</v>
      </c>
      <c r="CT91" s="32">
        <v>0.26</v>
      </c>
      <c r="CU91" s="32">
        <v>0.09</v>
      </c>
      <c r="CV91" s="32">
        <v>0.14000000000000001</v>
      </c>
      <c r="CW91" s="32">
        <v>0.25</v>
      </c>
      <c r="CX91" s="32">
        <v>0.18</v>
      </c>
      <c r="CY91" s="32">
        <v>0</v>
      </c>
      <c r="CZ91" s="32">
        <v>0.14000000000000001</v>
      </c>
      <c r="DA91" s="32">
        <v>0.28000000000000003</v>
      </c>
      <c r="DB91" s="32">
        <v>7.0000000000000007E-2</v>
      </c>
      <c r="DC91" s="32">
        <v>-0.13</v>
      </c>
      <c r="DD91" s="32">
        <v>0.38</v>
      </c>
      <c r="DE91" s="32">
        <v>-0.02</v>
      </c>
      <c r="DF91" s="32">
        <v>0.22</v>
      </c>
      <c r="DG91" s="32">
        <v>0.11</v>
      </c>
      <c r="DH91" s="32">
        <v>0.01</v>
      </c>
      <c r="DI91" s="32">
        <v>0.09</v>
      </c>
      <c r="DJ91" s="32">
        <v>0.04</v>
      </c>
      <c r="DK91" s="32">
        <v>0.06</v>
      </c>
      <c r="DL91" s="32">
        <v>0</v>
      </c>
      <c r="DM91" s="32">
        <v>0.09</v>
      </c>
      <c r="DN91" s="32">
        <v>0.16</v>
      </c>
      <c r="DO91" s="32">
        <v>0.01</v>
      </c>
      <c r="DP91" s="32">
        <v>0.11</v>
      </c>
      <c r="DQ91" s="32">
        <v>-0.02</v>
      </c>
      <c r="DR91" s="32">
        <v>0.1</v>
      </c>
      <c r="DS91" s="32">
        <v>0.2</v>
      </c>
      <c r="DT91" s="32">
        <v>0.04</v>
      </c>
      <c r="DU91" s="32">
        <v>0.19</v>
      </c>
      <c r="DV91" s="32">
        <v>0.23</v>
      </c>
      <c r="DW91" s="32">
        <v>0.25</v>
      </c>
      <c r="DX91" s="32">
        <v>-0.14000000000000001</v>
      </c>
      <c r="DY91" s="32">
        <v>0.21</v>
      </c>
      <c r="DZ91" s="32">
        <v>0.14000000000000001</v>
      </c>
      <c r="EA91" s="32">
        <v>0.02</v>
      </c>
      <c r="EB91" s="32">
        <v>0.18</v>
      </c>
      <c r="EC91" s="32">
        <v>-0.03</v>
      </c>
      <c r="ED91" s="32">
        <v>0.17</v>
      </c>
      <c r="EE91" s="32">
        <v>-0.01</v>
      </c>
      <c r="EF91" s="32">
        <v>0.09</v>
      </c>
      <c r="EG91" s="32">
        <v>-0.06</v>
      </c>
      <c r="EH91" s="32">
        <v>0.31</v>
      </c>
      <c r="EI91" s="32">
        <v>-0.11</v>
      </c>
      <c r="EJ91" s="32">
        <v>0.08</v>
      </c>
      <c r="EK91" s="32">
        <v>0.14000000000000001</v>
      </c>
      <c r="EL91" s="32">
        <v>-0.03</v>
      </c>
      <c r="EM91" s="32">
        <v>0.09</v>
      </c>
      <c r="EN91" s="32">
        <v>0.16</v>
      </c>
      <c r="EO91" s="32">
        <v>0.16</v>
      </c>
    </row>
    <row r="92" spans="1:145" x14ac:dyDescent="0.25">
      <c r="A92" s="31" t="s">
        <v>170</v>
      </c>
      <c r="B92" s="32">
        <v>0.32</v>
      </c>
      <c r="C92" s="32">
        <v>-7.0000000000000007E-2</v>
      </c>
      <c r="D92" s="32">
        <v>0.01</v>
      </c>
      <c r="E92" s="32">
        <v>0.12</v>
      </c>
      <c r="F92" s="32">
        <v>0.26</v>
      </c>
      <c r="G92" s="32">
        <v>-0.1</v>
      </c>
      <c r="H92" s="32">
        <v>0.01</v>
      </c>
      <c r="I92" s="32">
        <v>0.33</v>
      </c>
      <c r="J92" s="32">
        <v>0.21</v>
      </c>
      <c r="K92" s="32">
        <v>0.34</v>
      </c>
      <c r="L92" s="32">
        <v>0.03</v>
      </c>
      <c r="M92" s="32">
        <v>0.31</v>
      </c>
      <c r="N92" s="32">
        <v>0.3</v>
      </c>
      <c r="O92" s="32">
        <v>-0.05</v>
      </c>
      <c r="P92" s="32">
        <v>0.25</v>
      </c>
      <c r="Q92" s="32">
        <v>0</v>
      </c>
      <c r="R92" s="32">
        <v>0.34</v>
      </c>
      <c r="S92" s="32">
        <v>0.09</v>
      </c>
      <c r="T92" s="32">
        <v>0.22</v>
      </c>
      <c r="U92" s="32">
        <v>0.12</v>
      </c>
      <c r="V92" s="32">
        <v>0.1</v>
      </c>
      <c r="W92" s="32">
        <v>0.02</v>
      </c>
      <c r="X92" s="32">
        <v>0.19</v>
      </c>
      <c r="Y92" s="32">
        <v>0.32</v>
      </c>
      <c r="Z92" s="32">
        <v>0.05</v>
      </c>
      <c r="AA92" s="32">
        <v>-0.01</v>
      </c>
      <c r="AB92" s="32">
        <v>0.37</v>
      </c>
      <c r="AC92" s="32">
        <v>-0.04</v>
      </c>
      <c r="AD92" s="32">
        <v>0.04</v>
      </c>
      <c r="AE92" s="32">
        <v>0.05</v>
      </c>
      <c r="AF92" s="32">
        <v>-0.06</v>
      </c>
      <c r="AG92" s="32">
        <v>0.14000000000000001</v>
      </c>
      <c r="AH92" s="32">
        <v>0.18</v>
      </c>
      <c r="AI92" s="32">
        <v>0.12</v>
      </c>
      <c r="AJ92" s="32">
        <v>0.04</v>
      </c>
      <c r="AK92" s="32">
        <v>7.0000000000000007E-2</v>
      </c>
      <c r="AL92" s="32">
        <v>0.27</v>
      </c>
      <c r="AM92" s="32">
        <v>-0.04</v>
      </c>
      <c r="AN92" s="32">
        <v>0.45</v>
      </c>
      <c r="AO92" s="32">
        <v>0.12</v>
      </c>
      <c r="AP92" s="32">
        <v>0.4</v>
      </c>
      <c r="AQ92" s="32">
        <v>0.09</v>
      </c>
      <c r="AR92" s="32">
        <v>0.18</v>
      </c>
      <c r="AS92" s="32">
        <v>0.04</v>
      </c>
      <c r="AT92" s="32">
        <v>0.37</v>
      </c>
      <c r="AU92" s="32">
        <v>0.19</v>
      </c>
      <c r="AV92" s="32">
        <v>0.12</v>
      </c>
      <c r="AW92" s="32">
        <v>0.18</v>
      </c>
      <c r="AX92" s="32">
        <v>0.18</v>
      </c>
      <c r="AY92" s="32">
        <v>0.3</v>
      </c>
      <c r="AZ92" s="32">
        <v>0.1</v>
      </c>
      <c r="BA92" s="32">
        <v>0.3</v>
      </c>
      <c r="BB92" s="32">
        <v>0.19</v>
      </c>
      <c r="BC92" s="32">
        <v>0.03</v>
      </c>
      <c r="BD92" s="32">
        <v>0.03</v>
      </c>
      <c r="BE92" s="32">
        <v>0.19</v>
      </c>
      <c r="BF92" s="32">
        <v>0.12</v>
      </c>
      <c r="BG92" s="32">
        <v>0.28000000000000003</v>
      </c>
      <c r="BH92" s="32">
        <v>0.1</v>
      </c>
      <c r="BI92" s="32">
        <v>7.0000000000000007E-2</v>
      </c>
      <c r="BJ92" s="32">
        <v>-0.05</v>
      </c>
      <c r="BK92" s="32">
        <v>0.03</v>
      </c>
      <c r="BL92" s="32">
        <v>0.16</v>
      </c>
      <c r="BM92" s="32">
        <v>0.4</v>
      </c>
      <c r="BN92" s="32">
        <v>0.12</v>
      </c>
      <c r="BO92" s="32">
        <v>0.17</v>
      </c>
      <c r="BP92" s="32">
        <v>0.17</v>
      </c>
      <c r="BQ92" s="32">
        <v>0.12</v>
      </c>
      <c r="BR92" s="32">
        <v>0.36</v>
      </c>
      <c r="BS92" s="32">
        <v>0.05</v>
      </c>
      <c r="BT92" s="32">
        <v>0.15</v>
      </c>
      <c r="BU92" s="32">
        <v>0.11</v>
      </c>
      <c r="BV92" s="32">
        <v>0.21</v>
      </c>
      <c r="BW92" s="32">
        <v>0.28000000000000003</v>
      </c>
      <c r="BX92" s="32">
        <v>0.18</v>
      </c>
      <c r="BY92" s="32">
        <v>0.31</v>
      </c>
      <c r="BZ92" s="32">
        <v>0.17</v>
      </c>
      <c r="CA92" s="32">
        <v>0.04</v>
      </c>
      <c r="CB92" s="32">
        <v>0.13</v>
      </c>
      <c r="CC92" s="32">
        <v>0.17</v>
      </c>
      <c r="CD92" s="32">
        <v>0.23</v>
      </c>
      <c r="CE92" s="32">
        <v>0.05</v>
      </c>
      <c r="CF92" s="32">
        <v>0.02</v>
      </c>
      <c r="CG92" s="32">
        <v>0.39</v>
      </c>
      <c r="CH92" s="32">
        <v>0.1</v>
      </c>
      <c r="CI92" s="32">
        <v>0.05</v>
      </c>
      <c r="CJ92" s="32">
        <v>0.22</v>
      </c>
      <c r="CK92" s="32">
        <v>1</v>
      </c>
      <c r="CL92" s="32">
        <v>0.26</v>
      </c>
      <c r="CM92" s="32">
        <v>0.03</v>
      </c>
      <c r="CN92" s="32">
        <v>0.05</v>
      </c>
      <c r="CO92" s="32">
        <v>0.23</v>
      </c>
      <c r="CP92" s="32">
        <v>0.17</v>
      </c>
      <c r="CQ92" s="32">
        <v>0.35</v>
      </c>
      <c r="CR92" s="32">
        <v>0.06</v>
      </c>
      <c r="CS92" s="32">
        <v>0.01</v>
      </c>
      <c r="CT92" s="32">
        <v>0.21</v>
      </c>
      <c r="CU92" s="32">
        <v>0.15</v>
      </c>
      <c r="CV92" s="32">
        <v>0.22</v>
      </c>
      <c r="CW92" s="32">
        <v>0.26</v>
      </c>
      <c r="CX92" s="32">
        <v>0.2</v>
      </c>
      <c r="CY92" s="32">
        <v>0.3</v>
      </c>
      <c r="CZ92" s="32">
        <v>0.2</v>
      </c>
      <c r="DA92" s="32">
        <v>0.23</v>
      </c>
      <c r="DB92" s="32">
        <v>0.16</v>
      </c>
      <c r="DC92" s="32">
        <v>0.1</v>
      </c>
      <c r="DD92" s="32">
        <v>0.28999999999999998</v>
      </c>
      <c r="DE92" s="32">
        <v>0.05</v>
      </c>
      <c r="DF92" s="32">
        <v>0.21</v>
      </c>
      <c r="DG92" s="32">
        <v>0.08</v>
      </c>
      <c r="DH92" s="32">
        <v>-0.02</v>
      </c>
      <c r="DI92" s="32">
        <v>0.28999999999999998</v>
      </c>
      <c r="DJ92" s="32">
        <v>0.28000000000000003</v>
      </c>
      <c r="DK92" s="32">
        <v>0.28999999999999998</v>
      </c>
      <c r="DL92" s="32">
        <v>-7.0000000000000007E-2</v>
      </c>
      <c r="DM92" s="32">
        <v>0.28999999999999998</v>
      </c>
      <c r="DN92" s="32">
        <v>0.25</v>
      </c>
      <c r="DO92" s="32">
        <v>0.17</v>
      </c>
      <c r="DP92" s="32">
        <v>0.27</v>
      </c>
      <c r="DQ92" s="32">
        <v>0.11</v>
      </c>
      <c r="DR92" s="32">
        <v>-7.0000000000000007E-2</v>
      </c>
      <c r="DS92" s="32">
        <v>0.15</v>
      </c>
      <c r="DT92" s="32">
        <v>0.05</v>
      </c>
      <c r="DU92" s="32">
        <v>0.18</v>
      </c>
      <c r="DV92" s="32">
        <v>0.08</v>
      </c>
      <c r="DW92" s="32">
        <v>0.28000000000000003</v>
      </c>
      <c r="DX92" s="32">
        <v>-0.02</v>
      </c>
      <c r="DY92" s="32">
        <v>0.28000000000000003</v>
      </c>
      <c r="DZ92" s="32">
        <v>0.08</v>
      </c>
      <c r="EA92" s="32">
        <v>0.23</v>
      </c>
      <c r="EB92" s="32">
        <v>0.28999999999999998</v>
      </c>
      <c r="EC92" s="32">
        <v>-0.04</v>
      </c>
      <c r="ED92" s="32">
        <v>0.18</v>
      </c>
      <c r="EE92" s="32">
        <v>-0.03</v>
      </c>
      <c r="EF92" s="32">
        <v>0.13</v>
      </c>
      <c r="EG92" s="32">
        <v>-0.02</v>
      </c>
      <c r="EH92" s="32">
        <v>0.18</v>
      </c>
      <c r="EI92" s="32">
        <v>-0.1</v>
      </c>
      <c r="EJ92" s="32">
        <v>0.19</v>
      </c>
      <c r="EK92" s="32">
        <v>0.02</v>
      </c>
      <c r="EL92" s="32">
        <v>-0.03</v>
      </c>
      <c r="EM92" s="32">
        <v>0.14000000000000001</v>
      </c>
      <c r="EN92" s="32">
        <v>0.15</v>
      </c>
      <c r="EO92" s="32">
        <v>0.14000000000000001</v>
      </c>
    </row>
    <row r="93" spans="1:145" x14ac:dyDescent="0.25">
      <c r="A93" s="31" t="s">
        <v>171</v>
      </c>
      <c r="B93" s="32">
        <v>0.11</v>
      </c>
      <c r="C93" s="32">
        <v>0</v>
      </c>
      <c r="D93" s="32">
        <v>0</v>
      </c>
      <c r="E93" s="32">
        <v>0</v>
      </c>
      <c r="F93" s="32">
        <v>0.14000000000000001</v>
      </c>
      <c r="G93" s="32">
        <v>7.0000000000000007E-2</v>
      </c>
      <c r="H93" s="32">
        <v>0.22</v>
      </c>
      <c r="I93" s="32">
        <v>0.1</v>
      </c>
      <c r="J93" s="32">
        <v>0.12</v>
      </c>
      <c r="K93" s="32">
        <v>0.16</v>
      </c>
      <c r="L93" s="32">
        <v>0.05</v>
      </c>
      <c r="M93" s="32">
        <v>0.33</v>
      </c>
      <c r="N93" s="32">
        <v>0.27</v>
      </c>
      <c r="O93" s="32">
        <v>0.04</v>
      </c>
      <c r="P93" s="32">
        <v>0.05</v>
      </c>
      <c r="Q93" s="32">
        <v>-0.01</v>
      </c>
      <c r="R93" s="32">
        <v>0.11</v>
      </c>
      <c r="S93" s="32">
        <v>-0.04</v>
      </c>
      <c r="T93" s="32">
        <v>0.22</v>
      </c>
      <c r="U93" s="32">
        <v>0.14000000000000001</v>
      </c>
      <c r="V93" s="32">
        <v>0.1</v>
      </c>
      <c r="W93" s="32">
        <v>-7.0000000000000007E-2</v>
      </c>
      <c r="X93" s="32">
        <v>0.2</v>
      </c>
      <c r="Y93" s="32">
        <v>7.0000000000000007E-2</v>
      </c>
      <c r="Z93" s="32">
        <v>0.11</v>
      </c>
      <c r="AA93" s="32">
        <v>0.21</v>
      </c>
      <c r="AB93" s="32">
        <v>0.08</v>
      </c>
      <c r="AC93" s="32">
        <v>0.04</v>
      </c>
      <c r="AD93" s="32">
        <v>0.09</v>
      </c>
      <c r="AE93" s="32">
        <v>0.11</v>
      </c>
      <c r="AF93" s="32">
        <v>0.01</v>
      </c>
      <c r="AG93" s="32">
        <v>7.0000000000000007E-2</v>
      </c>
      <c r="AH93" s="32">
        <v>0.08</v>
      </c>
      <c r="AI93" s="32">
        <v>-0.12</v>
      </c>
      <c r="AJ93" s="32">
        <v>0.04</v>
      </c>
      <c r="AK93" s="32">
        <v>0.09</v>
      </c>
      <c r="AL93" s="32">
        <v>0.25</v>
      </c>
      <c r="AM93" s="32">
        <v>0.16</v>
      </c>
      <c r="AN93" s="32">
        <v>0.31</v>
      </c>
      <c r="AO93" s="32">
        <v>0.15</v>
      </c>
      <c r="AP93" s="32">
        <v>0.22</v>
      </c>
      <c r="AQ93" s="32">
        <v>-0.18</v>
      </c>
      <c r="AR93" s="32">
        <v>0.19</v>
      </c>
      <c r="AS93" s="32">
        <v>0.12</v>
      </c>
      <c r="AT93" s="32">
        <v>0.28999999999999998</v>
      </c>
      <c r="AU93" s="32">
        <v>0.09</v>
      </c>
      <c r="AV93" s="32">
        <v>0.06</v>
      </c>
      <c r="AW93" s="32">
        <v>0.12</v>
      </c>
      <c r="AX93" s="32">
        <v>0.19</v>
      </c>
      <c r="AY93" s="32">
        <v>0.2</v>
      </c>
      <c r="AZ93" s="32">
        <v>0.14000000000000001</v>
      </c>
      <c r="BA93" s="32">
        <v>0.35</v>
      </c>
      <c r="BB93" s="32">
        <v>0.21</v>
      </c>
      <c r="BC93" s="32">
        <v>0.06</v>
      </c>
      <c r="BD93" s="32">
        <v>0.04</v>
      </c>
      <c r="BE93" s="32">
        <v>0.31</v>
      </c>
      <c r="BF93" s="32">
        <v>0.04</v>
      </c>
      <c r="BG93" s="32">
        <v>0.21</v>
      </c>
      <c r="BH93" s="32">
        <v>0.11</v>
      </c>
      <c r="BI93" s="32">
        <v>0.02</v>
      </c>
      <c r="BJ93" s="32">
        <v>-0.13</v>
      </c>
      <c r="BK93" s="32">
        <v>0.06</v>
      </c>
      <c r="BL93" s="32">
        <v>0.28999999999999998</v>
      </c>
      <c r="BM93" s="32">
        <v>0.27</v>
      </c>
      <c r="BN93" s="32">
        <v>0.11</v>
      </c>
      <c r="BO93" s="32">
        <v>0.24</v>
      </c>
      <c r="BP93" s="32">
        <v>0.04</v>
      </c>
      <c r="BQ93" s="32">
        <v>0.28999999999999998</v>
      </c>
      <c r="BR93" s="32">
        <v>0.24</v>
      </c>
      <c r="BS93" s="32">
        <v>-0.05</v>
      </c>
      <c r="BT93" s="32">
        <v>0.28999999999999998</v>
      </c>
      <c r="BU93" s="32">
        <v>0.13</v>
      </c>
      <c r="BV93" s="32">
        <v>0.22</v>
      </c>
      <c r="BW93" s="32">
        <v>0.18</v>
      </c>
      <c r="BX93" s="32">
        <v>0.15</v>
      </c>
      <c r="BY93" s="32">
        <v>0.61</v>
      </c>
      <c r="BZ93" s="32">
        <v>0.27</v>
      </c>
      <c r="CA93" s="32">
        <v>0.09</v>
      </c>
      <c r="CB93" s="32">
        <v>-0.08</v>
      </c>
      <c r="CC93" s="32">
        <v>0.06</v>
      </c>
      <c r="CD93" s="32">
        <v>0.14000000000000001</v>
      </c>
      <c r="CE93" s="32">
        <v>0.18</v>
      </c>
      <c r="CF93" s="32">
        <v>-0.11</v>
      </c>
      <c r="CG93" s="32">
        <v>0.25</v>
      </c>
      <c r="CH93" s="32">
        <v>0.24</v>
      </c>
      <c r="CI93" s="32">
        <v>-0.1</v>
      </c>
      <c r="CJ93" s="32">
        <v>0.04</v>
      </c>
      <c r="CK93" s="32">
        <v>0.26</v>
      </c>
      <c r="CL93" s="32">
        <v>1</v>
      </c>
      <c r="CM93" s="32">
        <v>0.21</v>
      </c>
      <c r="CN93" s="32">
        <v>0.05</v>
      </c>
      <c r="CO93" s="32">
        <v>7.0000000000000007E-2</v>
      </c>
      <c r="CP93" s="32">
        <v>0.03</v>
      </c>
      <c r="CQ93" s="32">
        <v>0.42</v>
      </c>
      <c r="CR93" s="32">
        <v>0.26</v>
      </c>
      <c r="CS93" s="32">
        <v>0.27</v>
      </c>
      <c r="CT93" s="32">
        <v>0.17</v>
      </c>
      <c r="CU93" s="32">
        <v>0.2</v>
      </c>
      <c r="CV93" s="32">
        <v>0.22</v>
      </c>
      <c r="CW93" s="32">
        <v>0.24</v>
      </c>
      <c r="CX93" s="32">
        <v>0.27</v>
      </c>
      <c r="CY93" s="32">
        <v>0.35</v>
      </c>
      <c r="CZ93" s="32">
        <v>0.13</v>
      </c>
      <c r="DA93" s="32">
        <v>0.18</v>
      </c>
      <c r="DB93" s="32">
        <v>0.27</v>
      </c>
      <c r="DC93" s="32">
        <v>0.2</v>
      </c>
      <c r="DD93" s="32">
        <v>0.21</v>
      </c>
      <c r="DE93" s="32">
        <v>0.26</v>
      </c>
      <c r="DF93" s="32">
        <v>0.09</v>
      </c>
      <c r="DG93" s="32">
        <v>0.2</v>
      </c>
      <c r="DH93" s="32">
        <v>0.17</v>
      </c>
      <c r="DI93" s="32">
        <v>0.41</v>
      </c>
      <c r="DJ93" s="32">
        <v>0.35</v>
      </c>
      <c r="DK93" s="32">
        <v>0.42</v>
      </c>
      <c r="DL93" s="32">
        <v>0.14000000000000001</v>
      </c>
      <c r="DM93" s="32">
        <v>0.41</v>
      </c>
      <c r="DN93" s="32">
        <v>0.19</v>
      </c>
      <c r="DO93" s="32">
        <v>0.28000000000000003</v>
      </c>
      <c r="DP93" s="32">
        <v>0.39</v>
      </c>
      <c r="DQ93" s="32">
        <v>0.27</v>
      </c>
      <c r="DR93" s="32">
        <v>0.21</v>
      </c>
      <c r="DS93" s="32">
        <v>-0.01</v>
      </c>
      <c r="DT93" s="32">
        <v>0.14000000000000001</v>
      </c>
      <c r="DU93" s="32">
        <v>0.26</v>
      </c>
      <c r="DV93" s="32">
        <v>7.0000000000000007E-2</v>
      </c>
      <c r="DW93" s="32">
        <v>0.16</v>
      </c>
      <c r="DX93" s="32">
        <v>0.16</v>
      </c>
      <c r="DY93" s="32">
        <v>0.24</v>
      </c>
      <c r="DZ93" s="32">
        <v>0.02</v>
      </c>
      <c r="EA93" s="32">
        <v>0.22</v>
      </c>
      <c r="EB93" s="32">
        <v>0.28000000000000003</v>
      </c>
      <c r="EC93" s="32">
        <v>0.05</v>
      </c>
      <c r="ED93" s="32">
        <v>0.28999999999999998</v>
      </c>
      <c r="EE93" s="32">
        <v>0.25</v>
      </c>
      <c r="EF93" s="32">
        <v>0.19</v>
      </c>
      <c r="EG93" s="32">
        <v>0.13</v>
      </c>
      <c r="EH93" s="32">
        <v>0.14000000000000001</v>
      </c>
      <c r="EI93" s="32">
        <v>0.24</v>
      </c>
      <c r="EJ93" s="32">
        <v>0.32</v>
      </c>
      <c r="EK93" s="32">
        <v>0.22</v>
      </c>
      <c r="EL93" s="32">
        <v>0.21</v>
      </c>
      <c r="EM93" s="32">
        <v>0.22</v>
      </c>
      <c r="EN93" s="32">
        <v>0.18</v>
      </c>
      <c r="EO93" s="32">
        <v>0.15</v>
      </c>
    </row>
    <row r="94" spans="1:145" x14ac:dyDescent="0.25">
      <c r="A94" s="31" t="s">
        <v>172</v>
      </c>
      <c r="B94" s="32">
        <v>-0.14000000000000001</v>
      </c>
      <c r="C94" s="32">
        <v>-7.0000000000000007E-2</v>
      </c>
      <c r="D94" s="32">
        <v>0.06</v>
      </c>
      <c r="E94" s="32">
        <v>-0.03</v>
      </c>
      <c r="F94" s="32">
        <v>-0.18</v>
      </c>
      <c r="G94" s="32">
        <v>-0.02</v>
      </c>
      <c r="H94" s="32">
        <v>0.03</v>
      </c>
      <c r="I94" s="32">
        <v>-0.15</v>
      </c>
      <c r="J94" s="32">
        <v>-0.13</v>
      </c>
      <c r="K94" s="32">
        <v>-0.14000000000000001</v>
      </c>
      <c r="L94" s="32">
        <v>0.05</v>
      </c>
      <c r="M94" s="32">
        <v>0.22</v>
      </c>
      <c r="N94" s="32">
        <v>-0.01</v>
      </c>
      <c r="O94" s="32">
        <v>-0.04</v>
      </c>
      <c r="P94" s="32">
        <v>-0.14000000000000001</v>
      </c>
      <c r="Q94" s="32">
        <v>7.0000000000000007E-2</v>
      </c>
      <c r="R94" s="32">
        <v>-0.18</v>
      </c>
      <c r="S94" s="32">
        <v>-0.01</v>
      </c>
      <c r="T94" s="32">
        <v>0.17</v>
      </c>
      <c r="U94" s="32">
        <v>0.13</v>
      </c>
      <c r="V94" s="32">
        <v>-0.02</v>
      </c>
      <c r="W94" s="32">
        <v>-0.12</v>
      </c>
      <c r="X94" s="32">
        <v>0.19</v>
      </c>
      <c r="Y94" s="32">
        <v>-0.04</v>
      </c>
      <c r="Z94" s="32">
        <v>7.0000000000000007E-2</v>
      </c>
      <c r="AA94" s="32">
        <v>-7.0000000000000007E-2</v>
      </c>
      <c r="AB94" s="32">
        <v>-0.04</v>
      </c>
      <c r="AC94" s="32">
        <v>-0.02</v>
      </c>
      <c r="AD94" s="32">
        <v>0</v>
      </c>
      <c r="AE94" s="32">
        <v>0.11</v>
      </c>
      <c r="AF94" s="32">
        <v>0.13</v>
      </c>
      <c r="AG94" s="32">
        <v>-0.19</v>
      </c>
      <c r="AH94" s="32">
        <v>-0.19</v>
      </c>
      <c r="AI94" s="32">
        <v>-0.13</v>
      </c>
      <c r="AJ94" s="32">
        <v>0.02</v>
      </c>
      <c r="AK94" s="32">
        <v>0.13</v>
      </c>
      <c r="AL94" s="32">
        <v>0.13</v>
      </c>
      <c r="AM94" s="32">
        <v>0.08</v>
      </c>
      <c r="AN94" s="32">
        <v>0.06</v>
      </c>
      <c r="AO94" s="32">
        <v>-0.1</v>
      </c>
      <c r="AP94" s="32">
        <v>0.14000000000000001</v>
      </c>
      <c r="AQ94" s="32">
        <v>-0.14000000000000001</v>
      </c>
      <c r="AR94" s="32">
        <v>0.15</v>
      </c>
      <c r="AS94" s="32">
        <v>0.15</v>
      </c>
      <c r="AT94" s="32">
        <v>0.19</v>
      </c>
      <c r="AU94" s="32">
        <v>-7.0000000000000007E-2</v>
      </c>
      <c r="AV94" s="32">
        <v>0.05</v>
      </c>
      <c r="AW94" s="32">
        <v>0.13</v>
      </c>
      <c r="AX94" s="32">
        <v>-7.0000000000000007E-2</v>
      </c>
      <c r="AY94" s="32">
        <v>0.04</v>
      </c>
      <c r="AZ94" s="32">
        <v>0.16</v>
      </c>
      <c r="BA94" s="32">
        <v>0.12</v>
      </c>
      <c r="BB94" s="32">
        <v>0.36</v>
      </c>
      <c r="BC94" s="32">
        <v>0.09</v>
      </c>
      <c r="BD94" s="32">
        <v>0.12</v>
      </c>
      <c r="BE94" s="32">
        <v>-0.11</v>
      </c>
      <c r="BF94" s="32">
        <v>0.04</v>
      </c>
      <c r="BG94" s="32">
        <v>0.15</v>
      </c>
      <c r="BH94" s="32">
        <v>0.13</v>
      </c>
      <c r="BI94" s="32">
        <v>-0.05</v>
      </c>
      <c r="BJ94" s="32">
        <v>-7.0000000000000007E-2</v>
      </c>
      <c r="BK94" s="32">
        <v>0.1</v>
      </c>
      <c r="BL94" s="32">
        <v>0.32</v>
      </c>
      <c r="BM94" s="32">
        <v>0.03</v>
      </c>
      <c r="BN94" s="32">
        <v>0.03</v>
      </c>
      <c r="BO94" s="32">
        <v>0.28000000000000003</v>
      </c>
      <c r="BP94" s="32">
        <v>0.28000000000000003</v>
      </c>
      <c r="BQ94" s="32">
        <v>0.24</v>
      </c>
      <c r="BR94" s="32">
        <v>0.15</v>
      </c>
      <c r="BS94" s="32">
        <v>-0.05</v>
      </c>
      <c r="BT94" s="32">
        <v>0.3</v>
      </c>
      <c r="BU94" s="32">
        <v>0.18</v>
      </c>
      <c r="BV94" s="32">
        <v>0.28000000000000003</v>
      </c>
      <c r="BW94" s="32">
        <v>0.11</v>
      </c>
      <c r="BX94" s="32">
        <v>-0.04</v>
      </c>
      <c r="BY94" s="32">
        <v>0.21</v>
      </c>
      <c r="BZ94" s="32">
        <v>0.26</v>
      </c>
      <c r="CA94" s="32">
        <v>7.0000000000000007E-2</v>
      </c>
      <c r="CB94" s="32">
        <v>-0.12</v>
      </c>
      <c r="CC94" s="32">
        <v>0.03</v>
      </c>
      <c r="CD94" s="32">
        <v>0.19</v>
      </c>
      <c r="CE94" s="32">
        <v>0.3</v>
      </c>
      <c r="CF94" s="32">
        <v>-0.12</v>
      </c>
      <c r="CG94" s="32">
        <v>0.15</v>
      </c>
      <c r="CH94" s="32">
        <v>0.28000000000000003</v>
      </c>
      <c r="CI94" s="32">
        <v>-0.09</v>
      </c>
      <c r="CJ94" s="32">
        <v>-0.01</v>
      </c>
      <c r="CK94" s="32">
        <v>0.03</v>
      </c>
      <c r="CL94" s="32">
        <v>0.21</v>
      </c>
      <c r="CM94" s="32">
        <v>1</v>
      </c>
      <c r="CN94" s="32">
        <v>7.0000000000000007E-2</v>
      </c>
      <c r="CO94" s="32">
        <v>7.0000000000000007E-2</v>
      </c>
      <c r="CP94" s="32">
        <v>0.13</v>
      </c>
      <c r="CQ94" s="32">
        <v>0.28000000000000003</v>
      </c>
      <c r="CR94" s="32">
        <v>0.66</v>
      </c>
      <c r="CS94" s="32">
        <v>0.41</v>
      </c>
      <c r="CT94" s="32">
        <v>0.2</v>
      </c>
      <c r="CU94" s="32">
        <v>0.33</v>
      </c>
      <c r="CV94" s="32">
        <v>0.3</v>
      </c>
      <c r="CW94" s="32">
        <v>0.21</v>
      </c>
      <c r="CX94" s="32">
        <v>0.31</v>
      </c>
      <c r="CY94" s="32">
        <v>0.2</v>
      </c>
      <c r="CZ94" s="32">
        <v>0.19</v>
      </c>
      <c r="DA94" s="32">
        <v>0.24</v>
      </c>
      <c r="DB94" s="32">
        <v>0.45</v>
      </c>
      <c r="DC94" s="32">
        <v>0.08</v>
      </c>
      <c r="DD94" s="32">
        <v>0.25</v>
      </c>
      <c r="DE94" s="32">
        <v>0.42</v>
      </c>
      <c r="DF94" s="32">
        <v>0.11</v>
      </c>
      <c r="DG94" s="32">
        <v>0.33</v>
      </c>
      <c r="DH94" s="32">
        <v>0.54</v>
      </c>
      <c r="DI94" s="32">
        <v>0.22</v>
      </c>
      <c r="DJ94" s="32">
        <v>0.21</v>
      </c>
      <c r="DK94" s="32">
        <v>0.31</v>
      </c>
      <c r="DL94" s="32">
        <v>0.18</v>
      </c>
      <c r="DM94" s="32">
        <v>0.26</v>
      </c>
      <c r="DN94" s="32">
        <v>0.17</v>
      </c>
      <c r="DO94" s="32">
        <v>0.22</v>
      </c>
      <c r="DP94" s="32">
        <v>0.22</v>
      </c>
      <c r="DQ94" s="32">
        <v>0.24</v>
      </c>
      <c r="DR94" s="32">
        <v>0.3</v>
      </c>
      <c r="DS94" s="32">
        <v>0.1</v>
      </c>
      <c r="DT94" s="32">
        <v>0.44</v>
      </c>
      <c r="DU94" s="32">
        <v>0.47</v>
      </c>
      <c r="DV94" s="32">
        <v>0.32</v>
      </c>
      <c r="DW94" s="32">
        <v>0.28999999999999998</v>
      </c>
      <c r="DX94" s="32">
        <v>0.48</v>
      </c>
      <c r="DY94" s="32">
        <v>0.28000000000000003</v>
      </c>
      <c r="DZ94" s="32">
        <v>0.21</v>
      </c>
      <c r="EA94" s="32">
        <v>0.14000000000000001</v>
      </c>
      <c r="EB94" s="32">
        <v>0.34</v>
      </c>
      <c r="EC94" s="32">
        <v>0.12</v>
      </c>
      <c r="ED94" s="32">
        <v>0.17</v>
      </c>
      <c r="EE94" s="32">
        <v>0.53</v>
      </c>
      <c r="EF94" s="32">
        <v>0.28000000000000003</v>
      </c>
      <c r="EG94" s="32">
        <v>0.4</v>
      </c>
      <c r="EH94" s="32">
        <v>0.13</v>
      </c>
      <c r="EI94" s="32">
        <v>0.45</v>
      </c>
      <c r="EJ94" s="32">
        <v>0.15</v>
      </c>
      <c r="EK94" s="32">
        <v>0.4</v>
      </c>
      <c r="EL94" s="32">
        <v>0.43</v>
      </c>
      <c r="EM94" s="32">
        <v>0.21</v>
      </c>
      <c r="EN94" s="32">
        <v>0.04</v>
      </c>
      <c r="EO94" s="32">
        <v>0.11</v>
      </c>
    </row>
    <row r="95" spans="1:145" x14ac:dyDescent="0.25">
      <c r="A95" s="31" t="s">
        <v>173</v>
      </c>
      <c r="B95" s="32">
        <v>-0.04</v>
      </c>
      <c r="C95" s="32">
        <v>0.19</v>
      </c>
      <c r="D95" s="32">
        <v>0.2</v>
      </c>
      <c r="E95" s="32">
        <v>0.16</v>
      </c>
      <c r="F95" s="32">
        <v>-0.09</v>
      </c>
      <c r="G95" s="32">
        <v>0.13</v>
      </c>
      <c r="H95" s="32">
        <v>0.22</v>
      </c>
      <c r="I95" s="32">
        <v>-0.06</v>
      </c>
      <c r="J95" s="32">
        <v>0.04</v>
      </c>
      <c r="K95" s="32">
        <v>-0.03</v>
      </c>
      <c r="L95" s="32">
        <v>0.16</v>
      </c>
      <c r="M95" s="32">
        <v>0.03</v>
      </c>
      <c r="N95" s="32">
        <v>0.14000000000000001</v>
      </c>
      <c r="O95" s="32">
        <v>0.22</v>
      </c>
      <c r="P95" s="32">
        <v>0.05</v>
      </c>
      <c r="Q95" s="32">
        <v>0.08</v>
      </c>
      <c r="R95" s="32">
        <v>-0.1</v>
      </c>
      <c r="S95" s="32">
        <v>0.06</v>
      </c>
      <c r="T95" s="32">
        <v>7.0000000000000007E-2</v>
      </c>
      <c r="U95" s="32">
        <v>0.34</v>
      </c>
      <c r="V95" s="32">
        <v>0.19</v>
      </c>
      <c r="W95" s="32">
        <v>0.14000000000000001</v>
      </c>
      <c r="X95" s="32">
        <v>0.1</v>
      </c>
      <c r="Y95" s="32">
        <v>0</v>
      </c>
      <c r="Z95" s="32">
        <v>0.27</v>
      </c>
      <c r="AA95" s="32">
        <v>0.14000000000000001</v>
      </c>
      <c r="AB95" s="32">
        <v>0.01</v>
      </c>
      <c r="AC95" s="32">
        <v>0.2</v>
      </c>
      <c r="AD95" s="32">
        <v>0.18</v>
      </c>
      <c r="AE95" s="32">
        <v>0.16</v>
      </c>
      <c r="AF95" s="32">
        <v>0.36</v>
      </c>
      <c r="AG95" s="32">
        <v>-0.01</v>
      </c>
      <c r="AH95" s="32">
        <v>0.03</v>
      </c>
      <c r="AI95" s="32">
        <v>0</v>
      </c>
      <c r="AJ95" s="32">
        <v>0.24</v>
      </c>
      <c r="AK95" s="32">
        <v>0.3</v>
      </c>
      <c r="AL95" s="32">
        <v>-0.03</v>
      </c>
      <c r="AM95" s="32">
        <v>0.13</v>
      </c>
      <c r="AN95" s="32">
        <v>0.03</v>
      </c>
      <c r="AO95" s="32">
        <v>-0.02</v>
      </c>
      <c r="AP95" s="32">
        <v>0.05</v>
      </c>
      <c r="AQ95" s="32">
        <v>0.05</v>
      </c>
      <c r="AR95" s="32">
        <v>0.04</v>
      </c>
      <c r="AS95" s="32">
        <v>0.24</v>
      </c>
      <c r="AT95" s="32">
        <v>0.02</v>
      </c>
      <c r="AU95" s="32">
        <v>0.01</v>
      </c>
      <c r="AV95" s="32">
        <v>0.2</v>
      </c>
      <c r="AW95" s="32">
        <v>0.28999999999999998</v>
      </c>
      <c r="AX95" s="32">
        <v>0.04</v>
      </c>
      <c r="AY95" s="32">
        <v>0.06</v>
      </c>
      <c r="AZ95" s="32">
        <v>0.15</v>
      </c>
      <c r="BA95" s="32">
        <v>0.03</v>
      </c>
      <c r="BB95" s="32">
        <v>0.08</v>
      </c>
      <c r="BC95" s="32">
        <v>0.05</v>
      </c>
      <c r="BD95" s="32">
        <v>0.28999999999999998</v>
      </c>
      <c r="BE95" s="32">
        <v>0.05</v>
      </c>
      <c r="BF95" s="32">
        <v>0.27</v>
      </c>
      <c r="BG95" s="32">
        <v>0.02</v>
      </c>
      <c r="BH95" s="32">
        <v>0.17</v>
      </c>
      <c r="BI95" s="32">
        <v>-0.03</v>
      </c>
      <c r="BJ95" s="32">
        <v>0.03</v>
      </c>
      <c r="BK95" s="32">
        <v>0.18</v>
      </c>
      <c r="BL95" s="32">
        <v>7.0000000000000007E-2</v>
      </c>
      <c r="BM95" s="32">
        <v>-0.05</v>
      </c>
      <c r="BN95" s="32">
        <v>0.01</v>
      </c>
      <c r="BO95" s="32">
        <v>-0.02</v>
      </c>
      <c r="BP95" s="32">
        <v>0.03</v>
      </c>
      <c r="BQ95" s="32">
        <v>0.24</v>
      </c>
      <c r="BR95" s="32">
        <v>-0.05</v>
      </c>
      <c r="BS95" s="32">
        <v>0</v>
      </c>
      <c r="BT95" s="32">
        <v>0.08</v>
      </c>
      <c r="BU95" s="32">
        <v>0.21</v>
      </c>
      <c r="BV95" s="32">
        <v>0.01</v>
      </c>
      <c r="BW95" s="32">
        <v>-0.06</v>
      </c>
      <c r="BX95" s="32">
        <v>0.09</v>
      </c>
      <c r="BY95" s="32">
        <v>-0.01</v>
      </c>
      <c r="BZ95" s="32">
        <v>0.09</v>
      </c>
      <c r="CA95" s="32">
        <v>0.21</v>
      </c>
      <c r="CB95" s="32">
        <v>0.14000000000000001</v>
      </c>
      <c r="CC95" s="32">
        <v>0.03</v>
      </c>
      <c r="CD95" s="32">
        <v>0.03</v>
      </c>
      <c r="CE95" s="32">
        <v>0.05</v>
      </c>
      <c r="CF95" s="32">
        <v>0.02</v>
      </c>
      <c r="CG95" s="32">
        <v>-0.03</v>
      </c>
      <c r="CH95" s="32">
        <v>0.31</v>
      </c>
      <c r="CI95" s="32">
        <v>0.03</v>
      </c>
      <c r="CJ95" s="32">
        <v>-0.03</v>
      </c>
      <c r="CK95" s="32">
        <v>0.05</v>
      </c>
      <c r="CL95" s="32">
        <v>0.05</v>
      </c>
      <c r="CM95" s="32">
        <v>7.0000000000000007E-2</v>
      </c>
      <c r="CN95" s="32">
        <v>1</v>
      </c>
      <c r="CO95" s="32">
        <v>0.13</v>
      </c>
      <c r="CP95" s="32">
        <v>-0.03</v>
      </c>
      <c r="CQ95" s="32">
        <v>0.08</v>
      </c>
      <c r="CR95" s="32">
        <v>0.08</v>
      </c>
      <c r="CS95" s="32">
        <v>0.2</v>
      </c>
      <c r="CT95" s="32">
        <v>0.08</v>
      </c>
      <c r="CU95" s="32">
        <v>0.11</v>
      </c>
      <c r="CV95" s="32">
        <v>0.03</v>
      </c>
      <c r="CW95" s="32">
        <v>0.08</v>
      </c>
      <c r="CX95" s="32">
        <v>0.09</v>
      </c>
      <c r="CY95" s="32">
        <v>7.0000000000000007E-2</v>
      </c>
      <c r="CZ95" s="32">
        <v>0.15</v>
      </c>
      <c r="DA95" s="32">
        <v>-0.02</v>
      </c>
      <c r="DB95" s="32">
        <v>0.12</v>
      </c>
      <c r="DC95" s="32">
        <v>0.23</v>
      </c>
      <c r="DD95" s="32">
        <v>7.0000000000000007E-2</v>
      </c>
      <c r="DE95" s="32">
        <v>0.19</v>
      </c>
      <c r="DF95" s="32">
        <v>0.03</v>
      </c>
      <c r="DG95" s="32">
        <v>0.17</v>
      </c>
      <c r="DH95" s="32">
        <v>0.13</v>
      </c>
      <c r="DI95" s="32">
        <v>0.03</v>
      </c>
      <c r="DJ95" s="32">
        <v>0.13</v>
      </c>
      <c r="DK95" s="32">
        <v>0.06</v>
      </c>
      <c r="DL95" s="32">
        <v>0.25</v>
      </c>
      <c r="DM95" s="32">
        <v>0.13</v>
      </c>
      <c r="DN95" s="32">
        <v>0</v>
      </c>
      <c r="DO95" s="32">
        <v>0.02</v>
      </c>
      <c r="DP95" s="32">
        <v>0.1</v>
      </c>
      <c r="DQ95" s="32">
        <v>0.01</v>
      </c>
      <c r="DR95" s="32">
        <v>0.12</v>
      </c>
      <c r="DS95" s="32">
        <v>0.03</v>
      </c>
      <c r="DT95" s="32">
        <v>0.13</v>
      </c>
      <c r="DU95" s="32">
        <v>0.09</v>
      </c>
      <c r="DV95" s="32">
        <v>0.03</v>
      </c>
      <c r="DW95" s="32">
        <v>-0.04</v>
      </c>
      <c r="DX95" s="32">
        <v>0.12</v>
      </c>
      <c r="DY95" s="32">
        <v>0.04</v>
      </c>
      <c r="DZ95" s="32">
        <v>-0.03</v>
      </c>
      <c r="EA95" s="32">
        <v>0.05</v>
      </c>
      <c r="EB95" s="32">
        <v>7.0000000000000007E-2</v>
      </c>
      <c r="EC95" s="32">
        <v>-0.01</v>
      </c>
      <c r="ED95" s="32">
        <v>0.09</v>
      </c>
      <c r="EE95" s="32">
        <v>0.1</v>
      </c>
      <c r="EF95" s="32">
        <v>0.08</v>
      </c>
      <c r="EG95" s="32">
        <v>0.09</v>
      </c>
      <c r="EH95" s="32">
        <v>-0.08</v>
      </c>
      <c r="EI95" s="32">
        <v>0.05</v>
      </c>
      <c r="EJ95" s="32">
        <v>0.14000000000000001</v>
      </c>
      <c r="EK95" s="32">
        <v>0.13</v>
      </c>
      <c r="EL95" s="32">
        <v>0.16</v>
      </c>
      <c r="EM95" s="32">
        <v>0.11</v>
      </c>
      <c r="EN95" s="32">
        <v>0.01</v>
      </c>
      <c r="EO95" s="32">
        <v>0.03</v>
      </c>
    </row>
    <row r="96" spans="1:145" x14ac:dyDescent="0.25">
      <c r="A96" s="31" t="s">
        <v>174</v>
      </c>
      <c r="B96" s="32">
        <v>0.01</v>
      </c>
      <c r="C96" s="32">
        <v>7.0000000000000007E-2</v>
      </c>
      <c r="D96" s="32">
        <v>0</v>
      </c>
      <c r="E96" s="32">
        <v>0.14000000000000001</v>
      </c>
      <c r="F96" s="32">
        <v>-0.02</v>
      </c>
      <c r="G96" s="32">
        <v>-0.04</v>
      </c>
      <c r="H96" s="32">
        <v>0.13</v>
      </c>
      <c r="I96" s="32">
        <v>0.12</v>
      </c>
      <c r="J96" s="32">
        <v>-7.0000000000000007E-2</v>
      </c>
      <c r="K96" s="32">
        <v>0.06</v>
      </c>
      <c r="L96" s="32">
        <v>0.09</v>
      </c>
      <c r="M96" s="32">
        <v>0.1</v>
      </c>
      <c r="N96" s="32">
        <v>0.06</v>
      </c>
      <c r="O96" s="32">
        <v>0.05</v>
      </c>
      <c r="P96" s="32">
        <v>0.03</v>
      </c>
      <c r="Q96" s="32">
        <v>-0.05</v>
      </c>
      <c r="R96" s="32">
        <v>0.05</v>
      </c>
      <c r="S96" s="32">
        <v>0.14000000000000001</v>
      </c>
      <c r="T96" s="32">
        <v>0.08</v>
      </c>
      <c r="U96" s="32">
        <v>0.21</v>
      </c>
      <c r="V96" s="32">
        <v>0.18</v>
      </c>
      <c r="W96" s="32">
        <v>0.13</v>
      </c>
      <c r="X96" s="32">
        <v>0.1</v>
      </c>
      <c r="Y96" s="32">
        <v>0.04</v>
      </c>
      <c r="Z96" s="32">
        <v>0.11</v>
      </c>
      <c r="AA96" s="32">
        <v>0.03</v>
      </c>
      <c r="AB96" s="32">
        <v>7.0000000000000007E-2</v>
      </c>
      <c r="AC96" s="32">
        <v>-0.05</v>
      </c>
      <c r="AD96" s="32">
        <v>0.13</v>
      </c>
      <c r="AE96" s="32">
        <v>0.12</v>
      </c>
      <c r="AF96" s="32">
        <v>0.22</v>
      </c>
      <c r="AG96" s="32">
        <v>0</v>
      </c>
      <c r="AH96" s="32">
        <v>-0.01</v>
      </c>
      <c r="AI96" s="32">
        <v>-0.11</v>
      </c>
      <c r="AJ96" s="32">
        <v>0.05</v>
      </c>
      <c r="AK96" s="32">
        <v>0.15</v>
      </c>
      <c r="AL96" s="32">
        <v>0.05</v>
      </c>
      <c r="AM96" s="32">
        <v>0.06</v>
      </c>
      <c r="AN96" s="32">
        <v>0.14000000000000001</v>
      </c>
      <c r="AO96" s="32">
        <v>-0.1</v>
      </c>
      <c r="AP96" s="32">
        <v>0.17</v>
      </c>
      <c r="AQ96" s="32">
        <v>-0.09</v>
      </c>
      <c r="AR96" s="32">
        <v>0.03</v>
      </c>
      <c r="AS96" s="32">
        <v>0.21</v>
      </c>
      <c r="AT96" s="32">
        <v>0.23</v>
      </c>
      <c r="AU96" s="32">
        <v>-0.05</v>
      </c>
      <c r="AV96" s="32">
        <v>0.16</v>
      </c>
      <c r="AW96" s="32">
        <v>0.2</v>
      </c>
      <c r="AX96" s="32">
        <v>-0.04</v>
      </c>
      <c r="AY96" s="32">
        <v>0.14000000000000001</v>
      </c>
      <c r="AZ96" s="32">
        <v>0.16</v>
      </c>
      <c r="BA96" s="32">
        <v>0.11</v>
      </c>
      <c r="BB96" s="32">
        <v>0.14000000000000001</v>
      </c>
      <c r="BC96" s="32">
        <v>0.15</v>
      </c>
      <c r="BD96" s="32">
        <v>0.2</v>
      </c>
      <c r="BE96" s="32">
        <v>0.04</v>
      </c>
      <c r="BF96" s="32">
        <v>0.2</v>
      </c>
      <c r="BG96" s="32">
        <v>0.1</v>
      </c>
      <c r="BH96" s="32">
        <v>0.17</v>
      </c>
      <c r="BI96" s="32">
        <v>0.12</v>
      </c>
      <c r="BJ96" s="32">
        <v>-7.0000000000000007E-2</v>
      </c>
      <c r="BK96" s="32">
        <v>0.17</v>
      </c>
      <c r="BL96" s="32">
        <v>0.11</v>
      </c>
      <c r="BM96" s="32">
        <v>0.14000000000000001</v>
      </c>
      <c r="BN96" s="32">
        <v>-0.02</v>
      </c>
      <c r="BO96" s="32">
        <v>0.16</v>
      </c>
      <c r="BP96" s="32">
        <v>0.09</v>
      </c>
      <c r="BQ96" s="32">
        <v>0.21</v>
      </c>
      <c r="BR96" s="32">
        <v>0.15</v>
      </c>
      <c r="BS96" s="32">
        <v>-0.13</v>
      </c>
      <c r="BT96" s="32">
        <v>7.0000000000000007E-2</v>
      </c>
      <c r="BU96" s="32">
        <v>-0.01</v>
      </c>
      <c r="BV96" s="32">
        <v>0.11</v>
      </c>
      <c r="BW96" s="32">
        <v>0.17</v>
      </c>
      <c r="BX96" s="32">
        <v>0.04</v>
      </c>
      <c r="BY96" s="32">
        <v>0.08</v>
      </c>
      <c r="BZ96" s="32">
        <v>0.06</v>
      </c>
      <c r="CA96" s="32">
        <v>0.17</v>
      </c>
      <c r="CB96" s="32">
        <v>0.03</v>
      </c>
      <c r="CC96" s="32">
        <v>0.12</v>
      </c>
      <c r="CD96" s="32">
        <v>0.06</v>
      </c>
      <c r="CE96" s="32">
        <v>0.06</v>
      </c>
      <c r="CF96" s="32">
        <v>-0.06</v>
      </c>
      <c r="CG96" s="32">
        <v>0.11</v>
      </c>
      <c r="CH96" s="32">
        <v>0.2</v>
      </c>
      <c r="CI96" s="32">
        <v>-0.09</v>
      </c>
      <c r="CJ96" s="32">
        <v>-0.09</v>
      </c>
      <c r="CK96" s="32">
        <v>0.23</v>
      </c>
      <c r="CL96" s="32">
        <v>7.0000000000000007E-2</v>
      </c>
      <c r="CM96" s="32">
        <v>7.0000000000000007E-2</v>
      </c>
      <c r="CN96" s="32">
        <v>0.13</v>
      </c>
      <c r="CO96" s="32">
        <v>1</v>
      </c>
      <c r="CP96" s="32">
        <v>7.0000000000000007E-2</v>
      </c>
      <c r="CQ96" s="32">
        <v>0.16</v>
      </c>
      <c r="CR96" s="32">
        <v>0.16</v>
      </c>
      <c r="CS96" s="32">
        <v>0.14000000000000001</v>
      </c>
      <c r="CT96" s="32">
        <v>0.18</v>
      </c>
      <c r="CU96" s="32">
        <v>0.15</v>
      </c>
      <c r="CV96" s="32">
        <v>0.11</v>
      </c>
      <c r="CW96" s="32">
        <v>0.1</v>
      </c>
      <c r="CX96" s="32">
        <v>0.13</v>
      </c>
      <c r="CY96" s="32">
        <v>0.14000000000000001</v>
      </c>
      <c r="CZ96" s="32">
        <v>7.0000000000000007E-2</v>
      </c>
      <c r="DA96" s="32">
        <v>0.17</v>
      </c>
      <c r="DB96" s="32">
        <v>0.22</v>
      </c>
      <c r="DC96" s="32">
        <v>0.11</v>
      </c>
      <c r="DD96" s="32">
        <v>7.0000000000000007E-2</v>
      </c>
      <c r="DE96" s="32">
        <v>0.18</v>
      </c>
      <c r="DF96" s="32">
        <v>-0.04</v>
      </c>
      <c r="DG96" s="32">
        <v>0.08</v>
      </c>
      <c r="DH96" s="32">
        <v>0.14000000000000001</v>
      </c>
      <c r="DI96" s="32">
        <v>0.14000000000000001</v>
      </c>
      <c r="DJ96" s="32">
        <v>0.08</v>
      </c>
      <c r="DK96" s="32">
        <v>0.18</v>
      </c>
      <c r="DL96" s="32">
        <v>0.02</v>
      </c>
      <c r="DM96" s="32">
        <v>0.1</v>
      </c>
      <c r="DN96" s="32">
        <v>0.11</v>
      </c>
      <c r="DO96" s="32">
        <v>0.14000000000000001</v>
      </c>
      <c r="DP96" s="32">
        <v>0.06</v>
      </c>
      <c r="DQ96" s="32">
        <v>0.15</v>
      </c>
      <c r="DR96" s="32">
        <v>0.04</v>
      </c>
      <c r="DS96" s="32">
        <v>0.08</v>
      </c>
      <c r="DT96" s="32">
        <v>0.11</v>
      </c>
      <c r="DU96" s="32">
        <v>0.18</v>
      </c>
      <c r="DV96" s="32">
        <v>0.02</v>
      </c>
      <c r="DW96" s="32">
        <v>0.15</v>
      </c>
      <c r="DX96" s="32">
        <v>0.13</v>
      </c>
      <c r="DY96" s="32">
        <v>0.24</v>
      </c>
      <c r="DZ96" s="32">
        <v>0.05</v>
      </c>
      <c r="EA96" s="32">
        <v>0.19</v>
      </c>
      <c r="EB96" s="32">
        <v>0.14000000000000001</v>
      </c>
      <c r="EC96" s="32">
        <v>0.04</v>
      </c>
      <c r="ED96" s="32">
        <v>0.14000000000000001</v>
      </c>
      <c r="EE96" s="32">
        <v>0.17</v>
      </c>
      <c r="EF96" s="32">
        <v>0.06</v>
      </c>
      <c r="EG96" s="32">
        <v>0.16</v>
      </c>
      <c r="EH96" s="32">
        <v>0.09</v>
      </c>
      <c r="EI96" s="32">
        <v>0.09</v>
      </c>
      <c r="EJ96" s="32">
        <v>0.18</v>
      </c>
      <c r="EK96" s="32">
        <v>0.05</v>
      </c>
      <c r="EL96" s="32">
        <v>0.08</v>
      </c>
      <c r="EM96" s="32">
        <v>0.05</v>
      </c>
      <c r="EN96" s="32">
        <v>7.0000000000000007E-2</v>
      </c>
      <c r="EO96" s="32">
        <v>0.02</v>
      </c>
    </row>
    <row r="97" spans="1:145" x14ac:dyDescent="0.25">
      <c r="A97" s="31" t="s">
        <v>175</v>
      </c>
      <c r="B97" s="32">
        <v>0.17</v>
      </c>
      <c r="C97" s="32">
        <v>0.02</v>
      </c>
      <c r="D97" s="32">
        <v>0.05</v>
      </c>
      <c r="E97" s="32">
        <v>0.03</v>
      </c>
      <c r="F97" s="32">
        <v>0.11</v>
      </c>
      <c r="G97" s="32">
        <v>0.06</v>
      </c>
      <c r="H97" s="32">
        <v>0.05</v>
      </c>
      <c r="I97" s="32">
        <v>0.18</v>
      </c>
      <c r="J97" s="32">
        <v>0.11</v>
      </c>
      <c r="K97" s="32">
        <v>0.17</v>
      </c>
      <c r="L97" s="32">
        <v>0.05</v>
      </c>
      <c r="M97" s="32">
        <v>0.14000000000000001</v>
      </c>
      <c r="N97" s="32">
        <v>0.19</v>
      </c>
      <c r="O97" s="32">
        <v>0.03</v>
      </c>
      <c r="P97" s="32">
        <v>0.08</v>
      </c>
      <c r="Q97" s="32">
        <v>0.11</v>
      </c>
      <c r="R97" s="32">
        <v>0.16</v>
      </c>
      <c r="S97" s="32">
        <v>-0.01</v>
      </c>
      <c r="T97" s="32">
        <v>0.14000000000000001</v>
      </c>
      <c r="U97" s="32">
        <v>0.08</v>
      </c>
      <c r="V97" s="32">
        <v>-0.11</v>
      </c>
      <c r="W97" s="32">
        <v>0.12</v>
      </c>
      <c r="X97" s="32">
        <v>0.13</v>
      </c>
      <c r="Y97" s="32">
        <v>0.13</v>
      </c>
      <c r="Z97" s="32">
        <v>0.08</v>
      </c>
      <c r="AA97" s="32">
        <v>0.04</v>
      </c>
      <c r="AB97" s="32">
        <v>0.12</v>
      </c>
      <c r="AC97" s="32">
        <v>-0.03</v>
      </c>
      <c r="AD97" s="32">
        <v>-0.05</v>
      </c>
      <c r="AE97" s="32">
        <v>-0.02</v>
      </c>
      <c r="AF97" s="32">
        <v>0.01</v>
      </c>
      <c r="AG97" s="32">
        <v>-7.0000000000000007E-2</v>
      </c>
      <c r="AH97" s="32">
        <v>0.05</v>
      </c>
      <c r="AI97" s="32">
        <v>0.1</v>
      </c>
      <c r="AJ97" s="32">
        <v>0.03</v>
      </c>
      <c r="AK97" s="32">
        <v>-0.04</v>
      </c>
      <c r="AL97" s="32">
        <v>0.31</v>
      </c>
      <c r="AM97" s="32">
        <v>0.04</v>
      </c>
      <c r="AN97" s="32">
        <v>0.16</v>
      </c>
      <c r="AO97" s="32">
        <v>0.12</v>
      </c>
      <c r="AP97" s="32">
        <v>0.15</v>
      </c>
      <c r="AQ97" s="32">
        <v>7.0000000000000007E-2</v>
      </c>
      <c r="AR97" s="32">
        <v>0.11</v>
      </c>
      <c r="AS97" s="32">
        <v>0.11</v>
      </c>
      <c r="AT97" s="32">
        <v>0.12</v>
      </c>
      <c r="AU97" s="32">
        <v>0.13</v>
      </c>
      <c r="AV97" s="32">
        <v>0.1</v>
      </c>
      <c r="AW97" s="32">
        <v>0.02</v>
      </c>
      <c r="AX97" s="32">
        <v>0.1</v>
      </c>
      <c r="AY97" s="32">
        <v>0.13</v>
      </c>
      <c r="AZ97" s="32">
        <v>0.05</v>
      </c>
      <c r="BA97" s="32">
        <v>0.1</v>
      </c>
      <c r="BB97" s="32">
        <v>0.12</v>
      </c>
      <c r="BC97" s="32">
        <v>0.05</v>
      </c>
      <c r="BD97" s="32">
        <v>0.04</v>
      </c>
      <c r="BE97" s="32">
        <v>0.08</v>
      </c>
      <c r="BF97" s="32">
        <v>0.16</v>
      </c>
      <c r="BG97" s="32">
        <v>0.21</v>
      </c>
      <c r="BH97" s="32">
        <v>0.11</v>
      </c>
      <c r="BI97" s="32">
        <v>0.15</v>
      </c>
      <c r="BJ97" s="32">
        <v>-0.05</v>
      </c>
      <c r="BK97" s="32">
        <v>0.06</v>
      </c>
      <c r="BL97" s="32">
        <v>0.16</v>
      </c>
      <c r="BM97" s="32">
        <v>0.14000000000000001</v>
      </c>
      <c r="BN97" s="32">
        <v>0.04</v>
      </c>
      <c r="BO97" s="32">
        <v>0.18</v>
      </c>
      <c r="BP97" s="32">
        <v>0.17</v>
      </c>
      <c r="BQ97" s="32">
        <v>0.05</v>
      </c>
      <c r="BR97" s="32">
        <v>0.25</v>
      </c>
      <c r="BS97" s="32">
        <v>0.06</v>
      </c>
      <c r="BT97" s="32">
        <v>0.05</v>
      </c>
      <c r="BU97" s="32">
        <v>-0.06</v>
      </c>
      <c r="BV97" s="32">
        <v>0.11</v>
      </c>
      <c r="BW97" s="32">
        <v>0.32</v>
      </c>
      <c r="BX97" s="32">
        <v>0.16</v>
      </c>
      <c r="BY97" s="32">
        <v>7.0000000000000007E-2</v>
      </c>
      <c r="BZ97" s="32">
        <v>0.1</v>
      </c>
      <c r="CA97" s="32">
        <v>-0.03</v>
      </c>
      <c r="CB97" s="32">
        <v>0.06</v>
      </c>
      <c r="CC97" s="32">
        <v>0.05</v>
      </c>
      <c r="CD97" s="32">
        <v>0.22</v>
      </c>
      <c r="CE97" s="32">
        <v>0.05</v>
      </c>
      <c r="CF97" s="32">
        <v>0.08</v>
      </c>
      <c r="CG97" s="32">
        <v>0.23</v>
      </c>
      <c r="CH97" s="32">
        <v>-0.01</v>
      </c>
      <c r="CI97" s="32">
        <v>0.03</v>
      </c>
      <c r="CJ97" s="32">
        <v>0.17</v>
      </c>
      <c r="CK97" s="32">
        <v>0.17</v>
      </c>
      <c r="CL97" s="32">
        <v>0.03</v>
      </c>
      <c r="CM97" s="32">
        <v>0.13</v>
      </c>
      <c r="CN97" s="32">
        <v>-0.03</v>
      </c>
      <c r="CO97" s="32">
        <v>7.0000000000000007E-2</v>
      </c>
      <c r="CP97" s="32">
        <v>1</v>
      </c>
      <c r="CQ97" s="32">
        <v>0.16</v>
      </c>
      <c r="CR97" s="32">
        <v>0.17</v>
      </c>
      <c r="CS97" s="32">
        <v>0.08</v>
      </c>
      <c r="CT97" s="32">
        <v>0.21</v>
      </c>
      <c r="CU97" s="32">
        <v>0.08</v>
      </c>
      <c r="CV97" s="32">
        <v>0.17</v>
      </c>
      <c r="CW97" s="32">
        <v>0.23</v>
      </c>
      <c r="CX97" s="32">
        <v>0.2</v>
      </c>
      <c r="CY97" s="32">
        <v>0.03</v>
      </c>
      <c r="CZ97" s="32">
        <v>0.18</v>
      </c>
      <c r="DA97" s="32">
        <v>0.19</v>
      </c>
      <c r="DB97" s="32">
        <v>0.2</v>
      </c>
      <c r="DC97" s="32">
        <v>7.0000000000000007E-2</v>
      </c>
      <c r="DD97" s="32">
        <v>0.21</v>
      </c>
      <c r="DE97" s="32">
        <v>0.06</v>
      </c>
      <c r="DF97" s="32">
        <v>0.18</v>
      </c>
      <c r="DG97" s="32">
        <v>0.1</v>
      </c>
      <c r="DH97" s="32">
        <v>0.18</v>
      </c>
      <c r="DI97" s="32">
        <v>0.14000000000000001</v>
      </c>
      <c r="DJ97" s="32">
        <v>0.09</v>
      </c>
      <c r="DK97" s="32">
        <v>0.13</v>
      </c>
      <c r="DL97" s="32">
        <v>-0.08</v>
      </c>
      <c r="DM97" s="32">
        <v>0.12</v>
      </c>
      <c r="DN97" s="32">
        <v>0.2</v>
      </c>
      <c r="DO97" s="32">
        <v>0.14000000000000001</v>
      </c>
      <c r="DP97" s="32">
        <v>0.15</v>
      </c>
      <c r="DQ97" s="32">
        <v>0.01</v>
      </c>
      <c r="DR97" s="32">
        <v>0.11</v>
      </c>
      <c r="DS97" s="32">
        <v>0.14000000000000001</v>
      </c>
      <c r="DT97" s="32">
        <v>0.09</v>
      </c>
      <c r="DU97" s="32">
        <v>0.17</v>
      </c>
      <c r="DV97" s="32">
        <v>0.18</v>
      </c>
      <c r="DW97" s="32">
        <v>0.2</v>
      </c>
      <c r="DX97" s="32">
        <v>0.06</v>
      </c>
      <c r="DY97" s="32">
        <v>0.18</v>
      </c>
      <c r="DZ97" s="32">
        <v>0.28999999999999998</v>
      </c>
      <c r="EA97" s="32">
        <v>0.17</v>
      </c>
      <c r="EB97" s="32">
        <v>0.21</v>
      </c>
      <c r="EC97" s="32">
        <v>-0.04</v>
      </c>
      <c r="ED97" s="32">
        <v>0.17</v>
      </c>
      <c r="EE97" s="32">
        <v>0.21</v>
      </c>
      <c r="EF97" s="32">
        <v>0.16</v>
      </c>
      <c r="EG97" s="32">
        <v>0.21</v>
      </c>
      <c r="EH97" s="32">
        <v>0.16</v>
      </c>
      <c r="EI97" s="32">
        <v>7.0000000000000007E-2</v>
      </c>
      <c r="EJ97" s="32">
        <v>0.09</v>
      </c>
      <c r="EK97" s="32">
        <v>0.17</v>
      </c>
      <c r="EL97" s="32">
        <v>0.13</v>
      </c>
      <c r="EM97" s="32">
        <v>0.14000000000000001</v>
      </c>
      <c r="EN97" s="32">
        <v>0.14000000000000001</v>
      </c>
      <c r="EO97" s="32">
        <v>0.09</v>
      </c>
    </row>
    <row r="98" spans="1:145" x14ac:dyDescent="0.25">
      <c r="A98" s="31" t="s">
        <v>176</v>
      </c>
      <c r="B98" s="32">
        <v>0.27</v>
      </c>
      <c r="C98" s="32">
        <v>-0.03</v>
      </c>
      <c r="D98" s="32">
        <v>0.05</v>
      </c>
      <c r="E98" s="32">
        <v>0.18</v>
      </c>
      <c r="F98" s="32">
        <v>0.1</v>
      </c>
      <c r="G98" s="32">
        <v>-0.05</v>
      </c>
      <c r="H98" s="32">
        <v>0.08</v>
      </c>
      <c r="I98" s="32">
        <v>0.22</v>
      </c>
      <c r="J98" s="32">
        <v>0.1</v>
      </c>
      <c r="K98" s="32">
        <v>0.19</v>
      </c>
      <c r="L98" s="32">
        <v>0.13</v>
      </c>
      <c r="M98" s="32">
        <v>0.43</v>
      </c>
      <c r="N98" s="32">
        <v>0.28999999999999998</v>
      </c>
      <c r="O98" s="32">
        <v>0.11</v>
      </c>
      <c r="P98" s="32">
        <v>0.09</v>
      </c>
      <c r="Q98" s="32">
        <v>0.02</v>
      </c>
      <c r="R98" s="32">
        <v>0.12</v>
      </c>
      <c r="S98" s="32">
        <v>0.08</v>
      </c>
      <c r="T98" s="32">
        <v>0.47</v>
      </c>
      <c r="U98" s="32">
        <v>0.17</v>
      </c>
      <c r="V98" s="32">
        <v>0.09</v>
      </c>
      <c r="W98" s="32">
        <v>7.0000000000000007E-2</v>
      </c>
      <c r="X98" s="32">
        <v>0.5</v>
      </c>
      <c r="Y98" s="32">
        <v>0.28000000000000003</v>
      </c>
      <c r="Z98" s="32">
        <v>0.11</v>
      </c>
      <c r="AA98" s="32">
        <v>0.16</v>
      </c>
      <c r="AB98" s="32">
        <v>0.3</v>
      </c>
      <c r="AC98" s="32">
        <v>0.05</v>
      </c>
      <c r="AD98" s="32">
        <v>0.06</v>
      </c>
      <c r="AE98" s="32">
        <v>0.23</v>
      </c>
      <c r="AF98" s="32">
        <v>0.12</v>
      </c>
      <c r="AG98" s="32">
        <v>0.04</v>
      </c>
      <c r="AH98" s="32">
        <v>0.05</v>
      </c>
      <c r="AI98" s="32">
        <v>-0.22</v>
      </c>
      <c r="AJ98" s="32">
        <v>0.11</v>
      </c>
      <c r="AK98" s="32">
        <v>0.18</v>
      </c>
      <c r="AL98" s="32">
        <v>0.32</v>
      </c>
      <c r="AM98" s="32">
        <v>0.19</v>
      </c>
      <c r="AN98" s="32">
        <v>0.43</v>
      </c>
      <c r="AO98" s="32">
        <v>0.12</v>
      </c>
      <c r="AP98" s="32">
        <v>0.33</v>
      </c>
      <c r="AQ98" s="32">
        <v>-0.26</v>
      </c>
      <c r="AR98" s="32">
        <v>0.43</v>
      </c>
      <c r="AS98" s="32">
        <v>0.14000000000000001</v>
      </c>
      <c r="AT98" s="32">
        <v>0.51</v>
      </c>
      <c r="AU98" s="32">
        <v>0.1</v>
      </c>
      <c r="AV98" s="32">
        <v>0.11</v>
      </c>
      <c r="AW98" s="32">
        <v>0.1</v>
      </c>
      <c r="AX98" s="32">
        <v>0.28999999999999998</v>
      </c>
      <c r="AY98" s="32">
        <v>0.37</v>
      </c>
      <c r="AZ98" s="32">
        <v>0.31</v>
      </c>
      <c r="BA98" s="32">
        <v>0.41</v>
      </c>
      <c r="BB98" s="32">
        <v>0.62</v>
      </c>
      <c r="BC98" s="32">
        <v>0.15</v>
      </c>
      <c r="BD98" s="32">
        <v>0.14000000000000001</v>
      </c>
      <c r="BE98" s="32">
        <v>0.22</v>
      </c>
      <c r="BF98" s="32">
        <v>0.19</v>
      </c>
      <c r="BG98" s="32">
        <v>0.33</v>
      </c>
      <c r="BH98" s="32">
        <v>0.14000000000000001</v>
      </c>
      <c r="BI98" s="32">
        <v>0.14000000000000001</v>
      </c>
      <c r="BJ98" s="32">
        <v>-0.02</v>
      </c>
      <c r="BK98" s="32">
        <v>0.22</v>
      </c>
      <c r="BL98" s="32">
        <v>0.33</v>
      </c>
      <c r="BM98" s="32">
        <v>0.33</v>
      </c>
      <c r="BN98" s="32">
        <v>0.16</v>
      </c>
      <c r="BO98" s="32">
        <v>0.35</v>
      </c>
      <c r="BP98" s="32">
        <v>0.16</v>
      </c>
      <c r="BQ98" s="32">
        <v>0.31</v>
      </c>
      <c r="BR98" s="32">
        <v>0.52</v>
      </c>
      <c r="BS98" s="32">
        <v>-0.21</v>
      </c>
      <c r="BT98" s="32">
        <v>0.5</v>
      </c>
      <c r="BU98" s="32">
        <v>0.15</v>
      </c>
      <c r="BV98" s="32">
        <v>0.31</v>
      </c>
      <c r="BW98" s="32">
        <v>0.28000000000000003</v>
      </c>
      <c r="BX98" s="32">
        <v>0.14000000000000001</v>
      </c>
      <c r="BY98" s="32">
        <v>0.48</v>
      </c>
      <c r="BZ98" s="32">
        <v>0.43</v>
      </c>
      <c r="CA98" s="32">
        <v>0.06</v>
      </c>
      <c r="CB98" s="32">
        <v>-0.02</v>
      </c>
      <c r="CC98" s="32">
        <v>0.17</v>
      </c>
      <c r="CD98" s="32">
        <v>0.26</v>
      </c>
      <c r="CE98" s="32">
        <v>0.23</v>
      </c>
      <c r="CF98" s="32">
        <v>-0.25</v>
      </c>
      <c r="CG98" s="32">
        <v>0.38</v>
      </c>
      <c r="CH98" s="32">
        <v>0.26</v>
      </c>
      <c r="CI98" s="32">
        <v>-0.27</v>
      </c>
      <c r="CJ98" s="32">
        <v>0.1</v>
      </c>
      <c r="CK98" s="32">
        <v>0.35</v>
      </c>
      <c r="CL98" s="32">
        <v>0.42</v>
      </c>
      <c r="CM98" s="32">
        <v>0.28000000000000003</v>
      </c>
      <c r="CN98" s="32">
        <v>0.08</v>
      </c>
      <c r="CO98" s="32">
        <v>0.16</v>
      </c>
      <c r="CP98" s="32">
        <v>0.16</v>
      </c>
      <c r="CQ98" s="32">
        <v>1</v>
      </c>
      <c r="CR98" s="32">
        <v>0.44</v>
      </c>
      <c r="CS98" s="32">
        <v>0.46</v>
      </c>
      <c r="CT98" s="32">
        <v>0.28000000000000003</v>
      </c>
      <c r="CU98" s="32">
        <v>0.17</v>
      </c>
      <c r="CV98" s="32">
        <v>0.26</v>
      </c>
      <c r="CW98" s="32">
        <v>0.26</v>
      </c>
      <c r="CX98" s="32">
        <v>0.37</v>
      </c>
      <c r="CY98" s="32">
        <v>0.77</v>
      </c>
      <c r="CZ98" s="32">
        <v>0.17</v>
      </c>
      <c r="DA98" s="32">
        <v>0.18</v>
      </c>
      <c r="DB98" s="32">
        <v>0.33</v>
      </c>
      <c r="DC98" s="32">
        <v>0.42</v>
      </c>
      <c r="DD98" s="32">
        <v>0.33</v>
      </c>
      <c r="DE98" s="32">
        <v>0.34</v>
      </c>
      <c r="DF98" s="32">
        <v>0.08</v>
      </c>
      <c r="DG98" s="32">
        <v>0.27</v>
      </c>
      <c r="DH98" s="32">
        <v>0.27</v>
      </c>
      <c r="DI98" s="32">
        <v>0.84</v>
      </c>
      <c r="DJ98" s="32">
        <v>0.57999999999999996</v>
      </c>
      <c r="DK98" s="32">
        <v>0.9</v>
      </c>
      <c r="DL98" s="32">
        <v>0.06</v>
      </c>
      <c r="DM98" s="32">
        <v>0.7</v>
      </c>
      <c r="DN98" s="32">
        <v>0.28999999999999998</v>
      </c>
      <c r="DO98" s="32">
        <v>0.33</v>
      </c>
      <c r="DP98" s="32">
        <v>0.64</v>
      </c>
      <c r="DQ98" s="32">
        <v>0.34</v>
      </c>
      <c r="DR98" s="32">
        <v>0.24</v>
      </c>
      <c r="DS98" s="32">
        <v>0.18</v>
      </c>
      <c r="DT98" s="32">
        <v>0.19</v>
      </c>
      <c r="DU98" s="32">
        <v>0.43</v>
      </c>
      <c r="DV98" s="32">
        <v>0.19</v>
      </c>
      <c r="DW98" s="32">
        <v>0.34</v>
      </c>
      <c r="DX98" s="32">
        <v>0.38</v>
      </c>
      <c r="DY98" s="32">
        <v>0.45</v>
      </c>
      <c r="DZ98" s="32">
        <v>0.14000000000000001</v>
      </c>
      <c r="EA98" s="32">
        <v>0.26</v>
      </c>
      <c r="EB98" s="32">
        <v>0.5</v>
      </c>
      <c r="EC98" s="32">
        <v>-0.01</v>
      </c>
      <c r="ED98" s="32">
        <v>0.3</v>
      </c>
      <c r="EE98" s="32">
        <v>0.37</v>
      </c>
      <c r="EF98" s="32">
        <v>0.31</v>
      </c>
      <c r="EG98" s="32">
        <v>0.28999999999999998</v>
      </c>
      <c r="EH98" s="32">
        <v>0.16</v>
      </c>
      <c r="EI98" s="32">
        <v>0.3</v>
      </c>
      <c r="EJ98" s="32">
        <v>0.39</v>
      </c>
      <c r="EK98" s="32">
        <v>0.31</v>
      </c>
      <c r="EL98" s="32">
        <v>0.37</v>
      </c>
      <c r="EM98" s="32">
        <v>0.19</v>
      </c>
      <c r="EN98" s="32">
        <v>0.1</v>
      </c>
      <c r="EO98" s="32">
        <v>0.14000000000000001</v>
      </c>
    </row>
    <row r="99" spans="1:145" x14ac:dyDescent="0.25">
      <c r="A99" s="31" t="s">
        <v>177</v>
      </c>
      <c r="B99" s="32">
        <v>-0.06</v>
      </c>
      <c r="C99" s="32">
        <v>-0.06</v>
      </c>
      <c r="D99" s="32">
        <v>-0.01</v>
      </c>
      <c r="E99" s="32">
        <v>0.08</v>
      </c>
      <c r="F99" s="32">
        <v>-0.13</v>
      </c>
      <c r="G99" s="32">
        <v>-0.01</v>
      </c>
      <c r="H99" s="32">
        <v>0.11</v>
      </c>
      <c r="I99" s="32">
        <v>-0.06</v>
      </c>
      <c r="J99" s="32">
        <v>-0.11</v>
      </c>
      <c r="K99" s="32">
        <v>-0.04</v>
      </c>
      <c r="L99" s="32">
        <v>0.13</v>
      </c>
      <c r="M99" s="32">
        <v>0.31</v>
      </c>
      <c r="N99" s="32">
        <v>0.03</v>
      </c>
      <c r="O99" s="32">
        <v>0.05</v>
      </c>
      <c r="P99" s="32">
        <v>-0.05</v>
      </c>
      <c r="Q99" s="32">
        <v>0.09</v>
      </c>
      <c r="R99" s="32">
        <v>-0.11</v>
      </c>
      <c r="S99" s="32">
        <v>0.01</v>
      </c>
      <c r="T99" s="32">
        <v>0.19</v>
      </c>
      <c r="U99" s="32">
        <v>0.18</v>
      </c>
      <c r="V99" s="32">
        <v>7.0000000000000007E-2</v>
      </c>
      <c r="W99" s="32">
        <v>0.02</v>
      </c>
      <c r="X99" s="32">
        <v>0.21</v>
      </c>
      <c r="Y99" s="32">
        <v>0</v>
      </c>
      <c r="Z99" s="32">
        <v>0.11</v>
      </c>
      <c r="AA99" s="32">
        <v>0.11</v>
      </c>
      <c r="AB99" s="32">
        <v>-0.02</v>
      </c>
      <c r="AC99" s="32">
        <v>0.06</v>
      </c>
      <c r="AD99" s="32">
        <v>0.17</v>
      </c>
      <c r="AE99" s="32">
        <v>0.22</v>
      </c>
      <c r="AF99" s="32">
        <v>0.14000000000000001</v>
      </c>
      <c r="AG99" s="32">
        <v>-0.22</v>
      </c>
      <c r="AH99" s="32">
        <v>-0.24</v>
      </c>
      <c r="AI99" s="32">
        <v>-0.2</v>
      </c>
      <c r="AJ99" s="32">
        <v>7.0000000000000007E-2</v>
      </c>
      <c r="AK99" s="32">
        <v>0.2</v>
      </c>
      <c r="AL99" s="32">
        <v>0.17</v>
      </c>
      <c r="AM99" s="32">
        <v>0.15</v>
      </c>
      <c r="AN99" s="32">
        <v>0.19</v>
      </c>
      <c r="AO99" s="32">
        <v>-7.0000000000000007E-2</v>
      </c>
      <c r="AP99" s="32">
        <v>0.1</v>
      </c>
      <c r="AQ99" s="32">
        <v>-0.18</v>
      </c>
      <c r="AR99" s="32">
        <v>0.17</v>
      </c>
      <c r="AS99" s="32">
        <v>0.2</v>
      </c>
      <c r="AT99" s="32">
        <v>0.21</v>
      </c>
      <c r="AU99" s="32">
        <v>-0.03</v>
      </c>
      <c r="AV99" s="32">
        <v>0.14000000000000001</v>
      </c>
      <c r="AW99" s="32">
        <v>0.15</v>
      </c>
      <c r="AX99" s="32">
        <v>0.01</v>
      </c>
      <c r="AY99" s="32">
        <v>0.15</v>
      </c>
      <c r="AZ99" s="32">
        <v>0.27</v>
      </c>
      <c r="BA99" s="32">
        <v>0.23</v>
      </c>
      <c r="BB99" s="32">
        <v>0.41</v>
      </c>
      <c r="BC99" s="32">
        <v>0.15</v>
      </c>
      <c r="BD99" s="32">
        <v>0.16</v>
      </c>
      <c r="BE99" s="32">
        <v>0.05</v>
      </c>
      <c r="BF99" s="32">
        <v>0.17</v>
      </c>
      <c r="BG99" s="32">
        <v>0.15</v>
      </c>
      <c r="BH99" s="32">
        <v>0.15</v>
      </c>
      <c r="BI99" s="32">
        <v>0.04</v>
      </c>
      <c r="BJ99" s="32">
        <v>0.03</v>
      </c>
      <c r="BK99" s="32">
        <v>0.22</v>
      </c>
      <c r="BL99" s="32">
        <v>0.4</v>
      </c>
      <c r="BM99" s="32">
        <v>0.06</v>
      </c>
      <c r="BN99" s="32">
        <v>0.03</v>
      </c>
      <c r="BO99" s="32">
        <v>0.34</v>
      </c>
      <c r="BP99" s="32">
        <v>0.19</v>
      </c>
      <c r="BQ99" s="32">
        <v>0.31</v>
      </c>
      <c r="BR99" s="32">
        <v>0.28999999999999998</v>
      </c>
      <c r="BS99" s="32">
        <v>-7.0000000000000007E-2</v>
      </c>
      <c r="BT99" s="32">
        <v>0.39</v>
      </c>
      <c r="BU99" s="32">
        <v>0.09</v>
      </c>
      <c r="BV99" s="32">
        <v>0.31</v>
      </c>
      <c r="BW99" s="32">
        <v>0.22</v>
      </c>
      <c r="BX99" s="32">
        <v>-0.02</v>
      </c>
      <c r="BY99" s="32">
        <v>0.28000000000000003</v>
      </c>
      <c r="BZ99" s="32">
        <v>0.3</v>
      </c>
      <c r="CA99" s="32">
        <v>0.14000000000000001</v>
      </c>
      <c r="CB99" s="32">
        <v>-0.08</v>
      </c>
      <c r="CC99" s="32">
        <v>0.06</v>
      </c>
      <c r="CD99" s="32">
        <v>0.22</v>
      </c>
      <c r="CE99" s="32">
        <v>0.36</v>
      </c>
      <c r="CF99" s="32">
        <v>-0.12</v>
      </c>
      <c r="CG99" s="32">
        <v>0.15</v>
      </c>
      <c r="CH99" s="32">
        <v>0.41</v>
      </c>
      <c r="CI99" s="32">
        <v>-0.16</v>
      </c>
      <c r="CJ99" s="32">
        <v>-0.03</v>
      </c>
      <c r="CK99" s="32">
        <v>0.06</v>
      </c>
      <c r="CL99" s="32">
        <v>0.26</v>
      </c>
      <c r="CM99" s="32">
        <v>0.66</v>
      </c>
      <c r="CN99" s="32">
        <v>0.08</v>
      </c>
      <c r="CO99" s="32">
        <v>0.16</v>
      </c>
      <c r="CP99" s="32">
        <v>0.17</v>
      </c>
      <c r="CQ99" s="32">
        <v>0.44</v>
      </c>
      <c r="CR99" s="32">
        <v>1</v>
      </c>
      <c r="CS99" s="32">
        <v>0.64</v>
      </c>
      <c r="CT99" s="32">
        <v>0.28000000000000003</v>
      </c>
      <c r="CU99" s="32">
        <v>0.33</v>
      </c>
      <c r="CV99" s="32">
        <v>0.22</v>
      </c>
      <c r="CW99" s="32">
        <v>0.25</v>
      </c>
      <c r="CX99" s="32">
        <v>0.34</v>
      </c>
      <c r="CY99" s="32">
        <v>0.33</v>
      </c>
      <c r="CZ99" s="32">
        <v>0.09</v>
      </c>
      <c r="DA99" s="32">
        <v>0.14000000000000001</v>
      </c>
      <c r="DB99" s="32">
        <v>0.47</v>
      </c>
      <c r="DC99" s="32">
        <v>0.28000000000000003</v>
      </c>
      <c r="DD99" s="32">
        <v>0.28000000000000003</v>
      </c>
      <c r="DE99" s="32">
        <v>0.54</v>
      </c>
      <c r="DF99" s="32">
        <v>-0.08</v>
      </c>
      <c r="DG99" s="32">
        <v>0.37</v>
      </c>
      <c r="DH99" s="32">
        <v>0.61</v>
      </c>
      <c r="DI99" s="32">
        <v>0.35</v>
      </c>
      <c r="DJ99" s="32">
        <v>0.34</v>
      </c>
      <c r="DK99" s="32">
        <v>0.44</v>
      </c>
      <c r="DL99" s="32">
        <v>0.2</v>
      </c>
      <c r="DM99" s="32">
        <v>0.41</v>
      </c>
      <c r="DN99" s="32">
        <v>0.13</v>
      </c>
      <c r="DO99" s="32">
        <v>0.32</v>
      </c>
      <c r="DP99" s="32">
        <v>0.32</v>
      </c>
      <c r="DQ99" s="32">
        <v>0.36</v>
      </c>
      <c r="DR99" s="32">
        <v>0.36</v>
      </c>
      <c r="DS99" s="32">
        <v>0.08</v>
      </c>
      <c r="DT99" s="32">
        <v>0.43</v>
      </c>
      <c r="DU99" s="32">
        <v>0.4</v>
      </c>
      <c r="DV99" s="32">
        <v>0.23</v>
      </c>
      <c r="DW99" s="32">
        <v>0.25</v>
      </c>
      <c r="DX99" s="32">
        <v>0.73</v>
      </c>
      <c r="DY99" s="32">
        <v>0.32</v>
      </c>
      <c r="DZ99" s="32">
        <v>0.14000000000000001</v>
      </c>
      <c r="EA99" s="32">
        <v>0.24</v>
      </c>
      <c r="EB99" s="32">
        <v>0.34</v>
      </c>
      <c r="EC99" s="32">
        <v>0.15</v>
      </c>
      <c r="ED99" s="32">
        <v>0.3</v>
      </c>
      <c r="EE99" s="32">
        <v>0.67</v>
      </c>
      <c r="EF99" s="32">
        <v>0.28999999999999998</v>
      </c>
      <c r="EG99" s="32">
        <v>0.54</v>
      </c>
      <c r="EH99" s="32">
        <v>0.1</v>
      </c>
      <c r="EI99" s="32">
        <v>0.63</v>
      </c>
      <c r="EJ99" s="32">
        <v>0.31</v>
      </c>
      <c r="EK99" s="32">
        <v>0.48</v>
      </c>
      <c r="EL99" s="32">
        <v>0.56999999999999995</v>
      </c>
      <c r="EM99" s="32">
        <v>0.2</v>
      </c>
      <c r="EN99" s="32">
        <v>0.12</v>
      </c>
      <c r="EO99" s="32">
        <v>0.13</v>
      </c>
    </row>
    <row r="100" spans="1:145" x14ac:dyDescent="0.25">
      <c r="A100" s="31" t="s">
        <v>178</v>
      </c>
      <c r="B100" s="32">
        <v>0</v>
      </c>
      <c r="C100" s="32">
        <v>0.05</v>
      </c>
      <c r="D100" s="32">
        <v>0.03</v>
      </c>
      <c r="E100" s="32">
        <v>7.0000000000000007E-2</v>
      </c>
      <c r="F100" s="32">
        <v>-0.14000000000000001</v>
      </c>
      <c r="G100" s="32">
        <v>0</v>
      </c>
      <c r="H100" s="32">
        <v>0.11</v>
      </c>
      <c r="I100" s="32">
        <v>-0.03</v>
      </c>
      <c r="J100" s="32">
        <v>0.04</v>
      </c>
      <c r="K100" s="32">
        <v>0.05</v>
      </c>
      <c r="L100" s="32">
        <v>0.08</v>
      </c>
      <c r="M100" s="32">
        <v>0.28000000000000003</v>
      </c>
      <c r="N100" s="32">
        <v>0.09</v>
      </c>
      <c r="O100" s="32">
        <v>0.12</v>
      </c>
      <c r="P100" s="32">
        <v>0.04</v>
      </c>
      <c r="Q100" s="32">
        <v>0.09</v>
      </c>
      <c r="R100" s="32">
        <v>-0.04</v>
      </c>
      <c r="S100" s="32">
        <v>0.03</v>
      </c>
      <c r="T100" s="32">
        <v>0.33</v>
      </c>
      <c r="U100" s="32">
        <v>0.19</v>
      </c>
      <c r="V100" s="32">
        <v>0.02</v>
      </c>
      <c r="W100" s="32">
        <v>0.16</v>
      </c>
      <c r="X100" s="32">
        <v>0.43</v>
      </c>
      <c r="Y100" s="32">
        <v>0</v>
      </c>
      <c r="Z100" s="32">
        <v>0.13</v>
      </c>
      <c r="AA100" s="32">
        <v>0.1</v>
      </c>
      <c r="AB100" s="32">
        <v>-7.0000000000000007E-2</v>
      </c>
      <c r="AC100" s="32">
        <v>0.1</v>
      </c>
      <c r="AD100" s="32">
        <v>0.2</v>
      </c>
      <c r="AE100" s="32">
        <v>0.25</v>
      </c>
      <c r="AF100" s="32">
        <v>0.25</v>
      </c>
      <c r="AG100" s="32">
        <v>-7.0000000000000007E-2</v>
      </c>
      <c r="AH100" s="32">
        <v>-0.01</v>
      </c>
      <c r="AI100" s="32">
        <v>-0.04</v>
      </c>
      <c r="AJ100" s="32">
        <v>0.08</v>
      </c>
      <c r="AK100" s="32">
        <v>0.24</v>
      </c>
      <c r="AL100" s="32">
        <v>0.12</v>
      </c>
      <c r="AM100" s="32">
        <v>0.16</v>
      </c>
      <c r="AN100" s="32">
        <v>0.24</v>
      </c>
      <c r="AO100" s="32">
        <v>0.04</v>
      </c>
      <c r="AP100" s="32">
        <v>0.06</v>
      </c>
      <c r="AQ100" s="32">
        <v>-0.03</v>
      </c>
      <c r="AR100" s="32">
        <v>0.33</v>
      </c>
      <c r="AS100" s="32">
        <v>0.14000000000000001</v>
      </c>
      <c r="AT100" s="32">
        <v>0.23</v>
      </c>
      <c r="AU100" s="32">
        <v>0.14000000000000001</v>
      </c>
      <c r="AV100" s="32">
        <v>0.16</v>
      </c>
      <c r="AW100" s="32">
        <v>0.24</v>
      </c>
      <c r="AX100" s="32">
        <v>0.14000000000000001</v>
      </c>
      <c r="AY100" s="32">
        <v>0.19</v>
      </c>
      <c r="AZ100" s="32">
        <v>0.28000000000000003</v>
      </c>
      <c r="BA100" s="32">
        <v>0.41</v>
      </c>
      <c r="BB100" s="32">
        <v>0.44</v>
      </c>
      <c r="BC100" s="32">
        <v>0.16</v>
      </c>
      <c r="BD100" s="32">
        <v>0.21</v>
      </c>
      <c r="BE100" s="32">
        <v>0.15</v>
      </c>
      <c r="BF100" s="32">
        <v>0.19</v>
      </c>
      <c r="BG100" s="32">
        <v>0.1</v>
      </c>
      <c r="BH100" s="32">
        <v>0.12</v>
      </c>
      <c r="BI100" s="32">
        <v>-0.01</v>
      </c>
      <c r="BJ100" s="32">
        <v>0.06</v>
      </c>
      <c r="BK100" s="32">
        <v>0.26</v>
      </c>
      <c r="BL100" s="32">
        <v>0.38</v>
      </c>
      <c r="BM100" s="32">
        <v>0.09</v>
      </c>
      <c r="BN100" s="32">
        <v>0.14000000000000001</v>
      </c>
      <c r="BO100" s="32">
        <v>0.32</v>
      </c>
      <c r="BP100" s="32">
        <v>-0.1</v>
      </c>
      <c r="BQ100" s="32">
        <v>0.41</v>
      </c>
      <c r="BR100" s="32">
        <v>0.24</v>
      </c>
      <c r="BS100" s="32">
        <v>0.02</v>
      </c>
      <c r="BT100" s="32">
        <v>0.48</v>
      </c>
      <c r="BU100" s="32">
        <v>0.15</v>
      </c>
      <c r="BV100" s="32">
        <v>0.16</v>
      </c>
      <c r="BW100" s="32">
        <v>0.1</v>
      </c>
      <c r="BX100" s="32">
        <v>0.1</v>
      </c>
      <c r="BY100" s="32">
        <v>0.28999999999999998</v>
      </c>
      <c r="BZ100" s="32">
        <v>0.28000000000000003</v>
      </c>
      <c r="CA100" s="32">
        <v>0.15</v>
      </c>
      <c r="CB100" s="32">
        <v>-0.06</v>
      </c>
      <c r="CC100" s="32">
        <v>0.09</v>
      </c>
      <c r="CD100" s="32">
        <v>0.04</v>
      </c>
      <c r="CE100" s="32">
        <v>0.39</v>
      </c>
      <c r="CF100" s="32">
        <v>-0.02</v>
      </c>
      <c r="CG100" s="32">
        <v>0.05</v>
      </c>
      <c r="CH100" s="32">
        <v>0.45</v>
      </c>
      <c r="CI100" s="32">
        <v>-0.04</v>
      </c>
      <c r="CJ100" s="32">
        <v>-0.15</v>
      </c>
      <c r="CK100" s="32">
        <v>0.01</v>
      </c>
      <c r="CL100" s="32">
        <v>0.27</v>
      </c>
      <c r="CM100" s="32">
        <v>0.41</v>
      </c>
      <c r="CN100" s="32">
        <v>0.2</v>
      </c>
      <c r="CO100" s="32">
        <v>0.14000000000000001</v>
      </c>
      <c r="CP100" s="32">
        <v>0.08</v>
      </c>
      <c r="CQ100" s="32">
        <v>0.46</v>
      </c>
      <c r="CR100" s="32">
        <v>0.64</v>
      </c>
      <c r="CS100" s="32">
        <v>1</v>
      </c>
      <c r="CT100" s="32">
        <v>0.22</v>
      </c>
      <c r="CU100" s="32">
        <v>0.23</v>
      </c>
      <c r="CV100" s="32">
        <v>0.12</v>
      </c>
      <c r="CW100" s="32">
        <v>0.1</v>
      </c>
      <c r="CX100" s="32">
        <v>0.31</v>
      </c>
      <c r="CY100" s="32">
        <v>0.39</v>
      </c>
      <c r="CZ100" s="32">
        <v>0.01</v>
      </c>
      <c r="DA100" s="32">
        <v>0</v>
      </c>
      <c r="DB100" s="32">
        <v>0.37</v>
      </c>
      <c r="DC100" s="32">
        <v>0.28000000000000003</v>
      </c>
      <c r="DD100" s="32">
        <v>0.14000000000000001</v>
      </c>
      <c r="DE100" s="32">
        <v>0.52</v>
      </c>
      <c r="DF100" s="32">
        <v>-0.22</v>
      </c>
      <c r="DG100" s="32">
        <v>0.39</v>
      </c>
      <c r="DH100" s="32">
        <v>0.5</v>
      </c>
      <c r="DI100" s="32">
        <v>0.38</v>
      </c>
      <c r="DJ100" s="32">
        <v>0.33</v>
      </c>
      <c r="DK100" s="32">
        <v>0.47</v>
      </c>
      <c r="DL100" s="32">
        <v>0.23</v>
      </c>
      <c r="DM100" s="32">
        <v>0.42</v>
      </c>
      <c r="DN100" s="32">
        <v>-0.02</v>
      </c>
      <c r="DO100" s="32">
        <v>0.44</v>
      </c>
      <c r="DP100" s="32">
        <v>0.33</v>
      </c>
      <c r="DQ100" s="32">
        <v>0.39</v>
      </c>
      <c r="DR100" s="32">
        <v>0.36</v>
      </c>
      <c r="DS100" s="32">
        <v>-0.1</v>
      </c>
      <c r="DT100" s="32">
        <v>0.22</v>
      </c>
      <c r="DU100" s="32">
        <v>0.32</v>
      </c>
      <c r="DV100" s="32">
        <v>0.12</v>
      </c>
      <c r="DW100" s="32">
        <v>0.03</v>
      </c>
      <c r="DX100" s="32">
        <v>0.71</v>
      </c>
      <c r="DY100" s="32">
        <v>0.18</v>
      </c>
      <c r="DZ100" s="32">
        <v>0.01</v>
      </c>
      <c r="EA100" s="32">
        <v>0.21</v>
      </c>
      <c r="EB100" s="32">
        <v>0.23</v>
      </c>
      <c r="EC100" s="32">
        <v>0.15</v>
      </c>
      <c r="ED100" s="32">
        <v>0.25</v>
      </c>
      <c r="EE100" s="32">
        <v>0.56000000000000005</v>
      </c>
      <c r="EF100" s="32">
        <v>0.33</v>
      </c>
      <c r="EG100" s="32">
        <v>0.49</v>
      </c>
      <c r="EH100" s="32">
        <v>-0.06</v>
      </c>
      <c r="EI100" s="32">
        <v>0.55000000000000004</v>
      </c>
      <c r="EJ100" s="32">
        <v>0.23</v>
      </c>
      <c r="EK100" s="32">
        <v>0.48</v>
      </c>
      <c r="EL100" s="32">
        <v>0.51</v>
      </c>
      <c r="EM100" s="32">
        <v>7.0000000000000007E-2</v>
      </c>
      <c r="EN100" s="32">
        <v>0.05</v>
      </c>
      <c r="EO100" s="32">
        <v>0.09</v>
      </c>
    </row>
    <row r="101" spans="1:145" x14ac:dyDescent="0.25">
      <c r="A101" s="31" t="s">
        <v>179</v>
      </c>
      <c r="B101" s="32">
        <v>0.1</v>
      </c>
      <c r="C101" s="32">
        <v>0.03</v>
      </c>
      <c r="D101" s="32">
        <v>7.0000000000000007E-2</v>
      </c>
      <c r="E101" s="32">
        <v>0.15</v>
      </c>
      <c r="F101" s="32">
        <v>-0.02</v>
      </c>
      <c r="G101" s="32">
        <v>0.15</v>
      </c>
      <c r="H101" s="32">
        <v>0.15</v>
      </c>
      <c r="I101" s="32">
        <v>0.06</v>
      </c>
      <c r="J101" s="32">
        <v>0</v>
      </c>
      <c r="K101" s="32">
        <v>0.08</v>
      </c>
      <c r="L101" s="32">
        <v>0.1</v>
      </c>
      <c r="M101" s="32">
        <v>0.26</v>
      </c>
      <c r="N101" s="32">
        <v>0.2</v>
      </c>
      <c r="O101" s="32">
        <v>0.15</v>
      </c>
      <c r="P101" s="32">
        <v>0.08</v>
      </c>
      <c r="Q101" s="32">
        <v>0.1</v>
      </c>
      <c r="R101" s="32">
        <v>0.01</v>
      </c>
      <c r="S101" s="32">
        <v>0.05</v>
      </c>
      <c r="T101" s="32">
        <v>0.25</v>
      </c>
      <c r="U101" s="32">
        <v>0.28000000000000003</v>
      </c>
      <c r="V101" s="32">
        <v>0.19</v>
      </c>
      <c r="W101" s="32">
        <v>0.14000000000000001</v>
      </c>
      <c r="X101" s="32">
        <v>0.27</v>
      </c>
      <c r="Y101" s="32">
        <v>0.25</v>
      </c>
      <c r="Z101" s="32">
        <v>0.15</v>
      </c>
      <c r="AA101" s="32">
        <v>0.13</v>
      </c>
      <c r="AB101" s="32">
        <v>0.24</v>
      </c>
      <c r="AC101" s="32">
        <v>0.14000000000000001</v>
      </c>
      <c r="AD101" s="32">
        <v>0.1</v>
      </c>
      <c r="AE101" s="32">
        <v>0.11</v>
      </c>
      <c r="AF101" s="32">
        <v>0.16</v>
      </c>
      <c r="AG101" s="32">
        <v>-0.01</v>
      </c>
      <c r="AH101" s="32">
        <v>-0.01</v>
      </c>
      <c r="AI101" s="32">
        <v>-0.05</v>
      </c>
      <c r="AJ101" s="32">
        <v>0.12</v>
      </c>
      <c r="AK101" s="32">
        <v>0.2</v>
      </c>
      <c r="AL101" s="32">
        <v>0.21</v>
      </c>
      <c r="AM101" s="32">
        <v>0.21</v>
      </c>
      <c r="AN101" s="32">
        <v>0.24</v>
      </c>
      <c r="AO101" s="32">
        <v>0.01</v>
      </c>
      <c r="AP101" s="32">
        <v>0.37</v>
      </c>
      <c r="AQ101" s="32">
        <v>-0.09</v>
      </c>
      <c r="AR101" s="32">
        <v>0.21</v>
      </c>
      <c r="AS101" s="32">
        <v>0.26</v>
      </c>
      <c r="AT101" s="32">
        <v>0.3</v>
      </c>
      <c r="AU101" s="32">
        <v>0.01</v>
      </c>
      <c r="AV101" s="32">
        <v>0.12</v>
      </c>
      <c r="AW101" s="32">
        <v>0.15</v>
      </c>
      <c r="AX101" s="32">
        <v>0.09</v>
      </c>
      <c r="AY101" s="32">
        <v>0.19</v>
      </c>
      <c r="AZ101" s="32">
        <v>0.1</v>
      </c>
      <c r="BA101" s="32">
        <v>0.17</v>
      </c>
      <c r="BB101" s="32">
        <v>0.31</v>
      </c>
      <c r="BC101" s="32">
        <v>0.16</v>
      </c>
      <c r="BD101" s="32">
        <v>0.17</v>
      </c>
      <c r="BE101" s="32">
        <v>0.05</v>
      </c>
      <c r="BF101" s="32">
        <v>0.25</v>
      </c>
      <c r="BG101" s="32">
        <v>0.23</v>
      </c>
      <c r="BH101" s="32">
        <v>0.18</v>
      </c>
      <c r="BI101" s="32">
        <v>0.12</v>
      </c>
      <c r="BJ101" s="32">
        <v>-0.03</v>
      </c>
      <c r="BK101" s="32">
        <v>0.12</v>
      </c>
      <c r="BL101" s="32">
        <v>0.24</v>
      </c>
      <c r="BM101" s="32">
        <v>0.17</v>
      </c>
      <c r="BN101" s="32">
        <v>0.14000000000000001</v>
      </c>
      <c r="BO101" s="32">
        <v>0.33</v>
      </c>
      <c r="BP101" s="32">
        <v>0.27</v>
      </c>
      <c r="BQ101" s="32">
        <v>0.26</v>
      </c>
      <c r="BR101" s="32">
        <v>0.3</v>
      </c>
      <c r="BS101" s="32">
        <v>-7.0000000000000007E-2</v>
      </c>
      <c r="BT101" s="32">
        <v>0.25</v>
      </c>
      <c r="BU101" s="32">
        <v>0.06</v>
      </c>
      <c r="BV101" s="32">
        <v>0.36</v>
      </c>
      <c r="BW101" s="32">
        <v>0.27</v>
      </c>
      <c r="BX101" s="32">
        <v>0.12</v>
      </c>
      <c r="BY101" s="32">
        <v>0.24</v>
      </c>
      <c r="BZ101" s="32">
        <v>0.28000000000000003</v>
      </c>
      <c r="CA101" s="32">
        <v>0.12</v>
      </c>
      <c r="CB101" s="32">
        <v>-0.08</v>
      </c>
      <c r="CC101" s="32">
        <v>0.17</v>
      </c>
      <c r="CD101" s="32">
        <v>0.25</v>
      </c>
      <c r="CE101" s="32">
        <v>0.18</v>
      </c>
      <c r="CF101" s="32">
        <v>-0.05</v>
      </c>
      <c r="CG101" s="32">
        <v>0.41</v>
      </c>
      <c r="CH101" s="32">
        <v>0.28000000000000003</v>
      </c>
      <c r="CI101" s="32">
        <v>-7.0000000000000007E-2</v>
      </c>
      <c r="CJ101" s="32">
        <v>0.26</v>
      </c>
      <c r="CK101" s="32">
        <v>0.21</v>
      </c>
      <c r="CL101" s="32">
        <v>0.17</v>
      </c>
      <c r="CM101" s="32">
        <v>0.2</v>
      </c>
      <c r="CN101" s="32">
        <v>0.08</v>
      </c>
      <c r="CO101" s="32">
        <v>0.18</v>
      </c>
      <c r="CP101" s="32">
        <v>0.21</v>
      </c>
      <c r="CQ101" s="32">
        <v>0.28000000000000003</v>
      </c>
      <c r="CR101" s="32">
        <v>0.28000000000000003</v>
      </c>
      <c r="CS101" s="32">
        <v>0.22</v>
      </c>
      <c r="CT101" s="32">
        <v>1</v>
      </c>
      <c r="CU101" s="32">
        <v>0.17</v>
      </c>
      <c r="CV101" s="32">
        <v>0.23</v>
      </c>
      <c r="CW101" s="32">
        <v>0.28999999999999998</v>
      </c>
      <c r="CX101" s="32">
        <v>0.32</v>
      </c>
      <c r="CY101" s="32">
        <v>0.27</v>
      </c>
      <c r="CZ101" s="32">
        <v>0.25</v>
      </c>
      <c r="DA101" s="32">
        <v>0.32</v>
      </c>
      <c r="DB101" s="32">
        <v>0.36</v>
      </c>
      <c r="DC101" s="32">
        <v>0.19</v>
      </c>
      <c r="DD101" s="32">
        <v>0.48</v>
      </c>
      <c r="DE101" s="32">
        <v>0.28999999999999998</v>
      </c>
      <c r="DF101" s="32">
        <v>0.24</v>
      </c>
      <c r="DG101" s="32">
        <v>0.35</v>
      </c>
      <c r="DH101" s="32">
        <v>0.19</v>
      </c>
      <c r="DI101" s="32">
        <v>0.28999999999999998</v>
      </c>
      <c r="DJ101" s="32">
        <v>0.26</v>
      </c>
      <c r="DK101" s="32">
        <v>0.31</v>
      </c>
      <c r="DL101" s="32">
        <v>0.17</v>
      </c>
      <c r="DM101" s="32">
        <v>0.35</v>
      </c>
      <c r="DN101" s="32">
        <v>0.27</v>
      </c>
      <c r="DO101" s="32">
        <v>0.27</v>
      </c>
      <c r="DP101" s="32">
        <v>0.27</v>
      </c>
      <c r="DQ101" s="32">
        <v>0.19</v>
      </c>
      <c r="DR101" s="32">
        <v>0.18</v>
      </c>
      <c r="DS101" s="32">
        <v>0.14000000000000001</v>
      </c>
      <c r="DT101" s="32">
        <v>0.28000000000000003</v>
      </c>
      <c r="DU101" s="32">
        <v>0.37</v>
      </c>
      <c r="DV101" s="32">
        <v>0.34</v>
      </c>
      <c r="DW101" s="32">
        <v>0.37</v>
      </c>
      <c r="DX101" s="32">
        <v>0.22</v>
      </c>
      <c r="DY101" s="32">
        <v>0.41</v>
      </c>
      <c r="DZ101" s="32">
        <v>0.32</v>
      </c>
      <c r="EA101" s="32">
        <v>0.23</v>
      </c>
      <c r="EB101" s="32">
        <v>0.37</v>
      </c>
      <c r="EC101" s="32">
        <v>0.14000000000000001</v>
      </c>
      <c r="ED101" s="32">
        <v>0.38</v>
      </c>
      <c r="EE101" s="32">
        <v>0.28999999999999998</v>
      </c>
      <c r="EF101" s="32">
        <v>0.14000000000000001</v>
      </c>
      <c r="EG101" s="32">
        <v>0.21</v>
      </c>
      <c r="EH101" s="32">
        <v>0.2</v>
      </c>
      <c r="EI101" s="32">
        <v>0.14000000000000001</v>
      </c>
      <c r="EJ101" s="32">
        <v>0.26</v>
      </c>
      <c r="EK101" s="32">
        <v>0.28000000000000003</v>
      </c>
      <c r="EL101" s="32">
        <v>0.25</v>
      </c>
      <c r="EM101" s="32">
        <v>0.02</v>
      </c>
      <c r="EN101" s="32">
        <v>0.15</v>
      </c>
      <c r="EO101" s="32">
        <v>0.19</v>
      </c>
    </row>
    <row r="102" spans="1:145" x14ac:dyDescent="0.25">
      <c r="A102" s="31" t="s">
        <v>181</v>
      </c>
      <c r="B102" s="32">
        <v>0</v>
      </c>
      <c r="C102" s="32">
        <v>0</v>
      </c>
      <c r="D102" s="32">
        <v>0.08</v>
      </c>
      <c r="E102" s="32">
        <v>0.01</v>
      </c>
      <c r="F102" s="32">
        <v>0</v>
      </c>
      <c r="G102" s="32">
        <v>-0.03</v>
      </c>
      <c r="H102" s="32">
        <v>0.04</v>
      </c>
      <c r="I102" s="32">
        <v>7.0000000000000007E-2</v>
      </c>
      <c r="J102" s="32">
        <v>0.01</v>
      </c>
      <c r="K102" s="32">
        <v>0.05</v>
      </c>
      <c r="L102" s="32">
        <v>0.11</v>
      </c>
      <c r="M102" s="32">
        <v>0.15</v>
      </c>
      <c r="N102" s="32">
        <v>0.13</v>
      </c>
      <c r="O102" s="32">
        <v>0.01</v>
      </c>
      <c r="P102" s="32">
        <v>0.05</v>
      </c>
      <c r="Q102" s="32">
        <v>0.1</v>
      </c>
      <c r="R102" s="32">
        <v>0.05</v>
      </c>
      <c r="S102" s="32">
        <v>0.05</v>
      </c>
      <c r="T102" s="32">
        <v>0.13</v>
      </c>
      <c r="U102" s="32">
        <v>0.12</v>
      </c>
      <c r="V102" s="32">
        <v>7.0000000000000007E-2</v>
      </c>
      <c r="W102" s="32">
        <v>0.01</v>
      </c>
      <c r="X102" s="32">
        <v>0.13</v>
      </c>
      <c r="Y102" s="32">
        <v>0.01</v>
      </c>
      <c r="Z102" s="32">
        <v>0.15</v>
      </c>
      <c r="AA102" s="32">
        <v>0.05</v>
      </c>
      <c r="AB102" s="32">
        <v>0</v>
      </c>
      <c r="AC102" s="32">
        <v>0.03</v>
      </c>
      <c r="AD102" s="32">
        <v>0.06</v>
      </c>
      <c r="AE102" s="32">
        <v>0.13</v>
      </c>
      <c r="AF102" s="32">
        <v>0.08</v>
      </c>
      <c r="AG102" s="32">
        <v>-0.01</v>
      </c>
      <c r="AH102" s="32">
        <v>-0.03</v>
      </c>
      <c r="AI102" s="32">
        <v>0</v>
      </c>
      <c r="AJ102" s="32">
        <v>7.0000000000000007E-2</v>
      </c>
      <c r="AK102" s="32">
        <v>0.1</v>
      </c>
      <c r="AL102" s="32">
        <v>0.21</v>
      </c>
      <c r="AM102" s="32">
        <v>0.17</v>
      </c>
      <c r="AN102" s="32">
        <v>0.09</v>
      </c>
      <c r="AO102" s="32">
        <v>-7.0000000000000007E-2</v>
      </c>
      <c r="AP102" s="32">
        <v>0.13</v>
      </c>
      <c r="AQ102" s="32">
        <v>-0.02</v>
      </c>
      <c r="AR102" s="32">
        <v>0.15</v>
      </c>
      <c r="AS102" s="32">
        <v>0.18</v>
      </c>
      <c r="AT102" s="32">
        <v>0.12</v>
      </c>
      <c r="AU102" s="32">
        <v>0.03</v>
      </c>
      <c r="AV102" s="32">
        <v>0.15</v>
      </c>
      <c r="AW102" s="32">
        <v>0.08</v>
      </c>
      <c r="AX102" s="32">
        <v>0.02</v>
      </c>
      <c r="AY102" s="32">
        <v>0.03</v>
      </c>
      <c r="AZ102" s="32">
        <v>0.08</v>
      </c>
      <c r="BA102" s="32">
        <v>0.03</v>
      </c>
      <c r="BB102" s="32">
        <v>0.13</v>
      </c>
      <c r="BC102" s="32">
        <v>0.1</v>
      </c>
      <c r="BD102" s="32">
        <v>0.13</v>
      </c>
      <c r="BE102" s="32">
        <v>0</v>
      </c>
      <c r="BF102" s="32">
        <v>0.18</v>
      </c>
      <c r="BG102" s="32">
        <v>0.09</v>
      </c>
      <c r="BH102" s="32">
        <v>0.21</v>
      </c>
      <c r="BI102" s="32">
        <v>0.1</v>
      </c>
      <c r="BJ102" s="32">
        <v>-0.02</v>
      </c>
      <c r="BK102" s="32">
        <v>0.12</v>
      </c>
      <c r="BL102" s="32">
        <v>0.26</v>
      </c>
      <c r="BM102" s="32">
        <v>0.1</v>
      </c>
      <c r="BN102" s="32">
        <v>0.06</v>
      </c>
      <c r="BO102" s="32">
        <v>0.38</v>
      </c>
      <c r="BP102" s="32">
        <v>0.14000000000000001</v>
      </c>
      <c r="BQ102" s="32">
        <v>0.16</v>
      </c>
      <c r="BR102" s="32">
        <v>0.28000000000000003</v>
      </c>
      <c r="BS102" s="32">
        <v>0.03</v>
      </c>
      <c r="BT102" s="32">
        <v>0.17</v>
      </c>
      <c r="BU102" s="32">
        <v>0.15</v>
      </c>
      <c r="BV102" s="32">
        <v>0.31</v>
      </c>
      <c r="BW102" s="32">
        <v>0.22</v>
      </c>
      <c r="BX102" s="32">
        <v>0</v>
      </c>
      <c r="BY102" s="32">
        <v>0.15</v>
      </c>
      <c r="BZ102" s="32">
        <v>0.21</v>
      </c>
      <c r="CA102" s="32">
        <v>0.04</v>
      </c>
      <c r="CB102" s="32">
        <v>-0.05</v>
      </c>
      <c r="CC102" s="32">
        <v>0.01</v>
      </c>
      <c r="CD102" s="32">
        <v>0.21</v>
      </c>
      <c r="CE102" s="32">
        <v>0.12</v>
      </c>
      <c r="CF102" s="32">
        <v>-0.01</v>
      </c>
      <c r="CG102" s="32">
        <v>0.15</v>
      </c>
      <c r="CH102" s="32">
        <v>0.27</v>
      </c>
      <c r="CI102" s="32">
        <v>-0.03</v>
      </c>
      <c r="CJ102" s="32">
        <v>0.09</v>
      </c>
      <c r="CK102" s="32">
        <v>0.15</v>
      </c>
      <c r="CL102" s="32">
        <v>0.2</v>
      </c>
      <c r="CM102" s="32">
        <v>0.33</v>
      </c>
      <c r="CN102" s="32">
        <v>0.11</v>
      </c>
      <c r="CO102" s="32">
        <v>0.15</v>
      </c>
      <c r="CP102" s="32">
        <v>0.08</v>
      </c>
      <c r="CQ102" s="32">
        <v>0.17</v>
      </c>
      <c r="CR102" s="32">
        <v>0.33</v>
      </c>
      <c r="CS102" s="32">
        <v>0.23</v>
      </c>
      <c r="CT102" s="32">
        <v>0.17</v>
      </c>
      <c r="CU102" s="32">
        <v>1</v>
      </c>
      <c r="CV102" s="32">
        <v>0.25</v>
      </c>
      <c r="CW102" s="32">
        <v>0.21</v>
      </c>
      <c r="CX102" s="32">
        <v>0.21</v>
      </c>
      <c r="CY102" s="32">
        <v>0.15</v>
      </c>
      <c r="CZ102" s="32">
        <v>0.15</v>
      </c>
      <c r="DA102" s="32">
        <v>0.2</v>
      </c>
      <c r="DB102" s="32">
        <v>0.25</v>
      </c>
      <c r="DC102" s="32">
        <v>0.15</v>
      </c>
      <c r="DD102" s="32">
        <v>0.14000000000000001</v>
      </c>
      <c r="DE102" s="32">
        <v>0.25</v>
      </c>
      <c r="DF102" s="32">
        <v>-0.01</v>
      </c>
      <c r="DG102" s="32">
        <v>0.23</v>
      </c>
      <c r="DH102" s="32">
        <v>0.27</v>
      </c>
      <c r="DI102" s="32">
        <v>0.16</v>
      </c>
      <c r="DJ102" s="32">
        <v>0.15</v>
      </c>
      <c r="DK102" s="32">
        <v>0.19</v>
      </c>
      <c r="DL102" s="32">
        <v>0.24</v>
      </c>
      <c r="DM102" s="32">
        <v>0.16</v>
      </c>
      <c r="DN102" s="32">
        <v>0.08</v>
      </c>
      <c r="DO102" s="32">
        <v>0.16</v>
      </c>
      <c r="DP102" s="32">
        <v>0.15</v>
      </c>
      <c r="DQ102" s="32">
        <v>0.17</v>
      </c>
      <c r="DR102" s="32">
        <v>0.25</v>
      </c>
      <c r="DS102" s="32">
        <v>0.11</v>
      </c>
      <c r="DT102" s="32">
        <v>0.21</v>
      </c>
      <c r="DU102" s="32">
        <v>0.19</v>
      </c>
      <c r="DV102" s="32">
        <v>0.11</v>
      </c>
      <c r="DW102" s="32">
        <v>0.17</v>
      </c>
      <c r="DX102" s="32">
        <v>0.19</v>
      </c>
      <c r="DY102" s="32">
        <v>0.12</v>
      </c>
      <c r="DZ102" s="32">
        <v>0.11</v>
      </c>
      <c r="EA102" s="32">
        <v>0.2</v>
      </c>
      <c r="EB102" s="32">
        <v>0.14000000000000001</v>
      </c>
      <c r="EC102" s="32">
        <v>0.13</v>
      </c>
      <c r="ED102" s="32">
        <v>0.11</v>
      </c>
      <c r="EE102" s="32">
        <v>0.3</v>
      </c>
      <c r="EF102" s="32">
        <v>0.22</v>
      </c>
      <c r="EG102" s="32">
        <v>0.18</v>
      </c>
      <c r="EH102" s="32">
        <v>0.13</v>
      </c>
      <c r="EI102" s="32">
        <v>0.17</v>
      </c>
      <c r="EJ102" s="32">
        <v>0.19</v>
      </c>
      <c r="EK102" s="32">
        <v>0.28999999999999998</v>
      </c>
      <c r="EL102" s="32">
        <v>0.28999999999999998</v>
      </c>
      <c r="EM102" s="32">
        <v>0.09</v>
      </c>
      <c r="EN102" s="32">
        <v>0.03</v>
      </c>
      <c r="EO102" s="32">
        <v>0.13</v>
      </c>
    </row>
    <row r="103" spans="1:145" x14ac:dyDescent="0.25">
      <c r="A103" s="31" t="s">
        <v>182</v>
      </c>
      <c r="B103" s="32">
        <v>7.0000000000000007E-2</v>
      </c>
      <c r="C103" s="32">
        <v>-0.06</v>
      </c>
      <c r="D103" s="32">
        <v>0.02</v>
      </c>
      <c r="E103" s="32">
        <v>-0.01</v>
      </c>
      <c r="F103" s="32">
        <v>-0.06</v>
      </c>
      <c r="G103" s="32">
        <v>0.01</v>
      </c>
      <c r="H103" s="32">
        <v>0.02</v>
      </c>
      <c r="I103" s="32">
        <v>0.06</v>
      </c>
      <c r="J103" s="32">
        <v>-0.08</v>
      </c>
      <c r="K103" s="32">
        <v>0.08</v>
      </c>
      <c r="L103" s="32">
        <v>0</v>
      </c>
      <c r="M103" s="32">
        <v>0.27</v>
      </c>
      <c r="N103" s="32">
        <v>0.06</v>
      </c>
      <c r="O103" s="32">
        <v>0.03</v>
      </c>
      <c r="P103" s="32">
        <v>-0.04</v>
      </c>
      <c r="Q103" s="32">
        <v>-0.1</v>
      </c>
      <c r="R103" s="32">
        <v>0.02</v>
      </c>
      <c r="S103" s="32">
        <v>0.05</v>
      </c>
      <c r="T103" s="32">
        <v>0.22</v>
      </c>
      <c r="U103" s="32">
        <v>0.14000000000000001</v>
      </c>
      <c r="V103" s="32">
        <v>0.13</v>
      </c>
      <c r="W103" s="32">
        <v>-0.04</v>
      </c>
      <c r="X103" s="32">
        <v>0.2</v>
      </c>
      <c r="Y103" s="32">
        <v>0.23</v>
      </c>
      <c r="Z103" s="32">
        <v>0.1</v>
      </c>
      <c r="AA103" s="32">
        <v>-0.03</v>
      </c>
      <c r="AB103" s="32">
        <v>0.24</v>
      </c>
      <c r="AC103" s="32">
        <v>0.11</v>
      </c>
      <c r="AD103" s="32">
        <v>0.04</v>
      </c>
      <c r="AE103" s="32">
        <v>0.13</v>
      </c>
      <c r="AF103" s="32">
        <v>0.18</v>
      </c>
      <c r="AG103" s="32">
        <v>0.01</v>
      </c>
      <c r="AH103" s="32">
        <v>-0.04</v>
      </c>
      <c r="AI103" s="32">
        <v>-0.16</v>
      </c>
      <c r="AJ103" s="32">
        <v>-0.08</v>
      </c>
      <c r="AK103" s="32">
        <v>0.12</v>
      </c>
      <c r="AL103" s="32">
        <v>0.16</v>
      </c>
      <c r="AM103" s="32">
        <v>0.09</v>
      </c>
      <c r="AN103" s="32">
        <v>0.17</v>
      </c>
      <c r="AO103" s="32">
        <v>-0.04</v>
      </c>
      <c r="AP103" s="32">
        <v>0.17</v>
      </c>
      <c r="AQ103" s="32">
        <v>-0.18</v>
      </c>
      <c r="AR103" s="32">
        <v>0.27</v>
      </c>
      <c r="AS103" s="32">
        <v>7.0000000000000007E-2</v>
      </c>
      <c r="AT103" s="32">
        <v>0.27</v>
      </c>
      <c r="AU103" s="32">
        <v>-0.02</v>
      </c>
      <c r="AV103" s="32">
        <v>0.03</v>
      </c>
      <c r="AW103" s="32">
        <v>0.02</v>
      </c>
      <c r="AX103" s="32">
        <v>-0.11</v>
      </c>
      <c r="AY103" s="32">
        <v>0.13</v>
      </c>
      <c r="AZ103" s="32">
        <v>0.18</v>
      </c>
      <c r="BA103" s="32">
        <v>0.05</v>
      </c>
      <c r="BB103" s="32">
        <v>0.27</v>
      </c>
      <c r="BC103" s="32">
        <v>0</v>
      </c>
      <c r="BD103" s="32">
        <v>0.05</v>
      </c>
      <c r="BE103" s="32">
        <v>0.04</v>
      </c>
      <c r="BF103" s="32">
        <v>0.09</v>
      </c>
      <c r="BG103" s="32">
        <v>0.18</v>
      </c>
      <c r="BH103" s="32">
        <v>0.17</v>
      </c>
      <c r="BI103" s="32">
        <v>0.16</v>
      </c>
      <c r="BJ103" s="32">
        <v>-0.06</v>
      </c>
      <c r="BK103" s="32">
        <v>0.18</v>
      </c>
      <c r="BL103" s="32">
        <v>0.11</v>
      </c>
      <c r="BM103" s="32">
        <v>0.12</v>
      </c>
      <c r="BN103" s="32">
        <v>0.1</v>
      </c>
      <c r="BO103" s="32">
        <v>0.31</v>
      </c>
      <c r="BP103" s="32">
        <v>0.18</v>
      </c>
      <c r="BQ103" s="32">
        <v>0.17</v>
      </c>
      <c r="BR103" s="32">
        <v>0.13</v>
      </c>
      <c r="BS103" s="32">
        <v>-0.12</v>
      </c>
      <c r="BT103" s="32">
        <v>0.18</v>
      </c>
      <c r="BU103" s="32">
        <v>0.1</v>
      </c>
      <c r="BV103" s="32">
        <v>0.4</v>
      </c>
      <c r="BW103" s="32">
        <v>0</v>
      </c>
      <c r="BX103" s="32">
        <v>-0.04</v>
      </c>
      <c r="BY103" s="32">
        <v>0.25</v>
      </c>
      <c r="BZ103" s="32">
        <v>0.23</v>
      </c>
      <c r="CA103" s="32">
        <v>0.09</v>
      </c>
      <c r="CB103" s="32">
        <v>-0.04</v>
      </c>
      <c r="CC103" s="32">
        <v>0.12</v>
      </c>
      <c r="CD103" s="32">
        <v>0.26</v>
      </c>
      <c r="CE103" s="32">
        <v>0.12</v>
      </c>
      <c r="CF103" s="32">
        <v>-0.18</v>
      </c>
      <c r="CG103" s="32">
        <v>0.27</v>
      </c>
      <c r="CH103" s="32">
        <v>0.2</v>
      </c>
      <c r="CI103" s="32">
        <v>-0.16</v>
      </c>
      <c r="CJ103" s="32">
        <v>0.14000000000000001</v>
      </c>
      <c r="CK103" s="32">
        <v>0.22</v>
      </c>
      <c r="CL103" s="32">
        <v>0.22</v>
      </c>
      <c r="CM103" s="32">
        <v>0.3</v>
      </c>
      <c r="CN103" s="32">
        <v>0.03</v>
      </c>
      <c r="CO103" s="32">
        <v>0.11</v>
      </c>
      <c r="CP103" s="32">
        <v>0.17</v>
      </c>
      <c r="CQ103" s="32">
        <v>0.26</v>
      </c>
      <c r="CR103" s="32">
        <v>0.22</v>
      </c>
      <c r="CS103" s="32">
        <v>0.12</v>
      </c>
      <c r="CT103" s="32">
        <v>0.23</v>
      </c>
      <c r="CU103" s="32">
        <v>0.25</v>
      </c>
      <c r="CV103" s="32">
        <v>1</v>
      </c>
      <c r="CW103" s="32">
        <v>0.28000000000000003</v>
      </c>
      <c r="CX103" s="32">
        <v>0.27</v>
      </c>
      <c r="CY103" s="32">
        <v>0.32</v>
      </c>
      <c r="CZ103" s="32">
        <v>0.17</v>
      </c>
      <c r="DA103" s="32">
        <v>0.22</v>
      </c>
      <c r="DB103" s="32">
        <v>0.36</v>
      </c>
      <c r="DC103" s="32">
        <v>0.2</v>
      </c>
      <c r="DD103" s="32">
        <v>0.27</v>
      </c>
      <c r="DE103" s="32">
        <v>0.18</v>
      </c>
      <c r="DF103" s="32">
        <v>0.11</v>
      </c>
      <c r="DG103" s="32">
        <v>0.09</v>
      </c>
      <c r="DH103" s="32">
        <v>0.2</v>
      </c>
      <c r="DI103" s="32">
        <v>0.26</v>
      </c>
      <c r="DJ103" s="32">
        <v>0.31</v>
      </c>
      <c r="DK103" s="32">
        <v>0.28000000000000003</v>
      </c>
      <c r="DL103" s="32">
        <v>0.1</v>
      </c>
      <c r="DM103" s="32">
        <v>0.31</v>
      </c>
      <c r="DN103" s="32">
        <v>0.17</v>
      </c>
      <c r="DO103" s="32">
        <v>0.2</v>
      </c>
      <c r="DP103" s="32">
        <v>0.34</v>
      </c>
      <c r="DQ103" s="32">
        <v>0.09</v>
      </c>
      <c r="DR103" s="32">
        <v>0.09</v>
      </c>
      <c r="DS103" s="32">
        <v>0.18</v>
      </c>
      <c r="DT103" s="32">
        <v>0.23</v>
      </c>
      <c r="DU103" s="32">
        <v>0.28000000000000003</v>
      </c>
      <c r="DV103" s="32">
        <v>0.23</v>
      </c>
      <c r="DW103" s="32">
        <v>0.36</v>
      </c>
      <c r="DX103" s="32">
        <v>0.12</v>
      </c>
      <c r="DY103" s="32">
        <v>0.33</v>
      </c>
      <c r="DZ103" s="32">
        <v>0.09</v>
      </c>
      <c r="EA103" s="32">
        <v>0.21</v>
      </c>
      <c r="EB103" s="32">
        <v>0.31</v>
      </c>
      <c r="EC103" s="32">
        <v>0.06</v>
      </c>
      <c r="ED103" s="32">
        <v>0.17</v>
      </c>
      <c r="EE103" s="32">
        <v>0.22</v>
      </c>
      <c r="EF103" s="32">
        <v>0.16</v>
      </c>
      <c r="EG103" s="32">
        <v>0.18</v>
      </c>
      <c r="EH103" s="32">
        <v>0.17</v>
      </c>
      <c r="EI103" s="32">
        <v>0.1</v>
      </c>
      <c r="EJ103" s="32">
        <v>0.17</v>
      </c>
      <c r="EK103" s="32">
        <v>0.1</v>
      </c>
      <c r="EL103" s="32">
        <v>0.12</v>
      </c>
      <c r="EM103" s="32">
        <v>0.1</v>
      </c>
      <c r="EN103" s="32">
        <v>0.09</v>
      </c>
      <c r="EO103" s="32">
        <v>0.08</v>
      </c>
    </row>
    <row r="104" spans="1:145" x14ac:dyDescent="0.25">
      <c r="A104" s="31" t="s">
        <v>183</v>
      </c>
      <c r="B104" s="32">
        <v>0.11</v>
      </c>
      <c r="C104" s="32">
        <v>0.02</v>
      </c>
      <c r="D104" s="32">
        <v>-0.01</v>
      </c>
      <c r="E104" s="32">
        <v>0.1</v>
      </c>
      <c r="F104" s="32">
        <v>0.09</v>
      </c>
      <c r="G104" s="32">
        <v>-0.02</v>
      </c>
      <c r="H104" s="32">
        <v>7.0000000000000007E-2</v>
      </c>
      <c r="I104" s="32">
        <v>0.24</v>
      </c>
      <c r="J104" s="32">
        <v>7.0000000000000007E-2</v>
      </c>
      <c r="K104" s="32">
        <v>0.13</v>
      </c>
      <c r="L104" s="32">
        <v>0.15</v>
      </c>
      <c r="M104" s="32">
        <v>0.3</v>
      </c>
      <c r="N104" s="32">
        <v>0.19</v>
      </c>
      <c r="O104" s="32">
        <v>7.0000000000000007E-2</v>
      </c>
      <c r="P104" s="32">
        <v>0.16</v>
      </c>
      <c r="Q104" s="32">
        <v>0.19</v>
      </c>
      <c r="R104" s="32">
        <v>0.13</v>
      </c>
      <c r="S104" s="32">
        <v>0.15</v>
      </c>
      <c r="T104" s="32">
        <v>0.25</v>
      </c>
      <c r="U104" s="32">
        <v>0.2</v>
      </c>
      <c r="V104" s="32">
        <v>7.0000000000000007E-2</v>
      </c>
      <c r="W104" s="32">
        <v>0.08</v>
      </c>
      <c r="X104" s="32">
        <v>0.23</v>
      </c>
      <c r="Y104" s="32">
        <v>0.34</v>
      </c>
      <c r="Z104" s="32">
        <v>0.11</v>
      </c>
      <c r="AA104" s="32">
        <v>0.23</v>
      </c>
      <c r="AB104" s="32">
        <v>0.33</v>
      </c>
      <c r="AC104" s="32">
        <v>0.1</v>
      </c>
      <c r="AD104" s="32">
        <v>0.12</v>
      </c>
      <c r="AE104" s="32">
        <v>0.15</v>
      </c>
      <c r="AF104" s="32">
        <v>0.13</v>
      </c>
      <c r="AG104" s="32">
        <v>0.01</v>
      </c>
      <c r="AH104" s="32">
        <v>0.01</v>
      </c>
      <c r="AI104" s="32">
        <v>-0.06</v>
      </c>
      <c r="AJ104" s="32">
        <v>0.05</v>
      </c>
      <c r="AK104" s="32">
        <v>7.0000000000000007E-2</v>
      </c>
      <c r="AL104" s="32">
        <v>0.22</v>
      </c>
      <c r="AM104" s="32">
        <v>0.13</v>
      </c>
      <c r="AN104" s="32">
        <v>0.34</v>
      </c>
      <c r="AO104" s="32">
        <v>0.13</v>
      </c>
      <c r="AP104" s="32">
        <v>0.34</v>
      </c>
      <c r="AQ104" s="32">
        <v>-0.1</v>
      </c>
      <c r="AR104" s="32">
        <v>0.27</v>
      </c>
      <c r="AS104" s="32">
        <v>0.17</v>
      </c>
      <c r="AT104" s="32">
        <v>0.31</v>
      </c>
      <c r="AU104" s="32">
        <v>-0.03</v>
      </c>
      <c r="AV104" s="32">
        <v>0.15</v>
      </c>
      <c r="AW104" s="32">
        <v>0.11</v>
      </c>
      <c r="AX104" s="32">
        <v>0.08</v>
      </c>
      <c r="AY104" s="32">
        <v>0.19</v>
      </c>
      <c r="AZ104" s="32">
        <v>0.13</v>
      </c>
      <c r="BA104" s="32">
        <v>0.15</v>
      </c>
      <c r="BB104" s="32">
        <v>0.26</v>
      </c>
      <c r="BC104" s="32">
        <v>0.14000000000000001</v>
      </c>
      <c r="BD104" s="32">
        <v>0.19</v>
      </c>
      <c r="BE104" s="32">
        <v>0.15</v>
      </c>
      <c r="BF104" s="32">
        <v>0.13</v>
      </c>
      <c r="BG104" s="32">
        <v>0.38</v>
      </c>
      <c r="BH104" s="32">
        <v>0.15</v>
      </c>
      <c r="BI104" s="32">
        <v>7.0000000000000007E-2</v>
      </c>
      <c r="BJ104" s="32">
        <v>0.05</v>
      </c>
      <c r="BK104" s="32">
        <v>0.11</v>
      </c>
      <c r="BL104" s="32">
        <v>0.19</v>
      </c>
      <c r="BM104" s="32">
        <v>0.19</v>
      </c>
      <c r="BN104" s="32">
        <v>-0.05</v>
      </c>
      <c r="BO104" s="32">
        <v>0.3</v>
      </c>
      <c r="BP104" s="32">
        <v>0.32</v>
      </c>
      <c r="BQ104" s="32">
        <v>0.19</v>
      </c>
      <c r="BR104" s="32">
        <v>0.35</v>
      </c>
      <c r="BS104" s="32">
        <v>-7.0000000000000007E-2</v>
      </c>
      <c r="BT104" s="32">
        <v>0.26</v>
      </c>
      <c r="BU104" s="32">
        <v>0.13</v>
      </c>
      <c r="BV104" s="32">
        <v>0.35</v>
      </c>
      <c r="BW104" s="32">
        <v>0.33</v>
      </c>
      <c r="BX104" s="32">
        <v>0.11</v>
      </c>
      <c r="BY104" s="32">
        <v>0.3</v>
      </c>
      <c r="BZ104" s="32">
        <v>0.28000000000000003</v>
      </c>
      <c r="CA104" s="32">
        <v>0.14000000000000001</v>
      </c>
      <c r="CB104" s="32">
        <v>0.02</v>
      </c>
      <c r="CC104" s="32">
        <v>0.06</v>
      </c>
      <c r="CD104" s="32">
        <v>0.44</v>
      </c>
      <c r="CE104" s="32">
        <v>0.06</v>
      </c>
      <c r="CF104" s="32">
        <v>-0.13</v>
      </c>
      <c r="CG104" s="32">
        <v>0.32</v>
      </c>
      <c r="CH104" s="32">
        <v>0.2</v>
      </c>
      <c r="CI104" s="32">
        <v>-0.12</v>
      </c>
      <c r="CJ104" s="32">
        <v>0.25</v>
      </c>
      <c r="CK104" s="32">
        <v>0.26</v>
      </c>
      <c r="CL104" s="32">
        <v>0.24</v>
      </c>
      <c r="CM104" s="32">
        <v>0.21</v>
      </c>
      <c r="CN104" s="32">
        <v>0.08</v>
      </c>
      <c r="CO104" s="32">
        <v>0.1</v>
      </c>
      <c r="CP104" s="32">
        <v>0.23</v>
      </c>
      <c r="CQ104" s="32">
        <v>0.26</v>
      </c>
      <c r="CR104" s="32">
        <v>0.25</v>
      </c>
      <c r="CS104" s="32">
        <v>0.1</v>
      </c>
      <c r="CT104" s="32">
        <v>0.28999999999999998</v>
      </c>
      <c r="CU104" s="32">
        <v>0.21</v>
      </c>
      <c r="CV104" s="32">
        <v>0.28000000000000003</v>
      </c>
      <c r="CW104" s="32">
        <v>1</v>
      </c>
      <c r="CX104" s="32">
        <v>0.53</v>
      </c>
      <c r="CY104" s="32">
        <v>0.2</v>
      </c>
      <c r="CZ104" s="32">
        <v>0.33</v>
      </c>
      <c r="DA104" s="32">
        <v>0.28000000000000003</v>
      </c>
      <c r="DB104" s="32">
        <v>0.21</v>
      </c>
      <c r="DC104" s="32">
        <v>0.21</v>
      </c>
      <c r="DD104" s="32">
        <v>0.35</v>
      </c>
      <c r="DE104" s="32">
        <v>0.17</v>
      </c>
      <c r="DF104" s="32">
        <v>0.3</v>
      </c>
      <c r="DG104" s="32">
        <v>0.17</v>
      </c>
      <c r="DH104" s="32">
        <v>0.15</v>
      </c>
      <c r="DI104" s="32">
        <v>0.24</v>
      </c>
      <c r="DJ104" s="32">
        <v>0.27</v>
      </c>
      <c r="DK104" s="32">
        <v>0.28000000000000003</v>
      </c>
      <c r="DL104" s="32">
        <v>0.09</v>
      </c>
      <c r="DM104" s="32">
        <v>0.31</v>
      </c>
      <c r="DN104" s="32">
        <v>0.25</v>
      </c>
      <c r="DO104" s="32">
        <v>0.08</v>
      </c>
      <c r="DP104" s="32">
        <v>0.25</v>
      </c>
      <c r="DQ104" s="32">
        <v>0.18</v>
      </c>
      <c r="DR104" s="32">
        <v>0.18</v>
      </c>
      <c r="DS104" s="32">
        <v>0.24</v>
      </c>
      <c r="DT104" s="32">
        <v>0.16</v>
      </c>
      <c r="DU104" s="32">
        <v>0.39</v>
      </c>
      <c r="DV104" s="32">
        <v>0.26</v>
      </c>
      <c r="DW104" s="32">
        <v>0.39</v>
      </c>
      <c r="DX104" s="32">
        <v>0.05</v>
      </c>
      <c r="DY104" s="32">
        <v>0.48</v>
      </c>
      <c r="DZ104" s="32">
        <v>0.17</v>
      </c>
      <c r="EA104" s="32">
        <v>0.2</v>
      </c>
      <c r="EB104" s="32">
        <v>0.38</v>
      </c>
      <c r="EC104" s="32">
        <v>0.04</v>
      </c>
      <c r="ED104" s="32">
        <v>0.16</v>
      </c>
      <c r="EE104" s="32">
        <v>0.11</v>
      </c>
      <c r="EF104" s="32">
        <v>0.09</v>
      </c>
      <c r="EG104" s="32">
        <v>0.03</v>
      </c>
      <c r="EH104" s="32">
        <v>0.32</v>
      </c>
      <c r="EI104" s="32">
        <v>0.03</v>
      </c>
      <c r="EJ104" s="32">
        <v>0.16</v>
      </c>
      <c r="EK104" s="32">
        <v>0.2</v>
      </c>
      <c r="EL104" s="32">
        <v>0.22</v>
      </c>
      <c r="EM104" s="32">
        <v>0.15</v>
      </c>
      <c r="EN104" s="32">
        <v>0.24</v>
      </c>
      <c r="EO104" s="32">
        <v>0.15</v>
      </c>
    </row>
    <row r="105" spans="1:145" x14ac:dyDescent="0.25">
      <c r="A105" s="31" t="s">
        <v>184</v>
      </c>
      <c r="B105" s="32">
        <v>7.0000000000000007E-2</v>
      </c>
      <c r="C105" s="32">
        <v>0.01</v>
      </c>
      <c r="D105" s="32">
        <v>0</v>
      </c>
      <c r="E105" s="32">
        <v>0.06</v>
      </c>
      <c r="F105" s="32">
        <v>0.05</v>
      </c>
      <c r="G105" s="32">
        <v>0.08</v>
      </c>
      <c r="H105" s="32">
        <v>0.06</v>
      </c>
      <c r="I105" s="32">
        <v>0.16</v>
      </c>
      <c r="J105" s="32">
        <v>0.06</v>
      </c>
      <c r="K105" s="32">
        <v>0.11</v>
      </c>
      <c r="L105" s="32">
        <v>7.0000000000000007E-2</v>
      </c>
      <c r="M105" s="32">
        <v>0.35</v>
      </c>
      <c r="N105" s="32">
        <v>0.16</v>
      </c>
      <c r="O105" s="32">
        <v>0.06</v>
      </c>
      <c r="P105" s="32">
        <v>0.06</v>
      </c>
      <c r="Q105" s="32">
        <v>0.11</v>
      </c>
      <c r="R105" s="32">
        <v>0.05</v>
      </c>
      <c r="S105" s="32">
        <v>0.12</v>
      </c>
      <c r="T105" s="32">
        <v>0.36</v>
      </c>
      <c r="U105" s="32">
        <v>0.21</v>
      </c>
      <c r="V105" s="32">
        <v>0.02</v>
      </c>
      <c r="W105" s="32">
        <v>0.19</v>
      </c>
      <c r="X105" s="32">
        <v>0.37</v>
      </c>
      <c r="Y105" s="32">
        <v>0.3</v>
      </c>
      <c r="Z105" s="32">
        <v>0.13</v>
      </c>
      <c r="AA105" s="32">
        <v>0.19</v>
      </c>
      <c r="AB105" s="32">
        <v>0.31</v>
      </c>
      <c r="AC105" s="32">
        <v>0.05</v>
      </c>
      <c r="AD105" s="32">
        <v>0.14000000000000001</v>
      </c>
      <c r="AE105" s="32">
        <v>0.21</v>
      </c>
      <c r="AF105" s="32">
        <v>0.17</v>
      </c>
      <c r="AG105" s="32">
        <v>0.04</v>
      </c>
      <c r="AH105" s="32">
        <v>0</v>
      </c>
      <c r="AI105" s="32">
        <v>-0.1</v>
      </c>
      <c r="AJ105" s="32">
        <v>0</v>
      </c>
      <c r="AK105" s="32">
        <v>0.2</v>
      </c>
      <c r="AL105" s="32">
        <v>0.18</v>
      </c>
      <c r="AM105" s="32">
        <v>0.15</v>
      </c>
      <c r="AN105" s="32">
        <v>0.27</v>
      </c>
      <c r="AO105" s="32">
        <v>0.12</v>
      </c>
      <c r="AP105" s="32">
        <v>0.26</v>
      </c>
      <c r="AQ105" s="32">
        <v>-0.13</v>
      </c>
      <c r="AR105" s="32">
        <v>0.36</v>
      </c>
      <c r="AS105" s="32">
        <v>0.18</v>
      </c>
      <c r="AT105" s="32">
        <v>0.4</v>
      </c>
      <c r="AU105" s="32">
        <v>0.03</v>
      </c>
      <c r="AV105" s="32">
        <v>0.09</v>
      </c>
      <c r="AW105" s="32">
        <v>0.13</v>
      </c>
      <c r="AX105" s="32">
        <v>0.1</v>
      </c>
      <c r="AY105" s="32">
        <v>0.2</v>
      </c>
      <c r="AZ105" s="32">
        <v>0.19</v>
      </c>
      <c r="BA105" s="32">
        <v>0.22</v>
      </c>
      <c r="BB105" s="32">
        <v>0.4</v>
      </c>
      <c r="BC105" s="32">
        <v>7.0000000000000007E-2</v>
      </c>
      <c r="BD105" s="32">
        <v>0.22</v>
      </c>
      <c r="BE105" s="32">
        <v>0.14000000000000001</v>
      </c>
      <c r="BF105" s="32">
        <v>0.17</v>
      </c>
      <c r="BG105" s="32">
        <v>0.25</v>
      </c>
      <c r="BH105" s="32">
        <v>0.1</v>
      </c>
      <c r="BI105" s="32">
        <v>0.06</v>
      </c>
      <c r="BJ105" s="32">
        <v>0.02</v>
      </c>
      <c r="BK105" s="32">
        <v>0.16</v>
      </c>
      <c r="BL105" s="32">
        <v>0.32</v>
      </c>
      <c r="BM105" s="32">
        <v>0.13</v>
      </c>
      <c r="BN105" s="32">
        <v>0.1</v>
      </c>
      <c r="BO105" s="32">
        <v>0.33</v>
      </c>
      <c r="BP105" s="32">
        <v>0.26</v>
      </c>
      <c r="BQ105" s="32">
        <v>0.33</v>
      </c>
      <c r="BR105" s="32">
        <v>0.28999999999999998</v>
      </c>
      <c r="BS105" s="32">
        <v>-0.1</v>
      </c>
      <c r="BT105" s="32">
        <v>0.37</v>
      </c>
      <c r="BU105" s="32">
        <v>0.18</v>
      </c>
      <c r="BV105" s="32">
        <v>0.31</v>
      </c>
      <c r="BW105" s="32">
        <v>0.28999999999999998</v>
      </c>
      <c r="BX105" s="32">
        <v>0.06</v>
      </c>
      <c r="BY105" s="32">
        <v>0.35</v>
      </c>
      <c r="BZ105" s="32">
        <v>0.36</v>
      </c>
      <c r="CA105" s="32">
        <v>0.03</v>
      </c>
      <c r="CB105" s="32">
        <v>-0.03</v>
      </c>
      <c r="CC105" s="32">
        <v>0.13</v>
      </c>
      <c r="CD105" s="32">
        <v>0.26</v>
      </c>
      <c r="CE105" s="32">
        <v>0.09</v>
      </c>
      <c r="CF105" s="32">
        <v>-0.12</v>
      </c>
      <c r="CG105" s="32">
        <v>0.24</v>
      </c>
      <c r="CH105" s="32">
        <v>0.28999999999999998</v>
      </c>
      <c r="CI105" s="32">
        <v>-0.13</v>
      </c>
      <c r="CJ105" s="32">
        <v>0.18</v>
      </c>
      <c r="CK105" s="32">
        <v>0.2</v>
      </c>
      <c r="CL105" s="32">
        <v>0.27</v>
      </c>
      <c r="CM105" s="32">
        <v>0.31</v>
      </c>
      <c r="CN105" s="32">
        <v>0.09</v>
      </c>
      <c r="CO105" s="32">
        <v>0.13</v>
      </c>
      <c r="CP105" s="32">
        <v>0.2</v>
      </c>
      <c r="CQ105" s="32">
        <v>0.37</v>
      </c>
      <c r="CR105" s="32">
        <v>0.34</v>
      </c>
      <c r="CS105" s="32">
        <v>0.31</v>
      </c>
      <c r="CT105" s="32">
        <v>0.32</v>
      </c>
      <c r="CU105" s="32">
        <v>0.21</v>
      </c>
      <c r="CV105" s="32">
        <v>0.27</v>
      </c>
      <c r="CW105" s="32">
        <v>0.53</v>
      </c>
      <c r="CX105" s="32">
        <v>1</v>
      </c>
      <c r="CY105" s="32">
        <v>0.3</v>
      </c>
      <c r="CZ105" s="32">
        <v>0.19</v>
      </c>
      <c r="DA105" s="32">
        <v>0.26</v>
      </c>
      <c r="DB105" s="32">
        <v>0.35</v>
      </c>
      <c r="DC105" s="32">
        <v>0.28999999999999998</v>
      </c>
      <c r="DD105" s="32">
        <v>0.39</v>
      </c>
      <c r="DE105" s="32">
        <v>0.32</v>
      </c>
      <c r="DF105" s="32">
        <v>7.0000000000000007E-2</v>
      </c>
      <c r="DG105" s="32">
        <v>0.33</v>
      </c>
      <c r="DH105" s="32">
        <v>0.17</v>
      </c>
      <c r="DI105" s="32">
        <v>0.33</v>
      </c>
      <c r="DJ105" s="32">
        <v>0.31</v>
      </c>
      <c r="DK105" s="32">
        <v>0.39</v>
      </c>
      <c r="DL105" s="32">
        <v>0.15</v>
      </c>
      <c r="DM105" s="32">
        <v>0.39</v>
      </c>
      <c r="DN105" s="32">
        <v>0.14000000000000001</v>
      </c>
      <c r="DO105" s="32">
        <v>0.18</v>
      </c>
      <c r="DP105" s="32">
        <v>0.28999999999999998</v>
      </c>
      <c r="DQ105" s="32">
        <v>0.21</v>
      </c>
      <c r="DR105" s="32">
        <v>0.26</v>
      </c>
      <c r="DS105" s="32">
        <v>0.2</v>
      </c>
      <c r="DT105" s="32">
        <v>0.2</v>
      </c>
      <c r="DU105" s="32">
        <v>0.49</v>
      </c>
      <c r="DV105" s="32">
        <v>0.23</v>
      </c>
      <c r="DW105" s="32">
        <v>0.33</v>
      </c>
      <c r="DX105" s="32">
        <v>0.24</v>
      </c>
      <c r="DY105" s="32">
        <v>0.41</v>
      </c>
      <c r="DZ105" s="32">
        <v>7.0000000000000007E-2</v>
      </c>
      <c r="EA105" s="32">
        <v>0.21</v>
      </c>
      <c r="EB105" s="32">
        <v>0.41</v>
      </c>
      <c r="EC105" s="32">
        <v>0.16</v>
      </c>
      <c r="ED105" s="32">
        <v>0.28000000000000003</v>
      </c>
      <c r="EE105" s="32">
        <v>0.32</v>
      </c>
      <c r="EF105" s="32">
        <v>0.23</v>
      </c>
      <c r="EG105" s="32">
        <v>0.21</v>
      </c>
      <c r="EH105" s="32">
        <v>0.22</v>
      </c>
      <c r="EI105" s="32">
        <v>0.23</v>
      </c>
      <c r="EJ105" s="32">
        <v>0.26</v>
      </c>
      <c r="EK105" s="32">
        <v>0.32</v>
      </c>
      <c r="EL105" s="32">
        <v>0.33</v>
      </c>
      <c r="EM105" s="32">
        <v>0.28999999999999998</v>
      </c>
      <c r="EN105" s="32">
        <v>0.18</v>
      </c>
      <c r="EO105" s="32">
        <v>0.13</v>
      </c>
    </row>
    <row r="106" spans="1:145" x14ac:dyDescent="0.25">
      <c r="A106" s="31" t="s">
        <v>185</v>
      </c>
      <c r="B106" s="32">
        <v>0.22</v>
      </c>
      <c r="C106" s="32">
        <v>-0.01</v>
      </c>
      <c r="D106" s="32">
        <v>0.02</v>
      </c>
      <c r="E106" s="32">
        <v>0.19</v>
      </c>
      <c r="F106" s="32">
        <v>0.14000000000000001</v>
      </c>
      <c r="G106" s="32">
        <v>0</v>
      </c>
      <c r="H106" s="32">
        <v>0.04</v>
      </c>
      <c r="I106" s="32">
        <v>0.24</v>
      </c>
      <c r="J106" s="32">
        <v>0.08</v>
      </c>
      <c r="K106" s="32">
        <v>0.28999999999999998</v>
      </c>
      <c r="L106" s="32">
        <v>0.09</v>
      </c>
      <c r="M106" s="32">
        <v>0.42</v>
      </c>
      <c r="N106" s="32">
        <v>0.25</v>
      </c>
      <c r="O106" s="32">
        <v>0.13</v>
      </c>
      <c r="P106" s="32">
        <v>0.06</v>
      </c>
      <c r="Q106" s="32">
        <v>0.01</v>
      </c>
      <c r="R106" s="32">
        <v>0.13</v>
      </c>
      <c r="S106" s="32">
        <v>0.04</v>
      </c>
      <c r="T106" s="32">
        <v>0.43</v>
      </c>
      <c r="U106" s="32">
        <v>0.1</v>
      </c>
      <c r="V106" s="32">
        <v>0.12</v>
      </c>
      <c r="W106" s="32">
        <v>0.05</v>
      </c>
      <c r="X106" s="32">
        <v>0.44</v>
      </c>
      <c r="Y106" s="32">
        <v>0.28000000000000003</v>
      </c>
      <c r="Z106" s="32">
        <v>0.12</v>
      </c>
      <c r="AA106" s="32">
        <v>0.12</v>
      </c>
      <c r="AB106" s="32">
        <v>0.33</v>
      </c>
      <c r="AC106" s="32">
        <v>0.08</v>
      </c>
      <c r="AD106" s="32">
        <v>0.09</v>
      </c>
      <c r="AE106" s="32">
        <v>0.27</v>
      </c>
      <c r="AF106" s="32">
        <v>7.0000000000000007E-2</v>
      </c>
      <c r="AG106" s="32">
        <v>0.09</v>
      </c>
      <c r="AH106" s="32">
        <v>0.05</v>
      </c>
      <c r="AI106" s="32">
        <v>-0.27</v>
      </c>
      <c r="AJ106" s="32">
        <v>0.05</v>
      </c>
      <c r="AK106" s="32">
        <v>0.23</v>
      </c>
      <c r="AL106" s="32">
        <v>0.28000000000000003</v>
      </c>
      <c r="AM106" s="32">
        <v>0.13</v>
      </c>
      <c r="AN106" s="32">
        <v>0.45</v>
      </c>
      <c r="AO106" s="32">
        <v>0.12</v>
      </c>
      <c r="AP106" s="32">
        <v>0.32</v>
      </c>
      <c r="AQ106" s="32">
        <v>-0.27</v>
      </c>
      <c r="AR106" s="32">
        <v>0.4</v>
      </c>
      <c r="AS106" s="32">
        <v>0.1</v>
      </c>
      <c r="AT106" s="32">
        <v>0.45</v>
      </c>
      <c r="AU106" s="32">
        <v>0.08</v>
      </c>
      <c r="AV106" s="32">
        <v>0.13</v>
      </c>
      <c r="AW106" s="32">
        <v>0.1</v>
      </c>
      <c r="AX106" s="32">
        <v>0.24</v>
      </c>
      <c r="AY106" s="32">
        <v>0.3</v>
      </c>
      <c r="AZ106" s="32">
        <v>0.31</v>
      </c>
      <c r="BA106" s="32">
        <v>0.39</v>
      </c>
      <c r="BB106" s="32">
        <v>0.53</v>
      </c>
      <c r="BC106" s="32">
        <v>0.09</v>
      </c>
      <c r="BD106" s="32">
        <v>0.16</v>
      </c>
      <c r="BE106" s="32">
        <v>0.21</v>
      </c>
      <c r="BF106" s="32">
        <v>0.17</v>
      </c>
      <c r="BG106" s="32">
        <v>0.24</v>
      </c>
      <c r="BH106" s="32">
        <v>0.1</v>
      </c>
      <c r="BI106" s="32">
        <v>0.02</v>
      </c>
      <c r="BJ106" s="32">
        <v>-0.04</v>
      </c>
      <c r="BK106" s="32">
        <v>0.21</v>
      </c>
      <c r="BL106" s="32">
        <v>0.34</v>
      </c>
      <c r="BM106" s="32">
        <v>0.28999999999999998</v>
      </c>
      <c r="BN106" s="32">
        <v>0.14000000000000001</v>
      </c>
      <c r="BO106" s="32">
        <v>0.35</v>
      </c>
      <c r="BP106" s="32">
        <v>0.01</v>
      </c>
      <c r="BQ106" s="32">
        <v>0.23</v>
      </c>
      <c r="BR106" s="32">
        <v>0.34</v>
      </c>
      <c r="BS106" s="32">
        <v>-0.26</v>
      </c>
      <c r="BT106" s="32">
        <v>0.49</v>
      </c>
      <c r="BU106" s="32">
        <v>0.14000000000000001</v>
      </c>
      <c r="BV106" s="32">
        <v>0.27</v>
      </c>
      <c r="BW106" s="32">
        <v>0.04</v>
      </c>
      <c r="BX106" s="32">
        <v>0.13</v>
      </c>
      <c r="BY106" s="32">
        <v>0.43</v>
      </c>
      <c r="BZ106" s="32">
        <v>0.35</v>
      </c>
      <c r="CA106" s="32">
        <v>0.08</v>
      </c>
      <c r="CB106" s="32">
        <v>-0.03</v>
      </c>
      <c r="CC106" s="32">
        <v>0.13</v>
      </c>
      <c r="CD106" s="32">
        <v>0.22</v>
      </c>
      <c r="CE106" s="32">
        <v>0.16</v>
      </c>
      <c r="CF106" s="32">
        <v>-0.3</v>
      </c>
      <c r="CG106" s="32">
        <v>0.35</v>
      </c>
      <c r="CH106" s="32">
        <v>0.32</v>
      </c>
      <c r="CI106" s="32">
        <v>-0.31</v>
      </c>
      <c r="CJ106" s="32">
        <v>0</v>
      </c>
      <c r="CK106" s="32">
        <v>0.3</v>
      </c>
      <c r="CL106" s="32">
        <v>0.35</v>
      </c>
      <c r="CM106" s="32">
        <v>0.2</v>
      </c>
      <c r="CN106" s="32">
        <v>7.0000000000000007E-2</v>
      </c>
      <c r="CO106" s="32">
        <v>0.14000000000000001</v>
      </c>
      <c r="CP106" s="32">
        <v>0.03</v>
      </c>
      <c r="CQ106" s="32">
        <v>0.77</v>
      </c>
      <c r="CR106" s="32">
        <v>0.33</v>
      </c>
      <c r="CS106" s="32">
        <v>0.39</v>
      </c>
      <c r="CT106" s="32">
        <v>0.27</v>
      </c>
      <c r="CU106" s="32">
        <v>0.15</v>
      </c>
      <c r="CV106" s="32">
        <v>0.32</v>
      </c>
      <c r="CW106" s="32">
        <v>0.2</v>
      </c>
      <c r="CX106" s="32">
        <v>0.3</v>
      </c>
      <c r="CY106" s="32">
        <v>1</v>
      </c>
      <c r="CZ106" s="32">
        <v>0.09</v>
      </c>
      <c r="DA106" s="32">
        <v>0.14000000000000001</v>
      </c>
      <c r="DB106" s="32">
        <v>0.24</v>
      </c>
      <c r="DC106" s="32">
        <v>0.45</v>
      </c>
      <c r="DD106" s="32">
        <v>0.28000000000000003</v>
      </c>
      <c r="DE106" s="32">
        <v>0.34</v>
      </c>
      <c r="DF106" s="32">
        <v>0.01</v>
      </c>
      <c r="DG106" s="32">
        <v>0.23</v>
      </c>
      <c r="DH106" s="32">
        <v>0.19</v>
      </c>
      <c r="DI106" s="32">
        <v>0.73</v>
      </c>
      <c r="DJ106" s="32">
        <v>0.67</v>
      </c>
      <c r="DK106" s="32">
        <v>0.74</v>
      </c>
      <c r="DL106" s="32">
        <v>0.1</v>
      </c>
      <c r="DM106" s="32">
        <v>0.7</v>
      </c>
      <c r="DN106" s="32">
        <v>0.22</v>
      </c>
      <c r="DO106" s="32">
        <v>0.27</v>
      </c>
      <c r="DP106" s="32">
        <v>0.64</v>
      </c>
      <c r="DQ106" s="32">
        <v>0.19</v>
      </c>
      <c r="DR106" s="32">
        <v>0.12</v>
      </c>
      <c r="DS106" s="32">
        <v>0.08</v>
      </c>
      <c r="DT106" s="32">
        <v>0.11</v>
      </c>
      <c r="DU106" s="32">
        <v>0.32</v>
      </c>
      <c r="DV106" s="32">
        <v>0.11</v>
      </c>
      <c r="DW106" s="32">
        <v>0.27</v>
      </c>
      <c r="DX106" s="32">
        <v>0.33</v>
      </c>
      <c r="DY106" s="32">
        <v>0.37</v>
      </c>
      <c r="DZ106" s="32">
        <v>0.04</v>
      </c>
      <c r="EA106" s="32">
        <v>0.23</v>
      </c>
      <c r="EB106" s="32">
        <v>0.37</v>
      </c>
      <c r="EC106" s="32">
        <v>7.0000000000000007E-2</v>
      </c>
      <c r="ED106" s="32">
        <v>0.23</v>
      </c>
      <c r="EE106" s="32">
        <v>0.27</v>
      </c>
      <c r="EF106" s="32">
        <v>0.25</v>
      </c>
      <c r="EG106" s="32">
        <v>0.27</v>
      </c>
      <c r="EH106" s="32">
        <v>0.15</v>
      </c>
      <c r="EI106" s="32">
        <v>0.23</v>
      </c>
      <c r="EJ106" s="32">
        <v>0.33</v>
      </c>
      <c r="EK106" s="32">
        <v>0.21</v>
      </c>
      <c r="EL106" s="32">
        <v>0.28000000000000003</v>
      </c>
      <c r="EM106" s="32">
        <v>0.11</v>
      </c>
      <c r="EN106" s="32">
        <v>0.13</v>
      </c>
      <c r="EO106" s="32">
        <v>0.13</v>
      </c>
    </row>
    <row r="107" spans="1:145" x14ac:dyDescent="0.25">
      <c r="A107" s="31" t="s">
        <v>186</v>
      </c>
      <c r="B107" s="32">
        <v>0.1</v>
      </c>
      <c r="C107" s="32">
        <v>-0.14000000000000001</v>
      </c>
      <c r="D107" s="32">
        <v>0.12</v>
      </c>
      <c r="E107" s="32">
        <v>0.05</v>
      </c>
      <c r="F107" s="32">
        <v>0.02</v>
      </c>
      <c r="G107" s="32">
        <v>-0.11</v>
      </c>
      <c r="H107" s="32">
        <v>0.11</v>
      </c>
      <c r="I107" s="32">
        <v>0.09</v>
      </c>
      <c r="J107" s="32">
        <v>0.04</v>
      </c>
      <c r="K107" s="32">
        <v>0.01</v>
      </c>
      <c r="L107" s="32">
        <v>0.14000000000000001</v>
      </c>
      <c r="M107" s="32">
        <v>0.11</v>
      </c>
      <c r="N107" s="32">
        <v>0.2</v>
      </c>
      <c r="O107" s="32">
        <v>-0.01</v>
      </c>
      <c r="P107" s="32">
        <v>0.13</v>
      </c>
      <c r="Q107" s="32">
        <v>0</v>
      </c>
      <c r="R107" s="32">
        <v>0.11</v>
      </c>
      <c r="S107" s="32">
        <v>0.11</v>
      </c>
      <c r="T107" s="32">
        <v>0.16</v>
      </c>
      <c r="U107" s="32">
        <v>0.17</v>
      </c>
      <c r="V107" s="32">
        <v>-0.03</v>
      </c>
      <c r="W107" s="32">
        <v>-0.04</v>
      </c>
      <c r="X107" s="32">
        <v>0.14000000000000001</v>
      </c>
      <c r="Y107" s="32">
        <v>0.25</v>
      </c>
      <c r="Z107" s="32">
        <v>0.04</v>
      </c>
      <c r="AA107" s="32">
        <v>0.09</v>
      </c>
      <c r="AB107" s="32">
        <v>0.23</v>
      </c>
      <c r="AC107" s="32">
        <v>-0.05</v>
      </c>
      <c r="AD107" s="32">
        <v>-0.05</v>
      </c>
      <c r="AE107" s="32">
        <v>0.03</v>
      </c>
      <c r="AF107" s="32">
        <v>0.09</v>
      </c>
      <c r="AG107" s="32">
        <v>0.06</v>
      </c>
      <c r="AH107" s="32">
        <v>0.08</v>
      </c>
      <c r="AI107" s="32">
        <v>0.1</v>
      </c>
      <c r="AJ107" s="32">
        <v>0.04</v>
      </c>
      <c r="AK107" s="32">
        <v>0.01</v>
      </c>
      <c r="AL107" s="32">
        <v>0.22</v>
      </c>
      <c r="AM107" s="32">
        <v>0.16</v>
      </c>
      <c r="AN107" s="32">
        <v>0.14000000000000001</v>
      </c>
      <c r="AO107" s="32">
        <v>0.03</v>
      </c>
      <c r="AP107" s="32">
        <v>0.15</v>
      </c>
      <c r="AQ107" s="32">
        <v>0.02</v>
      </c>
      <c r="AR107" s="32">
        <v>0.19</v>
      </c>
      <c r="AS107" s="32">
        <v>7.0000000000000007E-2</v>
      </c>
      <c r="AT107" s="32">
        <v>0.19</v>
      </c>
      <c r="AU107" s="32">
        <v>7.0000000000000007E-2</v>
      </c>
      <c r="AV107" s="32">
        <v>0.02</v>
      </c>
      <c r="AW107" s="32">
        <v>0.12</v>
      </c>
      <c r="AX107" s="32">
        <v>0.11</v>
      </c>
      <c r="AY107" s="32">
        <v>0.15</v>
      </c>
      <c r="AZ107" s="32">
        <v>0.12</v>
      </c>
      <c r="BA107" s="32">
        <v>0.05</v>
      </c>
      <c r="BB107" s="32">
        <v>0.18</v>
      </c>
      <c r="BC107" s="32">
        <v>0.12</v>
      </c>
      <c r="BD107" s="32">
        <v>0.15</v>
      </c>
      <c r="BE107" s="32">
        <v>0.12</v>
      </c>
      <c r="BF107" s="32">
        <v>7.0000000000000007E-2</v>
      </c>
      <c r="BG107" s="32">
        <v>0.16</v>
      </c>
      <c r="BH107" s="32">
        <v>0.03</v>
      </c>
      <c r="BI107" s="32">
        <v>0.08</v>
      </c>
      <c r="BJ107" s="32">
        <v>-0.02</v>
      </c>
      <c r="BK107" s="32">
        <v>0.05</v>
      </c>
      <c r="BL107" s="32">
        <v>0.09</v>
      </c>
      <c r="BM107" s="32">
        <v>0.15</v>
      </c>
      <c r="BN107" s="32">
        <v>-0.04</v>
      </c>
      <c r="BO107" s="32">
        <v>0.21</v>
      </c>
      <c r="BP107" s="32">
        <v>0.4</v>
      </c>
      <c r="BQ107" s="32">
        <v>7.0000000000000007E-2</v>
      </c>
      <c r="BR107" s="32">
        <v>0.19</v>
      </c>
      <c r="BS107" s="32">
        <v>0.08</v>
      </c>
      <c r="BT107" s="32">
        <v>0</v>
      </c>
      <c r="BU107" s="32">
        <v>0.16</v>
      </c>
      <c r="BV107" s="32">
        <v>0.28000000000000003</v>
      </c>
      <c r="BW107" s="32">
        <v>0.23</v>
      </c>
      <c r="BX107" s="32">
        <v>0.14000000000000001</v>
      </c>
      <c r="BY107" s="32">
        <v>0.16</v>
      </c>
      <c r="BZ107" s="32">
        <v>0.15</v>
      </c>
      <c r="CA107" s="32">
        <v>0.03</v>
      </c>
      <c r="CB107" s="32">
        <v>0.04</v>
      </c>
      <c r="CC107" s="32">
        <v>0.11</v>
      </c>
      <c r="CD107" s="32">
        <v>0.23</v>
      </c>
      <c r="CE107" s="32">
        <v>0.17</v>
      </c>
      <c r="CF107" s="32">
        <v>0.1</v>
      </c>
      <c r="CG107" s="32">
        <v>0.31</v>
      </c>
      <c r="CH107" s="32">
        <v>0.05</v>
      </c>
      <c r="CI107" s="32">
        <v>0.09</v>
      </c>
      <c r="CJ107" s="32">
        <v>0.14000000000000001</v>
      </c>
      <c r="CK107" s="32">
        <v>0.2</v>
      </c>
      <c r="CL107" s="32">
        <v>0.13</v>
      </c>
      <c r="CM107" s="32">
        <v>0.19</v>
      </c>
      <c r="CN107" s="32">
        <v>0.15</v>
      </c>
      <c r="CO107" s="32">
        <v>7.0000000000000007E-2</v>
      </c>
      <c r="CP107" s="32">
        <v>0.18</v>
      </c>
      <c r="CQ107" s="32">
        <v>0.17</v>
      </c>
      <c r="CR107" s="32">
        <v>0.09</v>
      </c>
      <c r="CS107" s="32">
        <v>0.01</v>
      </c>
      <c r="CT107" s="32">
        <v>0.25</v>
      </c>
      <c r="CU107" s="32">
        <v>0.15</v>
      </c>
      <c r="CV107" s="32">
        <v>0.17</v>
      </c>
      <c r="CW107" s="32">
        <v>0.33</v>
      </c>
      <c r="CX107" s="32">
        <v>0.19</v>
      </c>
      <c r="CY107" s="32">
        <v>0.09</v>
      </c>
      <c r="CZ107" s="32">
        <v>1</v>
      </c>
      <c r="DA107" s="32">
        <v>0.32</v>
      </c>
      <c r="DB107" s="32">
        <v>0.22</v>
      </c>
      <c r="DC107" s="32">
        <v>0.1</v>
      </c>
      <c r="DD107" s="32">
        <v>0.32</v>
      </c>
      <c r="DE107" s="32">
        <v>0.04</v>
      </c>
      <c r="DF107" s="32">
        <v>0.56999999999999995</v>
      </c>
      <c r="DG107" s="32">
        <v>0.06</v>
      </c>
      <c r="DH107" s="32">
        <v>0.18</v>
      </c>
      <c r="DI107" s="32">
        <v>0.15</v>
      </c>
      <c r="DJ107" s="32">
        <v>0.18</v>
      </c>
      <c r="DK107" s="32">
        <v>0.13</v>
      </c>
      <c r="DL107" s="32">
        <v>0.05</v>
      </c>
      <c r="DM107" s="32">
        <v>0.18</v>
      </c>
      <c r="DN107" s="32">
        <v>0.25</v>
      </c>
      <c r="DO107" s="32">
        <v>0.19</v>
      </c>
      <c r="DP107" s="32">
        <v>0.15</v>
      </c>
      <c r="DQ107" s="32">
        <v>0.16</v>
      </c>
      <c r="DR107" s="32">
        <v>0.11</v>
      </c>
      <c r="DS107" s="32">
        <v>0.32</v>
      </c>
      <c r="DT107" s="32">
        <v>0.31</v>
      </c>
      <c r="DU107" s="32">
        <v>0.24</v>
      </c>
      <c r="DV107" s="32">
        <v>0.34</v>
      </c>
      <c r="DW107" s="32">
        <v>0.34</v>
      </c>
      <c r="DX107" s="32">
        <v>0.03</v>
      </c>
      <c r="DY107" s="32">
        <v>0.25</v>
      </c>
      <c r="DZ107" s="32">
        <v>0.51</v>
      </c>
      <c r="EA107" s="32">
        <v>0.01</v>
      </c>
      <c r="EB107" s="32">
        <v>0.28999999999999998</v>
      </c>
      <c r="EC107" s="32">
        <v>-0.01</v>
      </c>
      <c r="ED107" s="32">
        <v>0.14000000000000001</v>
      </c>
      <c r="EE107" s="32">
        <v>0.05</v>
      </c>
      <c r="EF107" s="32">
        <v>0.05</v>
      </c>
      <c r="EG107" s="32">
        <v>7.0000000000000007E-2</v>
      </c>
      <c r="EH107" s="32">
        <v>0.28999999999999998</v>
      </c>
      <c r="EI107" s="32">
        <v>0</v>
      </c>
      <c r="EJ107" s="32">
        <v>0.2</v>
      </c>
      <c r="EK107" s="32">
        <v>0.13</v>
      </c>
      <c r="EL107" s="32">
        <v>7.0000000000000007E-2</v>
      </c>
      <c r="EM107" s="32">
        <v>0.15</v>
      </c>
      <c r="EN107" s="32">
        <v>0.1</v>
      </c>
      <c r="EO107" s="32">
        <v>0.08</v>
      </c>
    </row>
    <row r="108" spans="1:145" x14ac:dyDescent="0.25">
      <c r="A108" s="31" t="s">
        <v>187</v>
      </c>
      <c r="B108" s="32">
        <v>0.12</v>
      </c>
      <c r="C108" s="32">
        <v>-0.01</v>
      </c>
      <c r="D108" s="32">
        <v>0.17</v>
      </c>
      <c r="E108" s="32">
        <v>-0.03</v>
      </c>
      <c r="F108" s="32">
        <v>0.06</v>
      </c>
      <c r="G108" s="32">
        <v>-0.09</v>
      </c>
      <c r="H108" s="32">
        <v>0.05</v>
      </c>
      <c r="I108" s="32">
        <v>0.12</v>
      </c>
      <c r="J108" s="32">
        <v>0.01</v>
      </c>
      <c r="K108" s="32">
        <v>0.13</v>
      </c>
      <c r="L108" s="32">
        <v>0.11</v>
      </c>
      <c r="M108" s="32">
        <v>0.16</v>
      </c>
      <c r="N108" s="32">
        <v>0.36</v>
      </c>
      <c r="O108" s="32">
        <v>-0.14000000000000001</v>
      </c>
      <c r="P108" s="32">
        <v>0.11</v>
      </c>
      <c r="Q108" s="32">
        <v>0</v>
      </c>
      <c r="R108" s="32">
        <v>0.03</v>
      </c>
      <c r="S108" s="32">
        <v>0.1</v>
      </c>
      <c r="T108" s="32">
        <v>0.14000000000000001</v>
      </c>
      <c r="U108" s="32">
        <v>0.02</v>
      </c>
      <c r="V108" s="32">
        <v>0</v>
      </c>
      <c r="W108" s="32">
        <v>-0.12</v>
      </c>
      <c r="X108" s="32">
        <v>0.14000000000000001</v>
      </c>
      <c r="Y108" s="32">
        <v>0.33</v>
      </c>
      <c r="Z108" s="32">
        <v>0</v>
      </c>
      <c r="AA108" s="32">
        <v>-0.05</v>
      </c>
      <c r="AB108" s="32">
        <v>0.31</v>
      </c>
      <c r="AC108" s="32">
        <v>-0.1</v>
      </c>
      <c r="AD108" s="32">
        <v>-0.02</v>
      </c>
      <c r="AE108" s="32">
        <v>0.01</v>
      </c>
      <c r="AF108" s="32">
        <v>-0.13</v>
      </c>
      <c r="AG108" s="32">
        <v>0.09</v>
      </c>
      <c r="AH108" s="32">
        <v>0.05</v>
      </c>
      <c r="AI108" s="32">
        <v>0.01</v>
      </c>
      <c r="AJ108" s="32">
        <v>0.01</v>
      </c>
      <c r="AK108" s="32">
        <v>-0.1</v>
      </c>
      <c r="AL108" s="32">
        <v>0.27</v>
      </c>
      <c r="AM108" s="32">
        <v>0.1</v>
      </c>
      <c r="AN108" s="32">
        <v>0.21</v>
      </c>
      <c r="AO108" s="32">
        <v>0.18</v>
      </c>
      <c r="AP108" s="32">
        <v>0.3</v>
      </c>
      <c r="AQ108" s="32">
        <v>-0.06</v>
      </c>
      <c r="AR108" s="32">
        <v>0.16</v>
      </c>
      <c r="AS108" s="32">
        <v>0.06</v>
      </c>
      <c r="AT108" s="32">
        <v>0.28999999999999998</v>
      </c>
      <c r="AU108" s="32">
        <v>-0.01</v>
      </c>
      <c r="AV108" s="32">
        <v>0.03</v>
      </c>
      <c r="AW108" s="32">
        <v>0.03</v>
      </c>
      <c r="AX108" s="32">
        <v>0.2</v>
      </c>
      <c r="AY108" s="32">
        <v>0.17</v>
      </c>
      <c r="AZ108" s="32">
        <v>0.09</v>
      </c>
      <c r="BA108" s="32">
        <v>0.06</v>
      </c>
      <c r="BB108" s="32">
        <v>0.16</v>
      </c>
      <c r="BC108" s="32">
        <v>0.03</v>
      </c>
      <c r="BD108" s="32">
        <v>0.08</v>
      </c>
      <c r="BE108" s="32">
        <v>0.13</v>
      </c>
      <c r="BF108" s="32">
        <v>0.09</v>
      </c>
      <c r="BG108" s="32">
        <v>0.35</v>
      </c>
      <c r="BH108" s="32">
        <v>0.12</v>
      </c>
      <c r="BI108" s="32">
        <v>0</v>
      </c>
      <c r="BJ108" s="32">
        <v>-0.1</v>
      </c>
      <c r="BK108" s="32">
        <v>0</v>
      </c>
      <c r="BL108" s="32">
        <v>0.09</v>
      </c>
      <c r="BM108" s="32">
        <v>0.22</v>
      </c>
      <c r="BN108" s="32">
        <v>7.0000000000000007E-2</v>
      </c>
      <c r="BO108" s="32">
        <v>0.18</v>
      </c>
      <c r="BP108" s="32">
        <v>0.32</v>
      </c>
      <c r="BQ108" s="32">
        <v>0.09</v>
      </c>
      <c r="BR108" s="32">
        <v>0.16</v>
      </c>
      <c r="BS108" s="32">
        <v>0.01</v>
      </c>
      <c r="BT108" s="32">
        <v>0.13</v>
      </c>
      <c r="BU108" s="32">
        <v>-0.02</v>
      </c>
      <c r="BV108" s="32">
        <v>0.27</v>
      </c>
      <c r="BW108" s="32">
        <v>0.12</v>
      </c>
      <c r="BX108" s="32">
        <v>0.16</v>
      </c>
      <c r="BY108" s="32">
        <v>0.18</v>
      </c>
      <c r="BZ108" s="32">
        <v>0.22</v>
      </c>
      <c r="CA108" s="32">
        <v>0.06</v>
      </c>
      <c r="CB108" s="32">
        <v>-0.02</v>
      </c>
      <c r="CC108" s="32">
        <v>0.14000000000000001</v>
      </c>
      <c r="CD108" s="32">
        <v>0.32</v>
      </c>
      <c r="CE108" s="32">
        <v>0.02</v>
      </c>
      <c r="CF108" s="32">
        <v>-0.03</v>
      </c>
      <c r="CG108" s="32">
        <v>0.37</v>
      </c>
      <c r="CH108" s="32">
        <v>-0.04</v>
      </c>
      <c r="CI108" s="32">
        <v>-0.01</v>
      </c>
      <c r="CJ108" s="32">
        <v>0.28000000000000003</v>
      </c>
      <c r="CK108" s="32">
        <v>0.23</v>
      </c>
      <c r="CL108" s="32">
        <v>0.18</v>
      </c>
      <c r="CM108" s="32">
        <v>0.24</v>
      </c>
      <c r="CN108" s="32">
        <v>-0.02</v>
      </c>
      <c r="CO108" s="32">
        <v>0.17</v>
      </c>
      <c r="CP108" s="32">
        <v>0.19</v>
      </c>
      <c r="CQ108" s="32">
        <v>0.18</v>
      </c>
      <c r="CR108" s="32">
        <v>0.14000000000000001</v>
      </c>
      <c r="CS108" s="32">
        <v>0</v>
      </c>
      <c r="CT108" s="32">
        <v>0.32</v>
      </c>
      <c r="CU108" s="32">
        <v>0.2</v>
      </c>
      <c r="CV108" s="32">
        <v>0.22</v>
      </c>
      <c r="CW108" s="32">
        <v>0.28000000000000003</v>
      </c>
      <c r="CX108" s="32">
        <v>0.26</v>
      </c>
      <c r="CY108" s="32">
        <v>0.14000000000000001</v>
      </c>
      <c r="CZ108" s="32">
        <v>0.32</v>
      </c>
      <c r="DA108" s="32">
        <v>1</v>
      </c>
      <c r="DB108" s="32">
        <v>0.18</v>
      </c>
      <c r="DC108" s="32">
        <v>0.06</v>
      </c>
      <c r="DD108" s="32">
        <v>0.44</v>
      </c>
      <c r="DE108" s="32">
        <v>0.04</v>
      </c>
      <c r="DF108" s="32">
        <v>0.31</v>
      </c>
      <c r="DG108" s="32">
        <v>0.12</v>
      </c>
      <c r="DH108" s="32">
        <v>0.11</v>
      </c>
      <c r="DI108" s="32">
        <v>0.14000000000000001</v>
      </c>
      <c r="DJ108" s="32">
        <v>0.23</v>
      </c>
      <c r="DK108" s="32">
        <v>0.16</v>
      </c>
      <c r="DL108" s="32">
        <v>0.01</v>
      </c>
      <c r="DM108" s="32">
        <v>0.22</v>
      </c>
      <c r="DN108" s="32">
        <v>0.35</v>
      </c>
      <c r="DO108" s="32">
        <v>0.14000000000000001</v>
      </c>
      <c r="DP108" s="32">
        <v>0.24</v>
      </c>
      <c r="DQ108" s="32">
        <v>0.09</v>
      </c>
      <c r="DR108" s="32">
        <v>0.05</v>
      </c>
      <c r="DS108" s="32">
        <v>0.2</v>
      </c>
      <c r="DT108" s="32">
        <v>0.2</v>
      </c>
      <c r="DU108" s="32">
        <v>0.31</v>
      </c>
      <c r="DV108" s="32">
        <v>0.18</v>
      </c>
      <c r="DW108" s="32">
        <v>0.41</v>
      </c>
      <c r="DX108" s="32">
        <v>0.03</v>
      </c>
      <c r="DY108" s="32">
        <v>0.33</v>
      </c>
      <c r="DZ108" s="32">
        <v>0.22</v>
      </c>
      <c r="EA108" s="32">
        <v>0.13</v>
      </c>
      <c r="EB108" s="32">
        <v>0.31</v>
      </c>
      <c r="EC108" s="32">
        <v>-0.02</v>
      </c>
      <c r="ED108" s="32">
        <v>0.21</v>
      </c>
      <c r="EE108" s="32">
        <v>0.09</v>
      </c>
      <c r="EF108" s="32">
        <v>0.1</v>
      </c>
      <c r="EG108" s="32">
        <v>0</v>
      </c>
      <c r="EH108" s="32">
        <v>0.38</v>
      </c>
      <c r="EI108" s="32">
        <v>-0.01</v>
      </c>
      <c r="EJ108" s="32">
        <v>0.32</v>
      </c>
      <c r="EK108" s="32">
        <v>0.24</v>
      </c>
      <c r="EL108" s="32">
        <v>0.14000000000000001</v>
      </c>
      <c r="EM108" s="32">
        <v>0.11</v>
      </c>
      <c r="EN108" s="32">
        <v>0.12</v>
      </c>
      <c r="EO108" s="32">
        <v>0.12</v>
      </c>
    </row>
    <row r="109" spans="1:145" x14ac:dyDescent="0.25">
      <c r="A109" s="31" t="s">
        <v>188</v>
      </c>
      <c r="B109" s="32">
        <v>0</v>
      </c>
      <c r="C109" s="32">
        <v>0.05</v>
      </c>
      <c r="D109" s="32">
        <v>0.09</v>
      </c>
      <c r="E109" s="32">
        <v>0.19</v>
      </c>
      <c r="F109" s="32">
        <v>-0.08</v>
      </c>
      <c r="G109" s="32">
        <v>0.08</v>
      </c>
      <c r="H109" s="32">
        <v>0.12</v>
      </c>
      <c r="I109" s="32">
        <v>-0.03</v>
      </c>
      <c r="J109" s="32">
        <v>-0.09</v>
      </c>
      <c r="K109" s="32">
        <v>-0.02</v>
      </c>
      <c r="L109" s="32">
        <v>0.13</v>
      </c>
      <c r="M109" s="32">
        <v>0.3</v>
      </c>
      <c r="N109" s="32">
        <v>0.13</v>
      </c>
      <c r="O109" s="32">
        <v>0.12</v>
      </c>
      <c r="P109" s="32">
        <v>-7.0000000000000007E-2</v>
      </c>
      <c r="Q109" s="32">
        <v>7.0000000000000007E-2</v>
      </c>
      <c r="R109" s="32">
        <v>-0.04</v>
      </c>
      <c r="S109" s="32">
        <v>0.03</v>
      </c>
      <c r="T109" s="32">
        <v>0.19</v>
      </c>
      <c r="U109" s="32">
        <v>0.27</v>
      </c>
      <c r="V109" s="32">
        <v>0.13</v>
      </c>
      <c r="W109" s="32">
        <v>0.16</v>
      </c>
      <c r="X109" s="32">
        <v>0.18</v>
      </c>
      <c r="Y109" s="32">
        <v>0.03</v>
      </c>
      <c r="Z109" s="32">
        <v>0.14000000000000001</v>
      </c>
      <c r="AA109" s="32">
        <v>0.06</v>
      </c>
      <c r="AB109" s="32">
        <v>0.02</v>
      </c>
      <c r="AC109" s="32">
        <v>0.15</v>
      </c>
      <c r="AD109" s="32">
        <v>0.12</v>
      </c>
      <c r="AE109" s="32">
        <v>0.13</v>
      </c>
      <c r="AF109" s="32">
        <v>0.26</v>
      </c>
      <c r="AG109" s="32">
        <v>-0.08</v>
      </c>
      <c r="AH109" s="32">
        <v>-0.02</v>
      </c>
      <c r="AI109" s="32">
        <v>-0.08</v>
      </c>
      <c r="AJ109" s="32">
        <v>0.1</v>
      </c>
      <c r="AK109" s="32">
        <v>0.18</v>
      </c>
      <c r="AL109" s="32">
        <v>0.21</v>
      </c>
      <c r="AM109" s="32">
        <v>0.16</v>
      </c>
      <c r="AN109" s="32">
        <v>0.18</v>
      </c>
      <c r="AO109" s="32">
        <v>-0.04</v>
      </c>
      <c r="AP109" s="32">
        <v>0.19</v>
      </c>
      <c r="AQ109" s="32">
        <v>-0.12</v>
      </c>
      <c r="AR109" s="32">
        <v>0.13</v>
      </c>
      <c r="AS109" s="32">
        <v>0.2</v>
      </c>
      <c r="AT109" s="32">
        <v>0.3</v>
      </c>
      <c r="AU109" s="32">
        <v>-0.02</v>
      </c>
      <c r="AV109" s="32">
        <v>0.23</v>
      </c>
      <c r="AW109" s="32">
        <v>0.25</v>
      </c>
      <c r="AX109" s="32">
        <v>0.09</v>
      </c>
      <c r="AY109" s="32">
        <v>0.1</v>
      </c>
      <c r="AZ109" s="32">
        <v>0.18</v>
      </c>
      <c r="BA109" s="32">
        <v>0.16</v>
      </c>
      <c r="BB109" s="32">
        <v>0.36</v>
      </c>
      <c r="BC109" s="32">
        <v>0.16</v>
      </c>
      <c r="BD109" s="32">
        <v>0.16</v>
      </c>
      <c r="BE109" s="32">
        <v>0.03</v>
      </c>
      <c r="BF109" s="32">
        <v>0.23</v>
      </c>
      <c r="BG109" s="32">
        <v>0.05</v>
      </c>
      <c r="BH109" s="32">
        <v>0.27</v>
      </c>
      <c r="BI109" s="32">
        <v>0.15</v>
      </c>
      <c r="BJ109" s="32">
        <v>0.04</v>
      </c>
      <c r="BK109" s="32">
        <v>0.19</v>
      </c>
      <c r="BL109" s="32">
        <v>0.26</v>
      </c>
      <c r="BM109" s="32">
        <v>7.0000000000000007E-2</v>
      </c>
      <c r="BN109" s="32">
        <v>0.05</v>
      </c>
      <c r="BO109" s="32">
        <v>0.42</v>
      </c>
      <c r="BP109" s="32">
        <v>0.25</v>
      </c>
      <c r="BQ109" s="32">
        <v>0.33</v>
      </c>
      <c r="BR109" s="32">
        <v>0.15</v>
      </c>
      <c r="BS109" s="32">
        <v>-0.05</v>
      </c>
      <c r="BT109" s="32">
        <v>0.24</v>
      </c>
      <c r="BU109" s="32">
        <v>0.12</v>
      </c>
      <c r="BV109" s="32">
        <v>0.38</v>
      </c>
      <c r="BW109" s="32">
        <v>0.17</v>
      </c>
      <c r="BX109" s="32">
        <v>0.06</v>
      </c>
      <c r="BY109" s="32">
        <v>0.26</v>
      </c>
      <c r="BZ109" s="32">
        <v>0.28999999999999998</v>
      </c>
      <c r="CA109" s="32">
        <v>0.17</v>
      </c>
      <c r="CB109" s="32">
        <v>-0.01</v>
      </c>
      <c r="CC109" s="32">
        <v>0.12</v>
      </c>
      <c r="CD109" s="32">
        <v>0.17</v>
      </c>
      <c r="CE109" s="32">
        <v>0.24</v>
      </c>
      <c r="CF109" s="32">
        <v>-0.11</v>
      </c>
      <c r="CG109" s="32">
        <v>0.23</v>
      </c>
      <c r="CH109" s="32">
        <v>0.36</v>
      </c>
      <c r="CI109" s="32">
        <v>-0.13</v>
      </c>
      <c r="CJ109" s="32">
        <v>7.0000000000000007E-2</v>
      </c>
      <c r="CK109" s="32">
        <v>0.16</v>
      </c>
      <c r="CL109" s="32">
        <v>0.27</v>
      </c>
      <c r="CM109" s="32">
        <v>0.45</v>
      </c>
      <c r="CN109" s="32">
        <v>0.12</v>
      </c>
      <c r="CO109" s="32">
        <v>0.22</v>
      </c>
      <c r="CP109" s="32">
        <v>0.2</v>
      </c>
      <c r="CQ109" s="32">
        <v>0.33</v>
      </c>
      <c r="CR109" s="32">
        <v>0.47</v>
      </c>
      <c r="CS109" s="32">
        <v>0.37</v>
      </c>
      <c r="CT109" s="32">
        <v>0.36</v>
      </c>
      <c r="CU109" s="32">
        <v>0.25</v>
      </c>
      <c r="CV109" s="32">
        <v>0.36</v>
      </c>
      <c r="CW109" s="32">
        <v>0.21</v>
      </c>
      <c r="CX109" s="32">
        <v>0.35</v>
      </c>
      <c r="CY109" s="32">
        <v>0.24</v>
      </c>
      <c r="CZ109" s="32">
        <v>0.22</v>
      </c>
      <c r="DA109" s="32">
        <v>0.18</v>
      </c>
      <c r="DB109" s="32">
        <v>1</v>
      </c>
      <c r="DC109" s="32">
        <v>0.28000000000000003</v>
      </c>
      <c r="DD109" s="32">
        <v>0.35</v>
      </c>
      <c r="DE109" s="32">
        <v>0.4</v>
      </c>
      <c r="DF109" s="32">
        <v>0.13</v>
      </c>
      <c r="DG109" s="32">
        <v>0.32</v>
      </c>
      <c r="DH109" s="32">
        <v>0.38</v>
      </c>
      <c r="DI109" s="32">
        <v>0.37</v>
      </c>
      <c r="DJ109" s="32">
        <v>0.17</v>
      </c>
      <c r="DK109" s="32">
        <v>0.34</v>
      </c>
      <c r="DL109" s="32">
        <v>0.22</v>
      </c>
      <c r="DM109" s="32">
        <v>0.27</v>
      </c>
      <c r="DN109" s="32">
        <v>0.1</v>
      </c>
      <c r="DO109" s="32">
        <v>0.45</v>
      </c>
      <c r="DP109" s="32">
        <v>0.25</v>
      </c>
      <c r="DQ109" s="32">
        <v>0.36</v>
      </c>
      <c r="DR109" s="32">
        <v>0.34</v>
      </c>
      <c r="DS109" s="32">
        <v>0.11</v>
      </c>
      <c r="DT109" s="32">
        <v>0.39</v>
      </c>
      <c r="DU109" s="32">
        <v>0.49</v>
      </c>
      <c r="DV109" s="32">
        <v>0.38</v>
      </c>
      <c r="DW109" s="32">
        <v>0.28999999999999998</v>
      </c>
      <c r="DX109" s="32">
        <v>0.4</v>
      </c>
      <c r="DY109" s="32">
        <v>0.41</v>
      </c>
      <c r="DZ109" s="32">
        <v>0.22</v>
      </c>
      <c r="EA109" s="32">
        <v>0.23</v>
      </c>
      <c r="EB109" s="32">
        <v>0.41</v>
      </c>
      <c r="EC109" s="32">
        <v>7.0000000000000007E-2</v>
      </c>
      <c r="ED109" s="32">
        <v>0.42</v>
      </c>
      <c r="EE109" s="32">
        <v>0.46</v>
      </c>
      <c r="EF109" s="32">
        <v>0.15</v>
      </c>
      <c r="EG109" s="32">
        <v>0.38</v>
      </c>
      <c r="EH109" s="32">
        <v>0.13</v>
      </c>
      <c r="EI109" s="32">
        <v>0.34</v>
      </c>
      <c r="EJ109" s="32">
        <v>0.32</v>
      </c>
      <c r="EK109" s="32">
        <v>0.39</v>
      </c>
      <c r="EL109" s="32">
        <v>0.35</v>
      </c>
      <c r="EM109" s="32">
        <v>0.14000000000000001</v>
      </c>
      <c r="EN109" s="32">
        <v>0.2</v>
      </c>
      <c r="EO109" s="32">
        <v>0.17</v>
      </c>
    </row>
    <row r="110" spans="1:145" x14ac:dyDescent="0.25">
      <c r="A110" s="31" t="s">
        <v>189</v>
      </c>
      <c r="B110" s="32">
        <v>-0.02</v>
      </c>
      <c r="C110" s="32">
        <v>0.04</v>
      </c>
      <c r="D110" s="32">
        <v>0.18</v>
      </c>
      <c r="E110" s="32">
        <v>0.17</v>
      </c>
      <c r="F110" s="32">
        <v>-0.09</v>
      </c>
      <c r="G110" s="32">
        <v>0.1</v>
      </c>
      <c r="H110" s="32">
        <v>0.16</v>
      </c>
      <c r="I110" s="32">
        <v>0.03</v>
      </c>
      <c r="J110" s="32">
        <v>-0.06</v>
      </c>
      <c r="K110" s="32">
        <v>0.13</v>
      </c>
      <c r="L110" s="32">
        <v>0.15</v>
      </c>
      <c r="M110" s="32">
        <v>0.32</v>
      </c>
      <c r="N110" s="32">
        <v>0.11</v>
      </c>
      <c r="O110" s="32">
        <v>0.21</v>
      </c>
      <c r="P110" s="32">
        <v>-0.1</v>
      </c>
      <c r="Q110" s="32">
        <v>0.09</v>
      </c>
      <c r="R110" s="32">
        <v>-0.03</v>
      </c>
      <c r="S110" s="32">
        <v>0.09</v>
      </c>
      <c r="T110" s="32">
        <v>0.32</v>
      </c>
      <c r="U110" s="32">
        <v>0.2</v>
      </c>
      <c r="V110" s="32">
        <v>0.22</v>
      </c>
      <c r="W110" s="32">
        <v>0.14000000000000001</v>
      </c>
      <c r="X110" s="32">
        <v>0.26</v>
      </c>
      <c r="Y110" s="32">
        <v>0.05</v>
      </c>
      <c r="Z110" s="32">
        <v>0.23</v>
      </c>
      <c r="AA110" s="32">
        <v>0.28000000000000003</v>
      </c>
      <c r="AB110" s="32">
        <v>0.06</v>
      </c>
      <c r="AC110" s="32">
        <v>0.12</v>
      </c>
      <c r="AD110" s="32">
        <v>0.05</v>
      </c>
      <c r="AE110" s="32">
        <v>0.42</v>
      </c>
      <c r="AF110" s="32">
        <v>0.28000000000000003</v>
      </c>
      <c r="AG110" s="32">
        <v>-0.12</v>
      </c>
      <c r="AH110" s="32">
        <v>-0.1</v>
      </c>
      <c r="AI110" s="32">
        <v>-0.36</v>
      </c>
      <c r="AJ110" s="32">
        <v>0.28000000000000003</v>
      </c>
      <c r="AK110" s="32">
        <v>0.34</v>
      </c>
      <c r="AL110" s="32">
        <v>0.09</v>
      </c>
      <c r="AM110" s="32">
        <v>0.33</v>
      </c>
      <c r="AN110" s="32">
        <v>0.3</v>
      </c>
      <c r="AO110" s="32">
        <v>0</v>
      </c>
      <c r="AP110" s="32">
        <v>0.18</v>
      </c>
      <c r="AQ110" s="32">
        <v>-0.36</v>
      </c>
      <c r="AR110" s="32">
        <v>0.24</v>
      </c>
      <c r="AS110" s="32">
        <v>0.27</v>
      </c>
      <c r="AT110" s="32">
        <v>0.28000000000000003</v>
      </c>
      <c r="AU110" s="32">
        <v>-0.01</v>
      </c>
      <c r="AV110" s="32">
        <v>0.21</v>
      </c>
      <c r="AW110" s="32">
        <v>0.2</v>
      </c>
      <c r="AX110" s="32">
        <v>0.11</v>
      </c>
      <c r="AY110" s="32">
        <v>0.12</v>
      </c>
      <c r="AZ110" s="32">
        <v>0.41</v>
      </c>
      <c r="BA110" s="32">
        <v>0.23</v>
      </c>
      <c r="BB110" s="32">
        <v>0.4</v>
      </c>
      <c r="BC110" s="32">
        <v>0.13</v>
      </c>
      <c r="BD110" s="32">
        <v>0.37</v>
      </c>
      <c r="BE110" s="32">
        <v>0.08</v>
      </c>
      <c r="BF110" s="32">
        <v>0.27</v>
      </c>
      <c r="BG110" s="32">
        <v>0.14000000000000001</v>
      </c>
      <c r="BH110" s="32">
        <v>0.21</v>
      </c>
      <c r="BI110" s="32">
        <v>0.16</v>
      </c>
      <c r="BJ110" s="32">
        <v>0.12</v>
      </c>
      <c r="BK110" s="32">
        <v>0.35</v>
      </c>
      <c r="BL110" s="32">
        <v>0.23</v>
      </c>
      <c r="BM110" s="32">
        <v>0.12</v>
      </c>
      <c r="BN110" s="32">
        <v>-0.04</v>
      </c>
      <c r="BO110" s="32">
        <v>0.19</v>
      </c>
      <c r="BP110" s="32">
        <v>0.05</v>
      </c>
      <c r="BQ110" s="32">
        <v>0.32</v>
      </c>
      <c r="BR110" s="32">
        <v>0.27</v>
      </c>
      <c r="BS110" s="32">
        <v>-0.28999999999999998</v>
      </c>
      <c r="BT110" s="32">
        <v>0.31</v>
      </c>
      <c r="BU110" s="32">
        <v>0.23</v>
      </c>
      <c r="BV110" s="32">
        <v>0.18</v>
      </c>
      <c r="BW110" s="32">
        <v>0.15</v>
      </c>
      <c r="BX110" s="32">
        <v>0.08</v>
      </c>
      <c r="BY110" s="32">
        <v>0.25</v>
      </c>
      <c r="BZ110" s="32">
        <v>0.31</v>
      </c>
      <c r="CA110" s="32">
        <v>0.24</v>
      </c>
      <c r="CB110" s="32">
        <v>-0.06</v>
      </c>
      <c r="CC110" s="32">
        <v>0.02</v>
      </c>
      <c r="CD110" s="32">
        <v>0.09</v>
      </c>
      <c r="CE110" s="32">
        <v>7.0000000000000007E-2</v>
      </c>
      <c r="CF110" s="32">
        <v>-0.32</v>
      </c>
      <c r="CG110" s="32">
        <v>0.23</v>
      </c>
      <c r="CH110" s="32">
        <v>0.31</v>
      </c>
      <c r="CI110" s="32">
        <v>-0.34</v>
      </c>
      <c r="CJ110" s="32">
        <v>-0.13</v>
      </c>
      <c r="CK110" s="32">
        <v>0.1</v>
      </c>
      <c r="CL110" s="32">
        <v>0.2</v>
      </c>
      <c r="CM110" s="32">
        <v>0.08</v>
      </c>
      <c r="CN110" s="32">
        <v>0.23</v>
      </c>
      <c r="CO110" s="32">
        <v>0.11</v>
      </c>
      <c r="CP110" s="32">
        <v>7.0000000000000007E-2</v>
      </c>
      <c r="CQ110" s="32">
        <v>0.42</v>
      </c>
      <c r="CR110" s="32">
        <v>0.28000000000000003</v>
      </c>
      <c r="CS110" s="32">
        <v>0.28000000000000003</v>
      </c>
      <c r="CT110" s="32">
        <v>0.19</v>
      </c>
      <c r="CU110" s="32">
        <v>0.15</v>
      </c>
      <c r="CV110" s="32">
        <v>0.2</v>
      </c>
      <c r="CW110" s="32">
        <v>0.21</v>
      </c>
      <c r="CX110" s="32">
        <v>0.28999999999999998</v>
      </c>
      <c r="CY110" s="32">
        <v>0.45</v>
      </c>
      <c r="CZ110" s="32">
        <v>0.1</v>
      </c>
      <c r="DA110" s="32">
        <v>0.06</v>
      </c>
      <c r="DB110" s="32">
        <v>0.28000000000000003</v>
      </c>
      <c r="DC110" s="32">
        <v>1</v>
      </c>
      <c r="DD110" s="32">
        <v>0.23</v>
      </c>
      <c r="DE110" s="32">
        <v>0.33</v>
      </c>
      <c r="DF110" s="32">
        <v>-0.09</v>
      </c>
      <c r="DG110" s="32">
        <v>0.23</v>
      </c>
      <c r="DH110" s="32">
        <v>0.16</v>
      </c>
      <c r="DI110" s="32">
        <v>0.42</v>
      </c>
      <c r="DJ110" s="32">
        <v>0.41</v>
      </c>
      <c r="DK110" s="32">
        <v>0.47</v>
      </c>
      <c r="DL110" s="32">
        <v>0.31</v>
      </c>
      <c r="DM110" s="32">
        <v>0.51</v>
      </c>
      <c r="DN110" s="32">
        <v>0.15</v>
      </c>
      <c r="DO110" s="32">
        <v>0.28000000000000003</v>
      </c>
      <c r="DP110" s="32">
        <v>0.42</v>
      </c>
      <c r="DQ110" s="32">
        <v>0.28000000000000003</v>
      </c>
      <c r="DR110" s="32">
        <v>0.14000000000000001</v>
      </c>
      <c r="DS110" s="32">
        <v>0.03</v>
      </c>
      <c r="DT110" s="32">
        <v>0.19</v>
      </c>
      <c r="DU110" s="32">
        <v>0.25</v>
      </c>
      <c r="DV110" s="32">
        <v>0.01</v>
      </c>
      <c r="DW110" s="32">
        <v>0.18</v>
      </c>
      <c r="DX110" s="32">
        <v>0.28000000000000003</v>
      </c>
      <c r="DY110" s="32">
        <v>0.28999999999999998</v>
      </c>
      <c r="DZ110" s="32">
        <v>0.04</v>
      </c>
      <c r="EA110" s="32">
        <v>0.2</v>
      </c>
      <c r="EB110" s="32">
        <v>0.26</v>
      </c>
      <c r="EC110" s="32">
        <v>0.02</v>
      </c>
      <c r="ED110" s="32">
        <v>0.32</v>
      </c>
      <c r="EE110" s="32">
        <v>0.25</v>
      </c>
      <c r="EF110" s="32">
        <v>0.14000000000000001</v>
      </c>
      <c r="EG110" s="32">
        <v>0.27</v>
      </c>
      <c r="EH110" s="32">
        <v>0</v>
      </c>
      <c r="EI110" s="32">
        <v>0.26</v>
      </c>
      <c r="EJ110" s="32">
        <v>0.26</v>
      </c>
      <c r="EK110" s="32">
        <v>0.18</v>
      </c>
      <c r="EL110" s="32">
        <v>0.3</v>
      </c>
      <c r="EM110" s="32">
        <v>7.0000000000000007E-2</v>
      </c>
      <c r="EN110" s="32">
        <v>0.1</v>
      </c>
      <c r="EO110" s="32">
        <v>0.1</v>
      </c>
    </row>
    <row r="111" spans="1:145" x14ac:dyDescent="0.25">
      <c r="A111" s="31" t="s">
        <v>190</v>
      </c>
      <c r="B111" s="32">
        <v>0.14000000000000001</v>
      </c>
      <c r="C111" s="32">
        <v>-0.04</v>
      </c>
      <c r="D111" s="32">
        <v>0.19</v>
      </c>
      <c r="E111" s="32">
        <v>0.12</v>
      </c>
      <c r="F111" s="32">
        <v>0.03</v>
      </c>
      <c r="G111" s="32">
        <v>0.05</v>
      </c>
      <c r="H111" s="32">
        <v>0.06</v>
      </c>
      <c r="I111" s="32">
        <v>0.17</v>
      </c>
      <c r="J111" s="32">
        <v>0.01</v>
      </c>
      <c r="K111" s="32">
        <v>0.11</v>
      </c>
      <c r="L111" s="32">
        <v>0.06</v>
      </c>
      <c r="M111" s="32">
        <v>0.31</v>
      </c>
      <c r="N111" s="32">
        <v>0.25</v>
      </c>
      <c r="O111" s="32">
        <v>0.02</v>
      </c>
      <c r="P111" s="32">
        <v>0.08</v>
      </c>
      <c r="Q111" s="32">
        <v>0.06</v>
      </c>
      <c r="R111" s="32">
        <v>0.06</v>
      </c>
      <c r="S111" s="32">
        <v>0.13</v>
      </c>
      <c r="T111" s="32">
        <v>0.26</v>
      </c>
      <c r="U111" s="32">
        <v>0.16</v>
      </c>
      <c r="V111" s="32">
        <v>0.16</v>
      </c>
      <c r="W111" s="32">
        <v>-0.04</v>
      </c>
      <c r="X111" s="32">
        <v>0.33</v>
      </c>
      <c r="Y111" s="32">
        <v>0.4</v>
      </c>
      <c r="Z111" s="32">
        <v>7.0000000000000007E-2</v>
      </c>
      <c r="AA111" s="32">
        <v>0.05</v>
      </c>
      <c r="AB111" s="32">
        <v>0.38</v>
      </c>
      <c r="AC111" s="32">
        <v>7.0000000000000007E-2</v>
      </c>
      <c r="AD111" s="32">
        <v>0.03</v>
      </c>
      <c r="AE111" s="32">
        <v>0.18</v>
      </c>
      <c r="AF111" s="32">
        <v>7.0000000000000007E-2</v>
      </c>
      <c r="AG111" s="32">
        <v>0</v>
      </c>
      <c r="AH111" s="32">
        <v>0.01</v>
      </c>
      <c r="AI111" s="32">
        <v>-0.11</v>
      </c>
      <c r="AJ111" s="32">
        <v>0.04</v>
      </c>
      <c r="AK111" s="32">
        <v>0.03</v>
      </c>
      <c r="AL111" s="32">
        <v>0.26</v>
      </c>
      <c r="AM111" s="32">
        <v>0.27</v>
      </c>
      <c r="AN111" s="32">
        <v>0.34</v>
      </c>
      <c r="AO111" s="32">
        <v>0.1</v>
      </c>
      <c r="AP111" s="32">
        <v>0.37</v>
      </c>
      <c r="AQ111" s="32">
        <v>-0.16</v>
      </c>
      <c r="AR111" s="32">
        <v>0.22</v>
      </c>
      <c r="AS111" s="32">
        <v>0.15</v>
      </c>
      <c r="AT111" s="32">
        <v>0.38</v>
      </c>
      <c r="AU111" s="32">
        <v>0.04</v>
      </c>
      <c r="AV111" s="32">
        <v>0.08</v>
      </c>
      <c r="AW111" s="32">
        <v>0.17</v>
      </c>
      <c r="AX111" s="32">
        <v>0.16</v>
      </c>
      <c r="AY111" s="32">
        <v>0.28999999999999998</v>
      </c>
      <c r="AZ111" s="32">
        <v>0.23</v>
      </c>
      <c r="BA111" s="32">
        <v>0.19</v>
      </c>
      <c r="BB111" s="32">
        <v>0.38</v>
      </c>
      <c r="BC111" s="32">
        <v>0.14000000000000001</v>
      </c>
      <c r="BD111" s="32">
        <v>0.13</v>
      </c>
      <c r="BE111" s="32">
        <v>0.1</v>
      </c>
      <c r="BF111" s="32">
        <v>0.12</v>
      </c>
      <c r="BG111" s="32">
        <v>0.38</v>
      </c>
      <c r="BH111" s="32">
        <v>0.19</v>
      </c>
      <c r="BI111" s="32">
        <v>0.16</v>
      </c>
      <c r="BJ111" s="32">
        <v>0</v>
      </c>
      <c r="BK111" s="32">
        <v>0.14000000000000001</v>
      </c>
      <c r="BL111" s="32">
        <v>0.22</v>
      </c>
      <c r="BM111" s="32">
        <v>0.21</v>
      </c>
      <c r="BN111" s="32">
        <v>0.1</v>
      </c>
      <c r="BO111" s="32">
        <v>0.32</v>
      </c>
      <c r="BP111" s="32">
        <v>0.34</v>
      </c>
      <c r="BQ111" s="32">
        <v>0.2</v>
      </c>
      <c r="BR111" s="32">
        <v>0.28000000000000003</v>
      </c>
      <c r="BS111" s="32">
        <v>-0.06</v>
      </c>
      <c r="BT111" s="32">
        <v>0.3</v>
      </c>
      <c r="BU111" s="32">
        <v>0.14000000000000001</v>
      </c>
      <c r="BV111" s="32">
        <v>0.39</v>
      </c>
      <c r="BW111" s="32">
        <v>0.26</v>
      </c>
      <c r="BX111" s="32">
        <v>0.2</v>
      </c>
      <c r="BY111" s="32">
        <v>0.28999999999999998</v>
      </c>
      <c r="BZ111" s="32">
        <v>0.32</v>
      </c>
      <c r="CA111" s="32">
        <v>0.13</v>
      </c>
      <c r="CB111" s="32">
        <v>-0.03</v>
      </c>
      <c r="CC111" s="32">
        <v>0.21</v>
      </c>
      <c r="CD111" s="32">
        <v>0.33</v>
      </c>
      <c r="CE111" s="32">
        <v>0.22</v>
      </c>
      <c r="CF111" s="32">
        <v>-0.11</v>
      </c>
      <c r="CG111" s="32">
        <v>0.47</v>
      </c>
      <c r="CH111" s="32">
        <v>0.17</v>
      </c>
      <c r="CI111" s="32">
        <v>-0.11</v>
      </c>
      <c r="CJ111" s="32">
        <v>0.38</v>
      </c>
      <c r="CK111" s="32">
        <v>0.28999999999999998</v>
      </c>
      <c r="CL111" s="32">
        <v>0.21</v>
      </c>
      <c r="CM111" s="32">
        <v>0.25</v>
      </c>
      <c r="CN111" s="32">
        <v>7.0000000000000007E-2</v>
      </c>
      <c r="CO111" s="32">
        <v>7.0000000000000007E-2</v>
      </c>
      <c r="CP111" s="32">
        <v>0.21</v>
      </c>
      <c r="CQ111" s="32">
        <v>0.33</v>
      </c>
      <c r="CR111" s="32">
        <v>0.28000000000000003</v>
      </c>
      <c r="CS111" s="32">
        <v>0.14000000000000001</v>
      </c>
      <c r="CT111" s="32">
        <v>0.48</v>
      </c>
      <c r="CU111" s="32">
        <v>0.14000000000000001</v>
      </c>
      <c r="CV111" s="32">
        <v>0.27</v>
      </c>
      <c r="CW111" s="32">
        <v>0.35</v>
      </c>
      <c r="CX111" s="32">
        <v>0.39</v>
      </c>
      <c r="CY111" s="32">
        <v>0.28000000000000003</v>
      </c>
      <c r="CZ111" s="32">
        <v>0.32</v>
      </c>
      <c r="DA111" s="32">
        <v>0.44</v>
      </c>
      <c r="DB111" s="32">
        <v>0.35</v>
      </c>
      <c r="DC111" s="32">
        <v>0.23</v>
      </c>
      <c r="DD111" s="32">
        <v>1</v>
      </c>
      <c r="DE111" s="32">
        <v>0.24</v>
      </c>
      <c r="DF111" s="32">
        <v>0.35</v>
      </c>
      <c r="DG111" s="32">
        <v>0.26</v>
      </c>
      <c r="DH111" s="32">
        <v>0.28999999999999998</v>
      </c>
      <c r="DI111" s="32">
        <v>0.35</v>
      </c>
      <c r="DJ111" s="32">
        <v>0.34</v>
      </c>
      <c r="DK111" s="32">
        <v>0.35</v>
      </c>
      <c r="DL111" s="32">
        <v>0.14000000000000001</v>
      </c>
      <c r="DM111" s="32">
        <v>0.39</v>
      </c>
      <c r="DN111" s="32">
        <v>0.36</v>
      </c>
      <c r="DO111" s="32">
        <v>0.26</v>
      </c>
      <c r="DP111" s="32">
        <v>0.37</v>
      </c>
      <c r="DQ111" s="32">
        <v>0.17</v>
      </c>
      <c r="DR111" s="32">
        <v>0.13</v>
      </c>
      <c r="DS111" s="32">
        <v>0.28999999999999998</v>
      </c>
      <c r="DT111" s="32">
        <v>0.34</v>
      </c>
      <c r="DU111" s="32">
        <v>0.47</v>
      </c>
      <c r="DV111" s="32">
        <v>0.38</v>
      </c>
      <c r="DW111" s="32">
        <v>0.53</v>
      </c>
      <c r="DX111" s="32">
        <v>0.18</v>
      </c>
      <c r="DY111" s="32">
        <v>0.56999999999999995</v>
      </c>
      <c r="DZ111" s="32">
        <v>0.31</v>
      </c>
      <c r="EA111" s="32">
        <v>0.23</v>
      </c>
      <c r="EB111" s="32">
        <v>0.54</v>
      </c>
      <c r="EC111" s="32">
        <v>0.06</v>
      </c>
      <c r="ED111" s="32">
        <v>0.34</v>
      </c>
      <c r="EE111" s="32">
        <v>0.22</v>
      </c>
      <c r="EF111" s="32">
        <v>0.22</v>
      </c>
      <c r="EG111" s="32">
        <v>0.17</v>
      </c>
      <c r="EH111" s="32">
        <v>0.35</v>
      </c>
      <c r="EI111" s="32">
        <v>0.17</v>
      </c>
      <c r="EJ111" s="32">
        <v>0.31</v>
      </c>
      <c r="EK111" s="32">
        <v>0.35</v>
      </c>
      <c r="EL111" s="32">
        <v>0.28000000000000003</v>
      </c>
      <c r="EM111" s="32">
        <v>0.21</v>
      </c>
      <c r="EN111" s="32">
        <v>0.2</v>
      </c>
      <c r="EO111" s="32">
        <v>0.21</v>
      </c>
    </row>
    <row r="112" spans="1:145" x14ac:dyDescent="0.25">
      <c r="A112" s="31" t="s">
        <v>191</v>
      </c>
      <c r="B112" s="32">
        <v>-0.09</v>
      </c>
      <c r="C112" s="32">
        <v>7.0000000000000007E-2</v>
      </c>
      <c r="D112" s="32">
        <v>0.05</v>
      </c>
      <c r="E112" s="32">
        <v>0.15</v>
      </c>
      <c r="F112" s="32">
        <v>-0.11</v>
      </c>
      <c r="G112" s="32">
        <v>0.03</v>
      </c>
      <c r="H112" s="32">
        <v>0.1</v>
      </c>
      <c r="I112" s="32">
        <v>-0.01</v>
      </c>
      <c r="J112" s="32">
        <v>-0.03</v>
      </c>
      <c r="K112" s="32">
        <v>-0.02</v>
      </c>
      <c r="L112" s="32">
        <v>0.09</v>
      </c>
      <c r="M112" s="32">
        <v>0.35</v>
      </c>
      <c r="N112" s="32">
        <v>0.1</v>
      </c>
      <c r="O112" s="32">
        <v>0.11</v>
      </c>
      <c r="P112" s="32">
        <v>-0.09</v>
      </c>
      <c r="Q112" s="32">
        <v>0.06</v>
      </c>
      <c r="R112" s="32">
        <v>-0.06</v>
      </c>
      <c r="S112" s="32">
        <v>-0.04</v>
      </c>
      <c r="T112" s="32">
        <v>0.23</v>
      </c>
      <c r="U112" s="32">
        <v>0.22</v>
      </c>
      <c r="V112" s="32">
        <v>0.15</v>
      </c>
      <c r="W112" s="32">
        <v>0.13</v>
      </c>
      <c r="X112" s="32">
        <v>0.28000000000000003</v>
      </c>
      <c r="Y112" s="32">
        <v>0</v>
      </c>
      <c r="Z112" s="32">
        <v>0.2</v>
      </c>
      <c r="AA112" s="32">
        <v>0.09</v>
      </c>
      <c r="AB112" s="32">
        <v>-0.02</v>
      </c>
      <c r="AC112" s="32">
        <v>7.0000000000000007E-2</v>
      </c>
      <c r="AD112" s="32">
        <v>0.17</v>
      </c>
      <c r="AE112" s="32">
        <v>0.3</v>
      </c>
      <c r="AF112" s="32">
        <v>0.32</v>
      </c>
      <c r="AG112" s="32">
        <v>-0.15</v>
      </c>
      <c r="AH112" s="32">
        <v>-0.14000000000000001</v>
      </c>
      <c r="AI112" s="32">
        <v>-0.14000000000000001</v>
      </c>
      <c r="AJ112" s="32">
        <v>0.12</v>
      </c>
      <c r="AK112" s="32">
        <v>0.33</v>
      </c>
      <c r="AL112" s="32">
        <v>0.15</v>
      </c>
      <c r="AM112" s="32">
        <v>0.14000000000000001</v>
      </c>
      <c r="AN112" s="32">
        <v>0.22</v>
      </c>
      <c r="AO112" s="32">
        <v>0</v>
      </c>
      <c r="AP112" s="32">
        <v>0.14000000000000001</v>
      </c>
      <c r="AQ112" s="32">
        <v>-0.1</v>
      </c>
      <c r="AR112" s="32">
        <v>0.2</v>
      </c>
      <c r="AS112" s="32">
        <v>0.26</v>
      </c>
      <c r="AT112" s="32">
        <v>0.22</v>
      </c>
      <c r="AU112" s="32">
        <v>-0.05</v>
      </c>
      <c r="AV112" s="32">
        <v>0.18</v>
      </c>
      <c r="AW112" s="32">
        <v>0.3</v>
      </c>
      <c r="AX112" s="32">
        <v>0.05</v>
      </c>
      <c r="AY112" s="32">
        <v>0.15</v>
      </c>
      <c r="AZ112" s="32">
        <v>0.31</v>
      </c>
      <c r="BA112" s="32">
        <v>0.23</v>
      </c>
      <c r="BB112" s="32">
        <v>0.35</v>
      </c>
      <c r="BC112" s="32">
        <v>0.01</v>
      </c>
      <c r="BD112" s="32">
        <v>0.24</v>
      </c>
      <c r="BE112" s="32">
        <v>0.12</v>
      </c>
      <c r="BF112" s="32">
        <v>0.21</v>
      </c>
      <c r="BG112" s="32">
        <v>0.28000000000000003</v>
      </c>
      <c r="BH112" s="32">
        <v>0.21</v>
      </c>
      <c r="BI112" s="32">
        <v>0.08</v>
      </c>
      <c r="BJ112" s="32">
        <v>0.02</v>
      </c>
      <c r="BK112" s="32">
        <v>0.17</v>
      </c>
      <c r="BL112" s="32">
        <v>0.53</v>
      </c>
      <c r="BM112" s="32">
        <v>0.08</v>
      </c>
      <c r="BN112" s="32">
        <v>-0.03</v>
      </c>
      <c r="BO112" s="32">
        <v>0.21</v>
      </c>
      <c r="BP112" s="32">
        <v>0.09</v>
      </c>
      <c r="BQ112" s="32">
        <v>0.39</v>
      </c>
      <c r="BR112" s="32">
        <v>0.2</v>
      </c>
      <c r="BS112" s="32">
        <v>-0.1</v>
      </c>
      <c r="BT112" s="32">
        <v>0.31</v>
      </c>
      <c r="BU112" s="32">
        <v>0.24</v>
      </c>
      <c r="BV112" s="32">
        <v>0.19</v>
      </c>
      <c r="BW112" s="32">
        <v>0.19</v>
      </c>
      <c r="BX112" s="32">
        <v>0.04</v>
      </c>
      <c r="BY112" s="32">
        <v>0.25</v>
      </c>
      <c r="BZ112" s="32">
        <v>0.25</v>
      </c>
      <c r="CA112" s="32">
        <v>0.17</v>
      </c>
      <c r="CB112" s="32">
        <v>-0.15</v>
      </c>
      <c r="CC112" s="32">
        <v>0.06</v>
      </c>
      <c r="CD112" s="32">
        <v>0.11</v>
      </c>
      <c r="CE112" s="32">
        <v>0.32</v>
      </c>
      <c r="CF112" s="32">
        <v>-0.14000000000000001</v>
      </c>
      <c r="CG112" s="32">
        <v>0.15</v>
      </c>
      <c r="CH112" s="32">
        <v>0.72</v>
      </c>
      <c r="CI112" s="32">
        <v>-0.1</v>
      </c>
      <c r="CJ112" s="32">
        <v>-0.02</v>
      </c>
      <c r="CK112" s="32">
        <v>0.05</v>
      </c>
      <c r="CL112" s="32">
        <v>0.26</v>
      </c>
      <c r="CM112" s="32">
        <v>0.42</v>
      </c>
      <c r="CN112" s="32">
        <v>0.19</v>
      </c>
      <c r="CO112" s="32">
        <v>0.18</v>
      </c>
      <c r="CP112" s="32">
        <v>0.06</v>
      </c>
      <c r="CQ112" s="32">
        <v>0.34</v>
      </c>
      <c r="CR112" s="32">
        <v>0.54</v>
      </c>
      <c r="CS112" s="32">
        <v>0.52</v>
      </c>
      <c r="CT112" s="32">
        <v>0.28999999999999998</v>
      </c>
      <c r="CU112" s="32">
        <v>0.25</v>
      </c>
      <c r="CV112" s="32">
        <v>0.18</v>
      </c>
      <c r="CW112" s="32">
        <v>0.17</v>
      </c>
      <c r="CX112" s="32">
        <v>0.32</v>
      </c>
      <c r="CY112" s="32">
        <v>0.34</v>
      </c>
      <c r="CZ112" s="32">
        <v>0.04</v>
      </c>
      <c r="DA112" s="32">
        <v>0.04</v>
      </c>
      <c r="DB112" s="32">
        <v>0.4</v>
      </c>
      <c r="DC112" s="32">
        <v>0.33</v>
      </c>
      <c r="DD112" s="32">
        <v>0.24</v>
      </c>
      <c r="DE112" s="32">
        <v>1</v>
      </c>
      <c r="DF112" s="32">
        <v>-0.08</v>
      </c>
      <c r="DG112" s="32">
        <v>0.69</v>
      </c>
      <c r="DH112" s="32">
        <v>0.41</v>
      </c>
      <c r="DI112" s="32">
        <v>0.28000000000000003</v>
      </c>
      <c r="DJ112" s="32">
        <v>0.3</v>
      </c>
      <c r="DK112" s="32">
        <v>0.38</v>
      </c>
      <c r="DL112" s="32">
        <v>0.5</v>
      </c>
      <c r="DM112" s="32">
        <v>0.39</v>
      </c>
      <c r="DN112" s="32">
        <v>0.08</v>
      </c>
      <c r="DO112" s="32">
        <v>0.34</v>
      </c>
      <c r="DP112" s="32">
        <v>0.3</v>
      </c>
      <c r="DQ112" s="32">
        <v>0.33</v>
      </c>
      <c r="DR112" s="32">
        <v>0.56999999999999995</v>
      </c>
      <c r="DS112" s="32">
        <v>-0.01</v>
      </c>
      <c r="DT112" s="32">
        <v>0.34</v>
      </c>
      <c r="DU112" s="32">
        <v>0.38</v>
      </c>
      <c r="DV112" s="32">
        <v>0.26</v>
      </c>
      <c r="DW112" s="32">
        <v>0.19</v>
      </c>
      <c r="DX112" s="32">
        <v>0.56000000000000005</v>
      </c>
      <c r="DY112" s="32">
        <v>0.3</v>
      </c>
      <c r="DZ112" s="32">
        <v>0.04</v>
      </c>
      <c r="EA112" s="32">
        <v>0.28000000000000003</v>
      </c>
      <c r="EB112" s="32">
        <v>0.31</v>
      </c>
      <c r="EC112" s="32">
        <v>0.28000000000000003</v>
      </c>
      <c r="ED112" s="32">
        <v>0.35</v>
      </c>
      <c r="EE112" s="32">
        <v>0.51</v>
      </c>
      <c r="EF112" s="32">
        <v>0.41</v>
      </c>
      <c r="EG112" s="32">
        <v>0.39</v>
      </c>
      <c r="EH112" s="32">
        <v>0.02</v>
      </c>
      <c r="EI112" s="32">
        <v>0.49</v>
      </c>
      <c r="EJ112" s="32">
        <v>0.19</v>
      </c>
      <c r="EK112" s="32">
        <v>0.46</v>
      </c>
      <c r="EL112" s="32">
        <v>0.52</v>
      </c>
      <c r="EM112" s="32">
        <v>0.16</v>
      </c>
      <c r="EN112" s="32">
        <v>0.22</v>
      </c>
      <c r="EO112" s="32">
        <v>0.16</v>
      </c>
    </row>
    <row r="113" spans="1:145" x14ac:dyDescent="0.25">
      <c r="A113" s="31" t="s">
        <v>192</v>
      </c>
      <c r="B113" s="32">
        <v>0.17</v>
      </c>
      <c r="C113" s="32">
        <v>-0.09</v>
      </c>
      <c r="D113" s="32">
        <v>0.08</v>
      </c>
      <c r="E113" s="32">
        <v>0.04</v>
      </c>
      <c r="F113" s="32">
        <v>7.0000000000000007E-2</v>
      </c>
      <c r="G113" s="32">
        <v>0.01</v>
      </c>
      <c r="H113" s="32">
        <v>0.03</v>
      </c>
      <c r="I113" s="32">
        <v>0.12</v>
      </c>
      <c r="J113" s="32">
        <v>0</v>
      </c>
      <c r="K113" s="32">
        <v>-0.03</v>
      </c>
      <c r="L113" s="32">
        <v>7.0000000000000007E-2</v>
      </c>
      <c r="M113" s="32">
        <v>0.1</v>
      </c>
      <c r="N113" s="32">
        <v>0.19</v>
      </c>
      <c r="O113" s="32">
        <v>-0.05</v>
      </c>
      <c r="P113" s="32">
        <v>0.09</v>
      </c>
      <c r="Q113" s="32">
        <v>-0.06</v>
      </c>
      <c r="R113" s="32">
        <v>0.06</v>
      </c>
      <c r="S113" s="32">
        <v>-0.04</v>
      </c>
      <c r="T113" s="32">
        <v>0.08</v>
      </c>
      <c r="U113" s="32">
        <v>0.06</v>
      </c>
      <c r="V113" s="32">
        <v>-0.05</v>
      </c>
      <c r="W113" s="32">
        <v>-0.13</v>
      </c>
      <c r="X113" s="32">
        <v>0.09</v>
      </c>
      <c r="Y113" s="32">
        <v>0.3</v>
      </c>
      <c r="Z113" s="32">
        <v>0</v>
      </c>
      <c r="AA113" s="32">
        <v>0.02</v>
      </c>
      <c r="AB113" s="32">
        <v>0.31</v>
      </c>
      <c r="AC113" s="32">
        <v>-0.03</v>
      </c>
      <c r="AD113" s="32">
        <v>-0.2</v>
      </c>
      <c r="AE113" s="32">
        <v>-0.13</v>
      </c>
      <c r="AF113" s="32">
        <v>-0.06</v>
      </c>
      <c r="AG113" s="32">
        <v>7.0000000000000007E-2</v>
      </c>
      <c r="AH113" s="32">
        <v>0.11</v>
      </c>
      <c r="AI113" s="32">
        <v>0.13</v>
      </c>
      <c r="AJ113" s="32">
        <v>0.01</v>
      </c>
      <c r="AK113" s="32">
        <v>-0.16</v>
      </c>
      <c r="AL113" s="32">
        <v>0.18</v>
      </c>
      <c r="AM113" s="32">
        <v>0.06</v>
      </c>
      <c r="AN113" s="32">
        <v>0.06</v>
      </c>
      <c r="AO113" s="32">
        <v>0.06</v>
      </c>
      <c r="AP113" s="32">
        <v>0.18</v>
      </c>
      <c r="AQ113" s="32">
        <v>0.03</v>
      </c>
      <c r="AR113" s="32">
        <v>0.15</v>
      </c>
      <c r="AS113" s="32">
        <v>0</v>
      </c>
      <c r="AT113" s="32">
        <v>0.22</v>
      </c>
      <c r="AU113" s="32">
        <v>-0.01</v>
      </c>
      <c r="AV113" s="32">
        <v>0.02</v>
      </c>
      <c r="AW113" s="32">
        <v>-0.04</v>
      </c>
      <c r="AX113" s="32">
        <v>0.12</v>
      </c>
      <c r="AY113" s="32">
        <v>0.08</v>
      </c>
      <c r="AZ113" s="32">
        <v>-0.08</v>
      </c>
      <c r="BA113" s="32">
        <v>0.02</v>
      </c>
      <c r="BB113" s="32">
        <v>0.11</v>
      </c>
      <c r="BC113" s="32">
        <v>7.0000000000000007E-2</v>
      </c>
      <c r="BD113" s="32">
        <v>-0.01</v>
      </c>
      <c r="BE113" s="32">
        <v>-0.01</v>
      </c>
      <c r="BF113" s="32">
        <v>-0.06</v>
      </c>
      <c r="BG113" s="32">
        <v>0.23</v>
      </c>
      <c r="BH113" s="32">
        <v>0.09</v>
      </c>
      <c r="BI113" s="32">
        <v>0.05</v>
      </c>
      <c r="BJ113" s="32">
        <v>-0.06</v>
      </c>
      <c r="BK113" s="32">
        <v>-0.13</v>
      </c>
      <c r="BL113" s="32">
        <v>0.01</v>
      </c>
      <c r="BM113" s="32">
        <v>0.15</v>
      </c>
      <c r="BN113" s="32">
        <v>-0.08</v>
      </c>
      <c r="BO113" s="32">
        <v>0.12</v>
      </c>
      <c r="BP113" s="32">
        <v>0.48</v>
      </c>
      <c r="BQ113" s="32">
        <v>-0.12</v>
      </c>
      <c r="BR113" s="32">
        <v>0.12</v>
      </c>
      <c r="BS113" s="32">
        <v>0.05</v>
      </c>
      <c r="BT113" s="32">
        <v>-0.14000000000000001</v>
      </c>
      <c r="BU113" s="32">
        <v>0.02</v>
      </c>
      <c r="BV113" s="32">
        <v>0.17</v>
      </c>
      <c r="BW113" s="32">
        <v>0.19</v>
      </c>
      <c r="BX113" s="32">
        <v>0.09</v>
      </c>
      <c r="BY113" s="32">
        <v>0.13</v>
      </c>
      <c r="BZ113" s="32">
        <v>7.0000000000000007E-2</v>
      </c>
      <c r="CA113" s="32">
        <v>-0.03</v>
      </c>
      <c r="CB113" s="32">
        <v>0.05</v>
      </c>
      <c r="CC113" s="32">
        <v>7.0000000000000007E-2</v>
      </c>
      <c r="CD113" s="32">
        <v>0.25</v>
      </c>
      <c r="CE113" s="32">
        <v>0.01</v>
      </c>
      <c r="CF113" s="32">
        <v>0.11</v>
      </c>
      <c r="CG113" s="32">
        <v>0.37</v>
      </c>
      <c r="CH113" s="32">
        <v>-0.11</v>
      </c>
      <c r="CI113" s="32">
        <v>0.13</v>
      </c>
      <c r="CJ113" s="32">
        <v>0.22</v>
      </c>
      <c r="CK113" s="32">
        <v>0.21</v>
      </c>
      <c r="CL113" s="32">
        <v>0.09</v>
      </c>
      <c r="CM113" s="32">
        <v>0.11</v>
      </c>
      <c r="CN113" s="32">
        <v>0.03</v>
      </c>
      <c r="CO113" s="32">
        <v>-0.04</v>
      </c>
      <c r="CP113" s="32">
        <v>0.18</v>
      </c>
      <c r="CQ113" s="32">
        <v>0.08</v>
      </c>
      <c r="CR113" s="32">
        <v>-0.08</v>
      </c>
      <c r="CS113" s="32">
        <v>-0.22</v>
      </c>
      <c r="CT113" s="32">
        <v>0.24</v>
      </c>
      <c r="CU113" s="32">
        <v>-0.01</v>
      </c>
      <c r="CV113" s="32">
        <v>0.11</v>
      </c>
      <c r="CW113" s="32">
        <v>0.3</v>
      </c>
      <c r="CX113" s="32">
        <v>7.0000000000000007E-2</v>
      </c>
      <c r="CY113" s="32">
        <v>0.01</v>
      </c>
      <c r="CZ113" s="32">
        <v>0.56999999999999995</v>
      </c>
      <c r="DA113" s="32">
        <v>0.31</v>
      </c>
      <c r="DB113" s="32">
        <v>0.13</v>
      </c>
      <c r="DC113" s="32">
        <v>-0.09</v>
      </c>
      <c r="DD113" s="32">
        <v>0.35</v>
      </c>
      <c r="DE113" s="32">
        <v>-0.08</v>
      </c>
      <c r="DF113" s="32">
        <v>1</v>
      </c>
      <c r="DG113" s="32">
        <v>0</v>
      </c>
      <c r="DH113" s="32">
        <v>0.04</v>
      </c>
      <c r="DI113" s="32">
        <v>0.11</v>
      </c>
      <c r="DJ113" s="32">
        <v>0.1</v>
      </c>
      <c r="DK113" s="32">
        <v>0.06</v>
      </c>
      <c r="DL113" s="32">
        <v>-0.05</v>
      </c>
      <c r="DM113" s="32">
        <v>0.08</v>
      </c>
      <c r="DN113" s="32">
        <v>0.33</v>
      </c>
      <c r="DO113" s="32">
        <v>0.08</v>
      </c>
      <c r="DP113" s="32">
        <v>0.12</v>
      </c>
      <c r="DQ113" s="32">
        <v>-0.05</v>
      </c>
      <c r="DR113" s="32">
        <v>7.0000000000000007E-2</v>
      </c>
      <c r="DS113" s="32">
        <v>0.28999999999999998</v>
      </c>
      <c r="DT113" s="32">
        <v>0.28000000000000003</v>
      </c>
      <c r="DU113" s="32">
        <v>0.24</v>
      </c>
      <c r="DV113" s="32">
        <v>0.45</v>
      </c>
      <c r="DW113" s="32">
        <v>0.43</v>
      </c>
      <c r="DX113" s="32">
        <v>-0.22</v>
      </c>
      <c r="DY113" s="32">
        <v>0.3</v>
      </c>
      <c r="DZ113" s="32">
        <v>0.51</v>
      </c>
      <c r="EA113" s="32">
        <v>0.06</v>
      </c>
      <c r="EB113" s="32">
        <v>0.3</v>
      </c>
      <c r="EC113" s="32">
        <v>-0.11</v>
      </c>
      <c r="ED113" s="32">
        <v>0.15</v>
      </c>
      <c r="EE113" s="32">
        <v>-0.15</v>
      </c>
      <c r="EF113" s="32">
        <v>0.02</v>
      </c>
      <c r="EG113" s="32">
        <v>-0.1</v>
      </c>
      <c r="EH113" s="32">
        <v>0.32</v>
      </c>
      <c r="EI113" s="32">
        <v>-0.15</v>
      </c>
      <c r="EJ113" s="32">
        <v>0.16</v>
      </c>
      <c r="EK113" s="32">
        <v>0.05</v>
      </c>
      <c r="EL113" s="32">
        <v>-0.06</v>
      </c>
      <c r="EM113" s="32">
        <v>0.19</v>
      </c>
      <c r="EN113" s="32">
        <v>0.09</v>
      </c>
      <c r="EO113" s="32">
        <v>0.15</v>
      </c>
    </row>
    <row r="114" spans="1:145" x14ac:dyDescent="0.25">
      <c r="A114" s="31" t="s">
        <v>193</v>
      </c>
      <c r="B114" s="32">
        <v>0.01</v>
      </c>
      <c r="C114" s="32">
        <v>0.06</v>
      </c>
      <c r="D114" s="32">
        <v>0.08</v>
      </c>
      <c r="E114" s="32">
        <v>0.09</v>
      </c>
      <c r="F114" s="32">
        <v>-7.0000000000000007E-2</v>
      </c>
      <c r="G114" s="32">
        <v>0.04</v>
      </c>
      <c r="H114" s="32">
        <v>0.11</v>
      </c>
      <c r="I114" s="32">
        <v>7.0000000000000007E-2</v>
      </c>
      <c r="J114" s="32">
        <v>0.1</v>
      </c>
      <c r="K114" s="32">
        <v>0.04</v>
      </c>
      <c r="L114" s="32">
        <v>0.12</v>
      </c>
      <c r="M114" s="32">
        <v>0.36</v>
      </c>
      <c r="N114" s="32">
        <v>0.2</v>
      </c>
      <c r="O114" s="32">
        <v>0.21</v>
      </c>
      <c r="P114" s="32">
        <v>-0.06</v>
      </c>
      <c r="Q114" s="32">
        <v>7.0000000000000007E-2</v>
      </c>
      <c r="R114" s="32">
        <v>0.02</v>
      </c>
      <c r="S114" s="32">
        <v>0.14000000000000001</v>
      </c>
      <c r="T114" s="32">
        <v>0.17</v>
      </c>
      <c r="U114" s="32">
        <v>0.2</v>
      </c>
      <c r="V114" s="32">
        <v>0.24</v>
      </c>
      <c r="W114" s="32">
        <v>0.13</v>
      </c>
      <c r="X114" s="32">
        <v>0.23</v>
      </c>
      <c r="Y114" s="32">
        <v>0.05</v>
      </c>
      <c r="Z114" s="32">
        <v>0.23</v>
      </c>
      <c r="AA114" s="32">
        <v>7.0000000000000007E-2</v>
      </c>
      <c r="AB114" s="32">
        <v>-0.01</v>
      </c>
      <c r="AC114" s="32">
        <v>0.12</v>
      </c>
      <c r="AD114" s="32">
        <v>0.11</v>
      </c>
      <c r="AE114" s="32">
        <v>0.22</v>
      </c>
      <c r="AF114" s="32">
        <v>0.26</v>
      </c>
      <c r="AG114" s="32">
        <v>-0.12</v>
      </c>
      <c r="AH114" s="32">
        <v>-0.16</v>
      </c>
      <c r="AI114" s="32">
        <v>-0.15</v>
      </c>
      <c r="AJ114" s="32">
        <v>0.21</v>
      </c>
      <c r="AK114" s="32">
        <v>0.23</v>
      </c>
      <c r="AL114" s="32">
        <v>0.16</v>
      </c>
      <c r="AM114" s="32">
        <v>0.12</v>
      </c>
      <c r="AN114" s="32">
        <v>0.19</v>
      </c>
      <c r="AO114" s="32">
        <v>0.04</v>
      </c>
      <c r="AP114" s="32">
        <v>0.19</v>
      </c>
      <c r="AQ114" s="32">
        <v>-0.1</v>
      </c>
      <c r="AR114" s="32">
        <v>0.16</v>
      </c>
      <c r="AS114" s="32">
        <v>0.22</v>
      </c>
      <c r="AT114" s="32">
        <v>0.1</v>
      </c>
      <c r="AU114" s="32">
        <v>-0.04</v>
      </c>
      <c r="AV114" s="32">
        <v>0.12</v>
      </c>
      <c r="AW114" s="32">
        <v>0.25</v>
      </c>
      <c r="AX114" s="32">
        <v>0.13</v>
      </c>
      <c r="AY114" s="32">
        <v>0.1</v>
      </c>
      <c r="AZ114" s="32">
        <v>0.25</v>
      </c>
      <c r="BA114" s="32">
        <v>0.18</v>
      </c>
      <c r="BB114" s="32">
        <v>0.25</v>
      </c>
      <c r="BC114" s="32">
        <v>0.11</v>
      </c>
      <c r="BD114" s="32">
        <v>0.25</v>
      </c>
      <c r="BE114" s="32">
        <v>0.17</v>
      </c>
      <c r="BF114" s="32">
        <v>0.23</v>
      </c>
      <c r="BG114" s="32">
        <v>0.2</v>
      </c>
      <c r="BH114" s="32">
        <v>0.18</v>
      </c>
      <c r="BI114" s="32">
        <v>0.12</v>
      </c>
      <c r="BJ114" s="32">
        <v>0.13</v>
      </c>
      <c r="BK114" s="32">
        <v>0.18</v>
      </c>
      <c r="BL114" s="32">
        <v>0.46</v>
      </c>
      <c r="BM114" s="32">
        <v>0.01</v>
      </c>
      <c r="BN114" s="32">
        <v>0.03</v>
      </c>
      <c r="BO114" s="32">
        <v>0.19</v>
      </c>
      <c r="BP114" s="32">
        <v>0.13</v>
      </c>
      <c r="BQ114" s="32">
        <v>0.4</v>
      </c>
      <c r="BR114" s="32">
        <v>0.2</v>
      </c>
      <c r="BS114" s="32">
        <v>-0.08</v>
      </c>
      <c r="BT114" s="32">
        <v>0.28999999999999998</v>
      </c>
      <c r="BU114" s="32">
        <v>0.2</v>
      </c>
      <c r="BV114" s="32">
        <v>0.16</v>
      </c>
      <c r="BW114" s="32">
        <v>0.18</v>
      </c>
      <c r="BX114" s="32">
        <v>0.17</v>
      </c>
      <c r="BY114" s="32">
        <v>0.14000000000000001</v>
      </c>
      <c r="BZ114" s="32">
        <v>0.28000000000000003</v>
      </c>
      <c r="CA114" s="32">
        <v>0.18</v>
      </c>
      <c r="CB114" s="32">
        <v>-0.13</v>
      </c>
      <c r="CC114" s="32">
        <v>0.05</v>
      </c>
      <c r="CD114" s="32">
        <v>0.14000000000000001</v>
      </c>
      <c r="CE114" s="32">
        <v>0.15</v>
      </c>
      <c r="CF114" s="32">
        <v>-0.11</v>
      </c>
      <c r="CG114" s="32">
        <v>0.19</v>
      </c>
      <c r="CH114" s="32">
        <v>0.59</v>
      </c>
      <c r="CI114" s="32">
        <v>-7.0000000000000007E-2</v>
      </c>
      <c r="CJ114" s="32">
        <v>0.11</v>
      </c>
      <c r="CK114" s="32">
        <v>0.08</v>
      </c>
      <c r="CL114" s="32">
        <v>0.2</v>
      </c>
      <c r="CM114" s="32">
        <v>0.33</v>
      </c>
      <c r="CN114" s="32">
        <v>0.17</v>
      </c>
      <c r="CO114" s="32">
        <v>0.08</v>
      </c>
      <c r="CP114" s="32">
        <v>0.1</v>
      </c>
      <c r="CQ114" s="32">
        <v>0.27</v>
      </c>
      <c r="CR114" s="32">
        <v>0.37</v>
      </c>
      <c r="CS114" s="32">
        <v>0.39</v>
      </c>
      <c r="CT114" s="32">
        <v>0.35</v>
      </c>
      <c r="CU114" s="32">
        <v>0.23</v>
      </c>
      <c r="CV114" s="32">
        <v>0.09</v>
      </c>
      <c r="CW114" s="32">
        <v>0.17</v>
      </c>
      <c r="CX114" s="32">
        <v>0.33</v>
      </c>
      <c r="CY114" s="32">
        <v>0.23</v>
      </c>
      <c r="CZ114" s="32">
        <v>0.06</v>
      </c>
      <c r="DA114" s="32">
        <v>0.12</v>
      </c>
      <c r="DB114" s="32">
        <v>0.32</v>
      </c>
      <c r="DC114" s="32">
        <v>0.23</v>
      </c>
      <c r="DD114" s="32">
        <v>0.26</v>
      </c>
      <c r="DE114" s="32">
        <v>0.69</v>
      </c>
      <c r="DF114" s="32">
        <v>0</v>
      </c>
      <c r="DG114" s="32">
        <v>1</v>
      </c>
      <c r="DH114" s="32">
        <v>0.25</v>
      </c>
      <c r="DI114" s="32">
        <v>0.25</v>
      </c>
      <c r="DJ114" s="32">
        <v>0.22</v>
      </c>
      <c r="DK114" s="32">
        <v>0.31</v>
      </c>
      <c r="DL114" s="32">
        <v>0.57999999999999996</v>
      </c>
      <c r="DM114" s="32">
        <v>0.31</v>
      </c>
      <c r="DN114" s="32">
        <v>0.1</v>
      </c>
      <c r="DO114" s="32">
        <v>0.35</v>
      </c>
      <c r="DP114" s="32">
        <v>0.24</v>
      </c>
      <c r="DQ114" s="32">
        <v>0.33</v>
      </c>
      <c r="DR114" s="32">
        <v>0.47</v>
      </c>
      <c r="DS114" s="32">
        <v>-0.11</v>
      </c>
      <c r="DT114" s="32">
        <v>0.25</v>
      </c>
      <c r="DU114" s="32">
        <v>0.37</v>
      </c>
      <c r="DV114" s="32">
        <v>0.25</v>
      </c>
      <c r="DW114" s="32">
        <v>0.23</v>
      </c>
      <c r="DX114" s="32">
        <v>0.36</v>
      </c>
      <c r="DY114" s="32">
        <v>0.26</v>
      </c>
      <c r="DZ114" s="32">
        <v>0.06</v>
      </c>
      <c r="EA114" s="32">
        <v>0.27</v>
      </c>
      <c r="EB114" s="32">
        <v>0.24</v>
      </c>
      <c r="EC114" s="32">
        <v>0.3</v>
      </c>
      <c r="ED114" s="32">
        <v>0.32</v>
      </c>
      <c r="EE114" s="32">
        <v>0.39</v>
      </c>
      <c r="EF114" s="32">
        <v>0.38</v>
      </c>
      <c r="EG114" s="32">
        <v>0.26</v>
      </c>
      <c r="EH114" s="32">
        <v>0.01</v>
      </c>
      <c r="EI114" s="32">
        <v>0.38</v>
      </c>
      <c r="EJ114" s="32">
        <v>0.13</v>
      </c>
      <c r="EK114" s="32">
        <v>0.41</v>
      </c>
      <c r="EL114" s="32">
        <v>0.47</v>
      </c>
      <c r="EM114" s="32">
        <v>0.14000000000000001</v>
      </c>
      <c r="EN114" s="32">
        <v>0.28000000000000003</v>
      </c>
      <c r="EO114" s="32">
        <v>0.04</v>
      </c>
    </row>
    <row r="115" spans="1:145" x14ac:dyDescent="0.25">
      <c r="A115" s="31" t="s">
        <v>194</v>
      </c>
      <c r="B115" s="32">
        <v>-0.05</v>
      </c>
      <c r="C115" s="32">
        <v>0.06</v>
      </c>
      <c r="D115" s="32">
        <v>0.05</v>
      </c>
      <c r="E115" s="32">
        <v>0.1</v>
      </c>
      <c r="F115" s="32">
        <v>-0.16</v>
      </c>
      <c r="G115" s="32">
        <v>-0.03</v>
      </c>
      <c r="H115" s="32">
        <v>0.1</v>
      </c>
      <c r="I115" s="32">
        <v>-7.0000000000000007E-2</v>
      </c>
      <c r="J115" s="32">
        <v>-0.15</v>
      </c>
      <c r="K115" s="32">
        <v>-0.15</v>
      </c>
      <c r="L115" s="32">
        <v>0.09</v>
      </c>
      <c r="M115" s="32">
        <v>0.18</v>
      </c>
      <c r="N115" s="32">
        <v>-0.02</v>
      </c>
      <c r="O115" s="32">
        <v>0.02</v>
      </c>
      <c r="P115" s="32">
        <v>-0.12</v>
      </c>
      <c r="Q115" s="32">
        <v>0.12</v>
      </c>
      <c r="R115" s="32">
        <v>-0.14000000000000001</v>
      </c>
      <c r="S115" s="32">
        <v>-0.01</v>
      </c>
      <c r="T115" s="32">
        <v>0.17</v>
      </c>
      <c r="U115" s="32">
        <v>0.12</v>
      </c>
      <c r="V115" s="32">
        <v>0</v>
      </c>
      <c r="W115" s="32">
        <v>-0.02</v>
      </c>
      <c r="X115" s="32">
        <v>0.19</v>
      </c>
      <c r="Y115" s="32">
        <v>-0.02</v>
      </c>
      <c r="Z115" s="32">
        <v>0.1</v>
      </c>
      <c r="AA115" s="32">
        <v>0.02</v>
      </c>
      <c r="AB115" s="32">
        <v>-0.08</v>
      </c>
      <c r="AC115" s="32">
        <v>0.11</v>
      </c>
      <c r="AD115" s="32">
        <v>0.12</v>
      </c>
      <c r="AE115" s="32">
        <v>0.17</v>
      </c>
      <c r="AF115" s="32">
        <v>0.13</v>
      </c>
      <c r="AG115" s="32">
        <v>-0.14000000000000001</v>
      </c>
      <c r="AH115" s="32">
        <v>-0.14000000000000001</v>
      </c>
      <c r="AI115" s="32">
        <v>-0.08</v>
      </c>
      <c r="AJ115" s="32">
        <v>0.06</v>
      </c>
      <c r="AK115" s="32">
        <v>0.08</v>
      </c>
      <c r="AL115" s="32">
        <v>0.2</v>
      </c>
      <c r="AM115" s="32">
        <v>0.14000000000000001</v>
      </c>
      <c r="AN115" s="32">
        <v>0.06</v>
      </c>
      <c r="AO115" s="32">
        <v>-0.13</v>
      </c>
      <c r="AP115" s="32">
        <v>0.04</v>
      </c>
      <c r="AQ115" s="32">
        <v>-0.11</v>
      </c>
      <c r="AR115" s="32">
        <v>0.12</v>
      </c>
      <c r="AS115" s="32">
        <v>0.06</v>
      </c>
      <c r="AT115" s="32">
        <v>0.15</v>
      </c>
      <c r="AU115" s="32">
        <v>-7.0000000000000007E-2</v>
      </c>
      <c r="AV115" s="32">
        <v>0.18</v>
      </c>
      <c r="AW115" s="32">
        <v>0.12</v>
      </c>
      <c r="AX115" s="32">
        <v>-7.0000000000000007E-2</v>
      </c>
      <c r="AY115" s="32">
        <v>0.14000000000000001</v>
      </c>
      <c r="AZ115" s="32">
        <v>0.25</v>
      </c>
      <c r="BA115" s="32">
        <v>0.13</v>
      </c>
      <c r="BB115" s="32">
        <v>0.32</v>
      </c>
      <c r="BC115" s="32">
        <v>0.22</v>
      </c>
      <c r="BD115" s="32">
        <v>0.09</v>
      </c>
      <c r="BE115" s="32">
        <v>-0.12</v>
      </c>
      <c r="BF115" s="32">
        <v>0.04</v>
      </c>
      <c r="BG115" s="32">
        <v>0.09</v>
      </c>
      <c r="BH115" s="32">
        <v>0.22</v>
      </c>
      <c r="BI115" s="32">
        <v>0.03</v>
      </c>
      <c r="BJ115" s="32">
        <v>0.06</v>
      </c>
      <c r="BK115" s="32">
        <v>0.2</v>
      </c>
      <c r="BL115" s="32">
        <v>0.23</v>
      </c>
      <c r="BM115" s="32">
        <v>0.03</v>
      </c>
      <c r="BN115" s="32">
        <v>-0.04</v>
      </c>
      <c r="BO115" s="32">
        <v>0.33</v>
      </c>
      <c r="BP115" s="32">
        <v>0.24</v>
      </c>
      <c r="BQ115" s="32">
        <v>0.23</v>
      </c>
      <c r="BR115" s="32">
        <v>0.19</v>
      </c>
      <c r="BS115" s="32">
        <v>0.01</v>
      </c>
      <c r="BT115" s="32">
        <v>0.23</v>
      </c>
      <c r="BU115" s="32">
        <v>0.11</v>
      </c>
      <c r="BV115" s="32">
        <v>0.26</v>
      </c>
      <c r="BW115" s="32">
        <v>0.1</v>
      </c>
      <c r="BX115" s="32">
        <v>-0.04</v>
      </c>
      <c r="BY115" s="32">
        <v>0.15</v>
      </c>
      <c r="BZ115" s="32">
        <v>0.17</v>
      </c>
      <c r="CA115" s="32">
        <v>0.17</v>
      </c>
      <c r="CB115" s="32">
        <v>-0.06</v>
      </c>
      <c r="CC115" s="32">
        <v>-0.03</v>
      </c>
      <c r="CD115" s="32">
        <v>0.12</v>
      </c>
      <c r="CE115" s="32">
        <v>0.38</v>
      </c>
      <c r="CF115" s="32">
        <v>-0.06</v>
      </c>
      <c r="CG115" s="32">
        <v>0.16</v>
      </c>
      <c r="CH115" s="32">
        <v>0.3</v>
      </c>
      <c r="CI115" s="32">
        <v>-0.06</v>
      </c>
      <c r="CJ115" s="32">
        <v>0.01</v>
      </c>
      <c r="CK115" s="32">
        <v>-0.02</v>
      </c>
      <c r="CL115" s="32">
        <v>0.17</v>
      </c>
      <c r="CM115" s="32">
        <v>0.54</v>
      </c>
      <c r="CN115" s="32">
        <v>0.13</v>
      </c>
      <c r="CO115" s="32">
        <v>0.14000000000000001</v>
      </c>
      <c r="CP115" s="32">
        <v>0.18</v>
      </c>
      <c r="CQ115" s="32">
        <v>0.27</v>
      </c>
      <c r="CR115" s="32">
        <v>0.61</v>
      </c>
      <c r="CS115" s="32">
        <v>0.5</v>
      </c>
      <c r="CT115" s="32">
        <v>0.19</v>
      </c>
      <c r="CU115" s="32">
        <v>0.27</v>
      </c>
      <c r="CV115" s="32">
        <v>0.2</v>
      </c>
      <c r="CW115" s="32">
        <v>0.15</v>
      </c>
      <c r="CX115" s="32">
        <v>0.17</v>
      </c>
      <c r="CY115" s="32">
        <v>0.19</v>
      </c>
      <c r="CZ115" s="32">
        <v>0.18</v>
      </c>
      <c r="DA115" s="32">
        <v>0.11</v>
      </c>
      <c r="DB115" s="32">
        <v>0.38</v>
      </c>
      <c r="DC115" s="32">
        <v>0.16</v>
      </c>
      <c r="DD115" s="32">
        <v>0.28999999999999998</v>
      </c>
      <c r="DE115" s="32">
        <v>0.41</v>
      </c>
      <c r="DF115" s="32">
        <v>0.04</v>
      </c>
      <c r="DG115" s="32">
        <v>0.25</v>
      </c>
      <c r="DH115" s="32">
        <v>1</v>
      </c>
      <c r="DI115" s="32">
        <v>0.25</v>
      </c>
      <c r="DJ115" s="32">
        <v>0.19</v>
      </c>
      <c r="DK115" s="32">
        <v>0.31</v>
      </c>
      <c r="DL115" s="32">
        <v>0.18</v>
      </c>
      <c r="DM115" s="32">
        <v>0.22</v>
      </c>
      <c r="DN115" s="32">
        <v>0.15</v>
      </c>
      <c r="DO115" s="32">
        <v>0.35</v>
      </c>
      <c r="DP115" s="32">
        <v>0.2</v>
      </c>
      <c r="DQ115" s="32">
        <v>0.33</v>
      </c>
      <c r="DR115" s="32">
        <v>0.32</v>
      </c>
      <c r="DS115" s="32">
        <v>0.08</v>
      </c>
      <c r="DT115" s="32">
        <v>0.45</v>
      </c>
      <c r="DU115" s="32">
        <v>0.36</v>
      </c>
      <c r="DV115" s="32">
        <v>0.32</v>
      </c>
      <c r="DW115" s="32">
        <v>0.25</v>
      </c>
      <c r="DX115" s="32">
        <v>0.55000000000000004</v>
      </c>
      <c r="DY115" s="32">
        <v>0.27</v>
      </c>
      <c r="DZ115" s="32">
        <v>0.17</v>
      </c>
      <c r="EA115" s="32">
        <v>0.18</v>
      </c>
      <c r="EB115" s="32">
        <v>0.3</v>
      </c>
      <c r="EC115" s="32">
        <v>0.05</v>
      </c>
      <c r="ED115" s="32">
        <v>0.27</v>
      </c>
      <c r="EE115" s="32">
        <v>0.53</v>
      </c>
      <c r="EF115" s="32">
        <v>0.28000000000000003</v>
      </c>
      <c r="EG115" s="32">
        <v>0.44</v>
      </c>
      <c r="EH115" s="32">
        <v>0.11</v>
      </c>
      <c r="EI115" s="32">
        <v>0.5</v>
      </c>
      <c r="EJ115" s="32">
        <v>0.21</v>
      </c>
      <c r="EK115" s="32">
        <v>0.41</v>
      </c>
      <c r="EL115" s="32">
        <v>0.43</v>
      </c>
      <c r="EM115" s="32">
        <v>0.18</v>
      </c>
      <c r="EN115" s="32">
        <v>0.02</v>
      </c>
      <c r="EO115" s="32">
        <v>7.0000000000000007E-2</v>
      </c>
    </row>
    <row r="116" spans="1:145" x14ac:dyDescent="0.25">
      <c r="A116" s="31" t="s">
        <v>195</v>
      </c>
      <c r="B116" s="32">
        <v>0.27</v>
      </c>
      <c r="C116" s="32">
        <v>-0.03</v>
      </c>
      <c r="D116" s="32">
        <v>0.03</v>
      </c>
      <c r="E116" s="32">
        <v>0.2</v>
      </c>
      <c r="F116" s="32">
        <v>0.1</v>
      </c>
      <c r="G116" s="32">
        <v>0</v>
      </c>
      <c r="H116" s="32">
        <v>0.11</v>
      </c>
      <c r="I116" s="32">
        <v>0.23</v>
      </c>
      <c r="J116" s="32">
        <v>0.04</v>
      </c>
      <c r="K116" s="32">
        <v>0.23</v>
      </c>
      <c r="L116" s="32">
        <v>0.14000000000000001</v>
      </c>
      <c r="M116" s="32">
        <v>0.41</v>
      </c>
      <c r="N116" s="32">
        <v>0.22</v>
      </c>
      <c r="O116" s="32">
        <v>0.19</v>
      </c>
      <c r="P116" s="32">
        <v>0.05</v>
      </c>
      <c r="Q116" s="32">
        <v>7.0000000000000007E-2</v>
      </c>
      <c r="R116" s="32">
        <v>0.12</v>
      </c>
      <c r="S116" s="32">
        <v>0.11</v>
      </c>
      <c r="T116" s="32">
        <v>0.39</v>
      </c>
      <c r="U116" s="32">
        <v>0.15</v>
      </c>
      <c r="V116" s="32">
        <v>0.1</v>
      </c>
      <c r="W116" s="32">
        <v>0.11</v>
      </c>
      <c r="X116" s="32">
        <v>0.4</v>
      </c>
      <c r="Y116" s="32">
        <v>0.24</v>
      </c>
      <c r="Z116" s="32">
        <v>0.09</v>
      </c>
      <c r="AA116" s="32">
        <v>0.19</v>
      </c>
      <c r="AB116" s="32">
        <v>0.27</v>
      </c>
      <c r="AC116" s="32">
        <v>0.12</v>
      </c>
      <c r="AD116" s="32">
        <v>0.06</v>
      </c>
      <c r="AE116" s="32">
        <v>0.24</v>
      </c>
      <c r="AF116" s="32">
        <v>0.11</v>
      </c>
      <c r="AG116" s="32">
        <v>0.03</v>
      </c>
      <c r="AH116" s="32">
        <v>0.05</v>
      </c>
      <c r="AI116" s="32">
        <v>-0.31</v>
      </c>
      <c r="AJ116" s="32">
        <v>0.04</v>
      </c>
      <c r="AK116" s="32">
        <v>0.18</v>
      </c>
      <c r="AL116" s="32">
        <v>0.28999999999999998</v>
      </c>
      <c r="AM116" s="32">
        <v>0.17</v>
      </c>
      <c r="AN116" s="32">
        <v>0.46</v>
      </c>
      <c r="AO116" s="32">
        <v>0.06</v>
      </c>
      <c r="AP116" s="32">
        <v>0.34</v>
      </c>
      <c r="AQ116" s="32">
        <v>-0.35</v>
      </c>
      <c r="AR116" s="32">
        <v>0.35</v>
      </c>
      <c r="AS116" s="32">
        <v>7.0000000000000007E-2</v>
      </c>
      <c r="AT116" s="32">
        <v>0.45</v>
      </c>
      <c r="AU116" s="32">
        <v>0.06</v>
      </c>
      <c r="AV116" s="32">
        <v>0.14000000000000001</v>
      </c>
      <c r="AW116" s="32">
        <v>0.12</v>
      </c>
      <c r="AX116" s="32">
        <v>0.25</v>
      </c>
      <c r="AY116" s="32">
        <v>0.33</v>
      </c>
      <c r="AZ116" s="32">
        <v>0.28000000000000003</v>
      </c>
      <c r="BA116" s="32">
        <v>0.34</v>
      </c>
      <c r="BB116" s="32">
        <v>0.53</v>
      </c>
      <c r="BC116" s="32">
        <v>0.19</v>
      </c>
      <c r="BD116" s="32">
        <v>0.16</v>
      </c>
      <c r="BE116" s="32">
        <v>0.15</v>
      </c>
      <c r="BF116" s="32">
        <v>0.11</v>
      </c>
      <c r="BG116" s="32">
        <v>0.23</v>
      </c>
      <c r="BH116" s="32">
        <v>0.15</v>
      </c>
      <c r="BI116" s="32">
        <v>0.21</v>
      </c>
      <c r="BJ116" s="32">
        <v>-0.06</v>
      </c>
      <c r="BK116" s="32">
        <v>0.24</v>
      </c>
      <c r="BL116" s="32">
        <v>0.27</v>
      </c>
      <c r="BM116" s="32">
        <v>0.28000000000000003</v>
      </c>
      <c r="BN116" s="32">
        <v>0.19</v>
      </c>
      <c r="BO116" s="32">
        <v>0.37</v>
      </c>
      <c r="BP116" s="32">
        <v>0.18</v>
      </c>
      <c r="BQ116" s="32">
        <v>0.26</v>
      </c>
      <c r="BR116" s="32">
        <v>0.46</v>
      </c>
      <c r="BS116" s="32">
        <v>-0.32</v>
      </c>
      <c r="BT116" s="32">
        <v>0.48</v>
      </c>
      <c r="BU116" s="32">
        <v>0.13</v>
      </c>
      <c r="BV116" s="32">
        <v>0.31</v>
      </c>
      <c r="BW116" s="32">
        <v>0.3</v>
      </c>
      <c r="BX116" s="32">
        <v>0.16</v>
      </c>
      <c r="BY116" s="32">
        <v>0.43</v>
      </c>
      <c r="BZ116" s="32">
        <v>0.41</v>
      </c>
      <c r="CA116" s="32">
        <v>0.08</v>
      </c>
      <c r="CB116" s="32">
        <v>-0.04</v>
      </c>
      <c r="CC116" s="32">
        <v>0.19</v>
      </c>
      <c r="CD116" s="32">
        <v>0.23</v>
      </c>
      <c r="CE116" s="32">
        <v>0.14000000000000001</v>
      </c>
      <c r="CF116" s="32">
        <v>-0.33</v>
      </c>
      <c r="CG116" s="32">
        <v>0.38</v>
      </c>
      <c r="CH116" s="32">
        <v>0.24</v>
      </c>
      <c r="CI116" s="32">
        <v>-0.33</v>
      </c>
      <c r="CJ116" s="32">
        <v>0.09</v>
      </c>
      <c r="CK116" s="32">
        <v>0.28999999999999998</v>
      </c>
      <c r="CL116" s="32">
        <v>0.41</v>
      </c>
      <c r="CM116" s="32">
        <v>0.22</v>
      </c>
      <c r="CN116" s="32">
        <v>0.03</v>
      </c>
      <c r="CO116" s="32">
        <v>0.14000000000000001</v>
      </c>
      <c r="CP116" s="32">
        <v>0.14000000000000001</v>
      </c>
      <c r="CQ116" s="32">
        <v>0.84</v>
      </c>
      <c r="CR116" s="32">
        <v>0.35</v>
      </c>
      <c r="CS116" s="32">
        <v>0.38</v>
      </c>
      <c r="CT116" s="32">
        <v>0.28999999999999998</v>
      </c>
      <c r="CU116" s="32">
        <v>0.16</v>
      </c>
      <c r="CV116" s="32">
        <v>0.26</v>
      </c>
      <c r="CW116" s="32">
        <v>0.24</v>
      </c>
      <c r="CX116" s="32">
        <v>0.33</v>
      </c>
      <c r="CY116" s="32">
        <v>0.73</v>
      </c>
      <c r="CZ116" s="32">
        <v>0.15</v>
      </c>
      <c r="DA116" s="32">
        <v>0.14000000000000001</v>
      </c>
      <c r="DB116" s="32">
        <v>0.37</v>
      </c>
      <c r="DC116" s="32">
        <v>0.42</v>
      </c>
      <c r="DD116" s="32">
        <v>0.35</v>
      </c>
      <c r="DE116" s="32">
        <v>0.28000000000000003</v>
      </c>
      <c r="DF116" s="32">
        <v>0.11</v>
      </c>
      <c r="DG116" s="32">
        <v>0.25</v>
      </c>
      <c r="DH116" s="32">
        <v>0.25</v>
      </c>
      <c r="DI116" s="32">
        <v>1</v>
      </c>
      <c r="DJ116" s="32">
        <v>0.52</v>
      </c>
      <c r="DK116" s="32">
        <v>0.84</v>
      </c>
      <c r="DL116" s="32">
        <v>0.09</v>
      </c>
      <c r="DM116" s="32">
        <v>0.65</v>
      </c>
      <c r="DN116" s="32">
        <v>0.27</v>
      </c>
      <c r="DO116" s="32">
        <v>0.32</v>
      </c>
      <c r="DP116" s="32">
        <v>0.6</v>
      </c>
      <c r="DQ116" s="32">
        <v>0.3</v>
      </c>
      <c r="DR116" s="32">
        <v>0.2</v>
      </c>
      <c r="DS116" s="32">
        <v>0.17</v>
      </c>
      <c r="DT116" s="32">
        <v>0.19</v>
      </c>
      <c r="DU116" s="32">
        <v>0.4</v>
      </c>
      <c r="DV116" s="32">
        <v>0.19</v>
      </c>
      <c r="DW116" s="32">
        <v>0.31</v>
      </c>
      <c r="DX116" s="32">
        <v>0.31</v>
      </c>
      <c r="DY116" s="32">
        <v>0.47</v>
      </c>
      <c r="DZ116" s="32">
        <v>0.13</v>
      </c>
      <c r="EA116" s="32">
        <v>0.27</v>
      </c>
      <c r="EB116" s="32">
        <v>0.45</v>
      </c>
      <c r="EC116" s="32">
        <v>-0.01</v>
      </c>
      <c r="ED116" s="32">
        <v>0.27</v>
      </c>
      <c r="EE116" s="32">
        <v>0.35</v>
      </c>
      <c r="EF116" s="32">
        <v>0.21</v>
      </c>
      <c r="EG116" s="32">
        <v>0.3</v>
      </c>
      <c r="EH116" s="32">
        <v>0.16</v>
      </c>
      <c r="EI116" s="32">
        <v>0.26</v>
      </c>
      <c r="EJ116" s="32">
        <v>0.32</v>
      </c>
      <c r="EK116" s="32">
        <v>0.3</v>
      </c>
      <c r="EL116" s="32">
        <v>0.32</v>
      </c>
      <c r="EM116" s="32">
        <v>0.16</v>
      </c>
      <c r="EN116" s="32">
        <v>0.13</v>
      </c>
      <c r="EO116" s="32">
        <v>0.11</v>
      </c>
    </row>
    <row r="117" spans="1:145" x14ac:dyDescent="0.25">
      <c r="A117" s="31" t="s">
        <v>196</v>
      </c>
      <c r="B117" s="32">
        <v>0.22</v>
      </c>
      <c r="C117" s="32">
        <v>-0.06</v>
      </c>
      <c r="D117" s="32">
        <v>0</v>
      </c>
      <c r="E117" s="32">
        <v>0.08</v>
      </c>
      <c r="F117" s="32">
        <v>0.14000000000000001</v>
      </c>
      <c r="G117" s="32">
        <v>-0.04</v>
      </c>
      <c r="H117" s="32">
        <v>0.06</v>
      </c>
      <c r="I117" s="32">
        <v>0.26</v>
      </c>
      <c r="J117" s="32">
        <v>0.14000000000000001</v>
      </c>
      <c r="K117" s="32">
        <v>0.27</v>
      </c>
      <c r="L117" s="32">
        <v>0.08</v>
      </c>
      <c r="M117" s="32">
        <v>0.37</v>
      </c>
      <c r="N117" s="32">
        <v>0.28999999999999998</v>
      </c>
      <c r="O117" s="32">
        <v>0.06</v>
      </c>
      <c r="P117" s="32">
        <v>0.08</v>
      </c>
      <c r="Q117" s="32">
        <v>-0.01</v>
      </c>
      <c r="R117" s="32">
        <v>0.15</v>
      </c>
      <c r="S117" s="32">
        <v>0.06</v>
      </c>
      <c r="T117" s="32">
        <v>0.4</v>
      </c>
      <c r="U117" s="32">
        <v>7.0000000000000007E-2</v>
      </c>
      <c r="V117" s="32">
        <v>0.1</v>
      </c>
      <c r="W117" s="32">
        <v>-0.03</v>
      </c>
      <c r="X117" s="32">
        <v>0.39</v>
      </c>
      <c r="Y117" s="32">
        <v>0.33</v>
      </c>
      <c r="Z117" s="32">
        <v>0.11</v>
      </c>
      <c r="AA117" s="32">
        <v>0.1</v>
      </c>
      <c r="AB117" s="32">
        <v>0.36</v>
      </c>
      <c r="AC117" s="32">
        <v>-0.01</v>
      </c>
      <c r="AD117" s="32">
        <v>0.05</v>
      </c>
      <c r="AE117" s="32">
        <v>0.18</v>
      </c>
      <c r="AF117" s="32">
        <v>-0.01</v>
      </c>
      <c r="AG117" s="32">
        <v>0.03</v>
      </c>
      <c r="AH117" s="32">
        <v>0</v>
      </c>
      <c r="AI117" s="32">
        <v>-0.21</v>
      </c>
      <c r="AJ117" s="32">
        <v>0.02</v>
      </c>
      <c r="AK117" s="32">
        <v>0.19</v>
      </c>
      <c r="AL117" s="32">
        <v>0.27</v>
      </c>
      <c r="AM117" s="32">
        <v>0.12</v>
      </c>
      <c r="AN117" s="32">
        <v>0.43</v>
      </c>
      <c r="AO117" s="32">
        <v>0.15</v>
      </c>
      <c r="AP117" s="32">
        <v>0.38</v>
      </c>
      <c r="AQ117" s="32">
        <v>-0.21</v>
      </c>
      <c r="AR117" s="32">
        <v>0.35</v>
      </c>
      <c r="AS117" s="32">
        <v>0.1</v>
      </c>
      <c r="AT117" s="32">
        <v>0.44</v>
      </c>
      <c r="AU117" s="32">
        <v>0.12</v>
      </c>
      <c r="AV117" s="32">
        <v>0.02</v>
      </c>
      <c r="AW117" s="32">
        <v>0.05</v>
      </c>
      <c r="AX117" s="32">
        <v>0.26</v>
      </c>
      <c r="AY117" s="32">
        <v>0.33</v>
      </c>
      <c r="AZ117" s="32">
        <v>0.18</v>
      </c>
      <c r="BA117" s="32">
        <v>0.32</v>
      </c>
      <c r="BB117" s="32">
        <v>0.41</v>
      </c>
      <c r="BC117" s="32">
        <v>-0.01</v>
      </c>
      <c r="BD117" s="32">
        <v>0.09</v>
      </c>
      <c r="BE117" s="32">
        <v>0.22</v>
      </c>
      <c r="BF117" s="32">
        <v>0.12</v>
      </c>
      <c r="BG117" s="32">
        <v>0.3</v>
      </c>
      <c r="BH117" s="32">
        <v>0.08</v>
      </c>
      <c r="BI117" s="32">
        <v>0.09</v>
      </c>
      <c r="BJ117" s="32">
        <v>-7.0000000000000007E-2</v>
      </c>
      <c r="BK117" s="32">
        <v>0.14000000000000001</v>
      </c>
      <c r="BL117" s="32">
        <v>0.37</v>
      </c>
      <c r="BM117" s="32">
        <v>0.32</v>
      </c>
      <c r="BN117" s="32">
        <v>0.11</v>
      </c>
      <c r="BO117" s="32">
        <v>0.33</v>
      </c>
      <c r="BP117" s="32">
        <v>0.03</v>
      </c>
      <c r="BQ117" s="32">
        <v>0.19</v>
      </c>
      <c r="BR117" s="32">
        <v>0.34</v>
      </c>
      <c r="BS117" s="32">
        <v>-0.14000000000000001</v>
      </c>
      <c r="BT117" s="32">
        <v>0.43</v>
      </c>
      <c r="BU117" s="32">
        <v>0.14000000000000001</v>
      </c>
      <c r="BV117" s="32">
        <v>0.25</v>
      </c>
      <c r="BW117" s="32">
        <v>0.08</v>
      </c>
      <c r="BX117" s="32">
        <v>0.25</v>
      </c>
      <c r="BY117" s="32">
        <v>0.4</v>
      </c>
      <c r="BZ117" s="32">
        <v>0.31</v>
      </c>
      <c r="CA117" s="32">
        <v>0.05</v>
      </c>
      <c r="CB117" s="32">
        <v>-7.0000000000000007E-2</v>
      </c>
      <c r="CC117" s="32">
        <v>0.13</v>
      </c>
      <c r="CD117" s="32">
        <v>0.35</v>
      </c>
      <c r="CE117" s="32">
        <v>0.16</v>
      </c>
      <c r="CF117" s="32">
        <v>-0.19</v>
      </c>
      <c r="CG117" s="32">
        <v>0.39</v>
      </c>
      <c r="CH117" s="32">
        <v>0.25</v>
      </c>
      <c r="CI117" s="32">
        <v>-0.17</v>
      </c>
      <c r="CJ117" s="32">
        <v>0.04</v>
      </c>
      <c r="CK117" s="32">
        <v>0.28000000000000003</v>
      </c>
      <c r="CL117" s="32">
        <v>0.35</v>
      </c>
      <c r="CM117" s="32">
        <v>0.21</v>
      </c>
      <c r="CN117" s="32">
        <v>0.13</v>
      </c>
      <c r="CO117" s="32">
        <v>0.08</v>
      </c>
      <c r="CP117" s="32">
        <v>0.09</v>
      </c>
      <c r="CQ117" s="32">
        <v>0.57999999999999996</v>
      </c>
      <c r="CR117" s="32">
        <v>0.34</v>
      </c>
      <c r="CS117" s="32">
        <v>0.33</v>
      </c>
      <c r="CT117" s="32">
        <v>0.26</v>
      </c>
      <c r="CU117" s="32">
        <v>0.15</v>
      </c>
      <c r="CV117" s="32">
        <v>0.31</v>
      </c>
      <c r="CW117" s="32">
        <v>0.27</v>
      </c>
      <c r="CX117" s="32">
        <v>0.31</v>
      </c>
      <c r="CY117" s="32">
        <v>0.67</v>
      </c>
      <c r="CZ117" s="32">
        <v>0.18</v>
      </c>
      <c r="DA117" s="32">
        <v>0.23</v>
      </c>
      <c r="DB117" s="32">
        <v>0.17</v>
      </c>
      <c r="DC117" s="32">
        <v>0.41</v>
      </c>
      <c r="DD117" s="32">
        <v>0.34</v>
      </c>
      <c r="DE117" s="32">
        <v>0.3</v>
      </c>
      <c r="DF117" s="32">
        <v>0.1</v>
      </c>
      <c r="DG117" s="32">
        <v>0.22</v>
      </c>
      <c r="DH117" s="32">
        <v>0.19</v>
      </c>
      <c r="DI117" s="32">
        <v>0.52</v>
      </c>
      <c r="DJ117" s="32">
        <v>1</v>
      </c>
      <c r="DK117" s="32">
        <v>0.56999999999999995</v>
      </c>
      <c r="DL117" s="32">
        <v>0.11</v>
      </c>
      <c r="DM117" s="32">
        <v>0.8</v>
      </c>
      <c r="DN117" s="32">
        <v>0.28999999999999998</v>
      </c>
      <c r="DO117" s="32">
        <v>0.27</v>
      </c>
      <c r="DP117" s="32">
        <v>0.76</v>
      </c>
      <c r="DQ117" s="32">
        <v>0.15</v>
      </c>
      <c r="DR117" s="32">
        <v>0.16</v>
      </c>
      <c r="DS117" s="32">
        <v>0.25</v>
      </c>
      <c r="DT117" s="32">
        <v>0.16</v>
      </c>
      <c r="DU117" s="32">
        <v>0.25</v>
      </c>
      <c r="DV117" s="32">
        <v>0.1</v>
      </c>
      <c r="DW117" s="32">
        <v>0.3</v>
      </c>
      <c r="DX117" s="32">
        <v>0.27</v>
      </c>
      <c r="DY117" s="32">
        <v>0.33</v>
      </c>
      <c r="DZ117" s="32">
        <v>0.13</v>
      </c>
      <c r="EA117" s="32">
        <v>0.23</v>
      </c>
      <c r="EB117" s="32">
        <v>0.37</v>
      </c>
      <c r="EC117" s="32">
        <v>7.0000000000000007E-2</v>
      </c>
      <c r="ED117" s="32">
        <v>0.21</v>
      </c>
      <c r="EE117" s="32">
        <v>0.22</v>
      </c>
      <c r="EF117" s="32">
        <v>0.18</v>
      </c>
      <c r="EG117" s="32">
        <v>0.19</v>
      </c>
      <c r="EH117" s="32">
        <v>0.1</v>
      </c>
      <c r="EI117" s="32">
        <v>0.17</v>
      </c>
      <c r="EJ117" s="32">
        <v>0.36</v>
      </c>
      <c r="EK117" s="32">
        <v>0.13</v>
      </c>
      <c r="EL117" s="32">
        <v>0.21</v>
      </c>
      <c r="EM117" s="32">
        <v>0.12</v>
      </c>
      <c r="EN117" s="32">
        <v>0.14000000000000001</v>
      </c>
      <c r="EO117" s="32">
        <v>0.17</v>
      </c>
    </row>
    <row r="118" spans="1:145" x14ac:dyDescent="0.25">
      <c r="A118" s="31" t="s">
        <v>197</v>
      </c>
      <c r="B118" s="32">
        <v>0.23</v>
      </c>
      <c r="C118" s="32">
        <v>0</v>
      </c>
      <c r="D118" s="32">
        <v>0.02</v>
      </c>
      <c r="E118" s="32">
        <v>0.14000000000000001</v>
      </c>
      <c r="F118" s="32">
        <v>7.0000000000000007E-2</v>
      </c>
      <c r="G118" s="32">
        <v>-0.06</v>
      </c>
      <c r="H118" s="32">
        <v>0.09</v>
      </c>
      <c r="I118" s="32">
        <v>0.18</v>
      </c>
      <c r="J118" s="32">
        <v>7.0000000000000007E-2</v>
      </c>
      <c r="K118" s="32">
        <v>0.2</v>
      </c>
      <c r="L118" s="32">
        <v>0.15</v>
      </c>
      <c r="M118" s="32">
        <v>0.44</v>
      </c>
      <c r="N118" s="32">
        <v>0.23</v>
      </c>
      <c r="O118" s="32">
        <v>0.14000000000000001</v>
      </c>
      <c r="P118" s="32">
        <v>0.05</v>
      </c>
      <c r="Q118" s="32">
        <v>0.04</v>
      </c>
      <c r="R118" s="32">
        <v>0.1</v>
      </c>
      <c r="S118" s="32">
        <v>0.11</v>
      </c>
      <c r="T118" s="32">
        <v>0.44</v>
      </c>
      <c r="U118" s="32">
        <v>0.15</v>
      </c>
      <c r="V118" s="32">
        <v>0.11</v>
      </c>
      <c r="W118" s="32">
        <v>0.08</v>
      </c>
      <c r="X118" s="32">
        <v>0.47</v>
      </c>
      <c r="Y118" s="32">
        <v>0.23</v>
      </c>
      <c r="Z118" s="32">
        <v>0.09</v>
      </c>
      <c r="AA118" s="32">
        <v>0.17</v>
      </c>
      <c r="AB118" s="32">
        <v>0.24</v>
      </c>
      <c r="AC118" s="32">
        <v>0.04</v>
      </c>
      <c r="AD118" s="32">
        <v>0.09</v>
      </c>
      <c r="AE118" s="32">
        <v>0.27</v>
      </c>
      <c r="AF118" s="32">
        <v>0.13</v>
      </c>
      <c r="AG118" s="32">
        <v>0</v>
      </c>
      <c r="AH118" s="32">
        <v>0.02</v>
      </c>
      <c r="AI118" s="32">
        <v>-0.31</v>
      </c>
      <c r="AJ118" s="32">
        <v>7.0000000000000007E-2</v>
      </c>
      <c r="AK118" s="32">
        <v>0.19</v>
      </c>
      <c r="AL118" s="32">
        <v>0.3</v>
      </c>
      <c r="AM118" s="32">
        <v>0.18</v>
      </c>
      <c r="AN118" s="32">
        <v>0.47</v>
      </c>
      <c r="AO118" s="32">
        <v>0.08</v>
      </c>
      <c r="AP118" s="32">
        <v>0.33</v>
      </c>
      <c r="AQ118" s="32">
        <v>-0.35</v>
      </c>
      <c r="AR118" s="32">
        <v>0.43</v>
      </c>
      <c r="AS118" s="32">
        <v>0.14000000000000001</v>
      </c>
      <c r="AT118" s="32">
        <v>0.5</v>
      </c>
      <c r="AU118" s="32">
        <v>0.08</v>
      </c>
      <c r="AV118" s="32">
        <v>0.12</v>
      </c>
      <c r="AW118" s="32">
        <v>0.17</v>
      </c>
      <c r="AX118" s="32">
        <v>0.24</v>
      </c>
      <c r="AY118" s="32">
        <v>0.37</v>
      </c>
      <c r="AZ118" s="32">
        <v>0.34</v>
      </c>
      <c r="BA118" s="32">
        <v>0.43</v>
      </c>
      <c r="BB118" s="32">
        <v>0.59</v>
      </c>
      <c r="BC118" s="32">
        <v>0.18</v>
      </c>
      <c r="BD118" s="32">
        <v>0.17</v>
      </c>
      <c r="BE118" s="32">
        <v>0.19</v>
      </c>
      <c r="BF118" s="32">
        <v>0.16</v>
      </c>
      <c r="BG118" s="32">
        <v>0.31</v>
      </c>
      <c r="BH118" s="32">
        <v>0.19</v>
      </c>
      <c r="BI118" s="32">
        <v>0.18</v>
      </c>
      <c r="BJ118" s="32">
        <v>-0.01</v>
      </c>
      <c r="BK118" s="32">
        <v>0.24</v>
      </c>
      <c r="BL118" s="32">
        <v>0.36</v>
      </c>
      <c r="BM118" s="32">
        <v>0.3</v>
      </c>
      <c r="BN118" s="32">
        <v>0.17</v>
      </c>
      <c r="BO118" s="32">
        <v>0.34</v>
      </c>
      <c r="BP118" s="32">
        <v>0.18</v>
      </c>
      <c r="BQ118" s="32">
        <v>0.35</v>
      </c>
      <c r="BR118" s="32">
        <v>0.51</v>
      </c>
      <c r="BS118" s="32">
        <v>-0.3</v>
      </c>
      <c r="BT118" s="32">
        <v>0.54</v>
      </c>
      <c r="BU118" s="32">
        <v>0.14000000000000001</v>
      </c>
      <c r="BV118" s="32">
        <v>0.31</v>
      </c>
      <c r="BW118" s="32">
        <v>0.31</v>
      </c>
      <c r="BX118" s="32">
        <v>0.14000000000000001</v>
      </c>
      <c r="BY118" s="32">
        <v>0.45</v>
      </c>
      <c r="BZ118" s="32">
        <v>0.48</v>
      </c>
      <c r="CA118" s="32">
        <v>0.05</v>
      </c>
      <c r="CB118" s="32">
        <v>-0.06</v>
      </c>
      <c r="CC118" s="32">
        <v>0.17</v>
      </c>
      <c r="CD118" s="32">
        <v>0.27</v>
      </c>
      <c r="CE118" s="32">
        <v>0.22</v>
      </c>
      <c r="CF118" s="32">
        <v>-0.32</v>
      </c>
      <c r="CG118" s="32">
        <v>0.39</v>
      </c>
      <c r="CH118" s="32">
        <v>0.28000000000000003</v>
      </c>
      <c r="CI118" s="32">
        <v>-0.33</v>
      </c>
      <c r="CJ118" s="32">
        <v>0.06</v>
      </c>
      <c r="CK118" s="32">
        <v>0.28999999999999998</v>
      </c>
      <c r="CL118" s="32">
        <v>0.42</v>
      </c>
      <c r="CM118" s="32">
        <v>0.31</v>
      </c>
      <c r="CN118" s="32">
        <v>0.06</v>
      </c>
      <c r="CO118" s="32">
        <v>0.18</v>
      </c>
      <c r="CP118" s="32">
        <v>0.13</v>
      </c>
      <c r="CQ118" s="32">
        <v>0.9</v>
      </c>
      <c r="CR118" s="32">
        <v>0.44</v>
      </c>
      <c r="CS118" s="32">
        <v>0.47</v>
      </c>
      <c r="CT118" s="32">
        <v>0.31</v>
      </c>
      <c r="CU118" s="32">
        <v>0.19</v>
      </c>
      <c r="CV118" s="32">
        <v>0.28000000000000003</v>
      </c>
      <c r="CW118" s="32">
        <v>0.28000000000000003</v>
      </c>
      <c r="CX118" s="32">
        <v>0.39</v>
      </c>
      <c r="CY118" s="32">
        <v>0.74</v>
      </c>
      <c r="CZ118" s="32">
        <v>0.13</v>
      </c>
      <c r="DA118" s="32">
        <v>0.16</v>
      </c>
      <c r="DB118" s="32">
        <v>0.34</v>
      </c>
      <c r="DC118" s="32">
        <v>0.47</v>
      </c>
      <c r="DD118" s="32">
        <v>0.35</v>
      </c>
      <c r="DE118" s="32">
        <v>0.38</v>
      </c>
      <c r="DF118" s="32">
        <v>0.06</v>
      </c>
      <c r="DG118" s="32">
        <v>0.31</v>
      </c>
      <c r="DH118" s="32">
        <v>0.31</v>
      </c>
      <c r="DI118" s="32">
        <v>0.84</v>
      </c>
      <c r="DJ118" s="32">
        <v>0.56999999999999995</v>
      </c>
      <c r="DK118" s="32">
        <v>1</v>
      </c>
      <c r="DL118" s="32">
        <v>0.12</v>
      </c>
      <c r="DM118" s="32">
        <v>0.69</v>
      </c>
      <c r="DN118" s="32">
        <v>0.3</v>
      </c>
      <c r="DO118" s="32">
        <v>0.33</v>
      </c>
      <c r="DP118" s="32">
        <v>0.63</v>
      </c>
      <c r="DQ118" s="32">
        <v>0.36</v>
      </c>
      <c r="DR118" s="32">
        <v>0.25</v>
      </c>
      <c r="DS118" s="32">
        <v>0.16</v>
      </c>
      <c r="DT118" s="32">
        <v>0.21</v>
      </c>
      <c r="DU118" s="32">
        <v>0.44</v>
      </c>
      <c r="DV118" s="32">
        <v>0.2</v>
      </c>
      <c r="DW118" s="32">
        <v>0.34</v>
      </c>
      <c r="DX118" s="32">
        <v>0.39</v>
      </c>
      <c r="DY118" s="32">
        <v>0.48</v>
      </c>
      <c r="DZ118" s="32">
        <v>0.12</v>
      </c>
      <c r="EA118" s="32">
        <v>0.28999999999999998</v>
      </c>
      <c r="EB118" s="32">
        <v>0.46</v>
      </c>
      <c r="EC118" s="32">
        <v>0.05</v>
      </c>
      <c r="ED118" s="32">
        <v>0.3</v>
      </c>
      <c r="EE118" s="32">
        <v>0.41</v>
      </c>
      <c r="EF118" s="32">
        <v>0.32</v>
      </c>
      <c r="EG118" s="32">
        <v>0.36</v>
      </c>
      <c r="EH118" s="32">
        <v>0.14000000000000001</v>
      </c>
      <c r="EI118" s="32">
        <v>0.33</v>
      </c>
      <c r="EJ118" s="32">
        <v>0.36</v>
      </c>
      <c r="EK118" s="32">
        <v>0.35</v>
      </c>
      <c r="EL118" s="32">
        <v>0.42</v>
      </c>
      <c r="EM118" s="32">
        <v>0.2</v>
      </c>
      <c r="EN118" s="32">
        <v>0.12</v>
      </c>
      <c r="EO118" s="32">
        <v>0.11</v>
      </c>
    </row>
    <row r="119" spans="1:145" x14ac:dyDescent="0.25">
      <c r="A119" s="31" t="s">
        <v>198</v>
      </c>
      <c r="B119" s="32">
        <v>-0.12</v>
      </c>
      <c r="C119" s="32">
        <v>0.18</v>
      </c>
      <c r="D119" s="32">
        <v>0.2</v>
      </c>
      <c r="E119" s="32">
        <v>0.11</v>
      </c>
      <c r="F119" s="32">
        <v>-0.11</v>
      </c>
      <c r="G119" s="32">
        <v>0.17</v>
      </c>
      <c r="H119" s="32">
        <v>0.22</v>
      </c>
      <c r="I119" s="32">
        <v>-0.04</v>
      </c>
      <c r="J119" s="32">
        <v>-0.01</v>
      </c>
      <c r="K119" s="32">
        <v>0.02</v>
      </c>
      <c r="L119" s="32">
        <v>0.16</v>
      </c>
      <c r="M119" s="32">
        <v>0.19</v>
      </c>
      <c r="N119" s="32">
        <v>0.04</v>
      </c>
      <c r="O119" s="32">
        <v>0.27</v>
      </c>
      <c r="P119" s="32">
        <v>-0.04</v>
      </c>
      <c r="Q119" s="32">
        <v>0.04</v>
      </c>
      <c r="R119" s="32">
        <v>-0.05</v>
      </c>
      <c r="S119" s="32">
        <v>0.17</v>
      </c>
      <c r="T119" s="32">
        <v>0.02</v>
      </c>
      <c r="U119" s="32">
        <v>0.31</v>
      </c>
      <c r="V119" s="32">
        <v>0.33</v>
      </c>
      <c r="W119" s="32">
        <v>0.08</v>
      </c>
      <c r="X119" s="32">
        <v>7.0000000000000007E-2</v>
      </c>
      <c r="Y119" s="32">
        <v>-7.0000000000000007E-2</v>
      </c>
      <c r="Z119" s="32">
        <v>0.33</v>
      </c>
      <c r="AA119" s="32">
        <v>0.13</v>
      </c>
      <c r="AB119" s="32">
        <v>-0.13</v>
      </c>
      <c r="AC119" s="32">
        <v>0.22</v>
      </c>
      <c r="AD119" s="32">
        <v>0.12</v>
      </c>
      <c r="AE119" s="32">
        <v>0.3</v>
      </c>
      <c r="AF119" s="32">
        <v>0.36</v>
      </c>
      <c r="AG119" s="32">
        <v>-0.16</v>
      </c>
      <c r="AH119" s="32">
        <v>-0.22</v>
      </c>
      <c r="AI119" s="32">
        <v>-0.25</v>
      </c>
      <c r="AJ119" s="32">
        <v>0.28999999999999998</v>
      </c>
      <c r="AK119" s="32">
        <v>0.34</v>
      </c>
      <c r="AL119" s="32">
        <v>-0.01</v>
      </c>
      <c r="AM119" s="32">
        <v>0.13</v>
      </c>
      <c r="AN119" s="32">
        <v>0.08</v>
      </c>
      <c r="AO119" s="32">
        <v>-0.08</v>
      </c>
      <c r="AP119" s="32">
        <v>0.09</v>
      </c>
      <c r="AQ119" s="32">
        <v>-0.22</v>
      </c>
      <c r="AR119" s="32">
        <v>-0.01</v>
      </c>
      <c r="AS119" s="32">
        <v>0.31</v>
      </c>
      <c r="AT119" s="32">
        <v>-0.05</v>
      </c>
      <c r="AU119" s="32">
        <v>-0.03</v>
      </c>
      <c r="AV119" s="32">
        <v>0.18</v>
      </c>
      <c r="AW119" s="32">
        <v>0.34</v>
      </c>
      <c r="AX119" s="32">
        <v>0.03</v>
      </c>
      <c r="AY119" s="32">
        <v>-0.01</v>
      </c>
      <c r="AZ119" s="32">
        <v>0.23</v>
      </c>
      <c r="BA119" s="32">
        <v>0.11</v>
      </c>
      <c r="BB119" s="32">
        <v>0.08</v>
      </c>
      <c r="BC119" s="32">
        <v>0.17</v>
      </c>
      <c r="BD119" s="32">
        <v>0.33</v>
      </c>
      <c r="BE119" s="32">
        <v>0.05</v>
      </c>
      <c r="BF119" s="32">
        <v>0.24</v>
      </c>
      <c r="BG119" s="32">
        <v>7.0000000000000007E-2</v>
      </c>
      <c r="BH119" s="32">
        <v>0.23</v>
      </c>
      <c r="BI119" s="32">
        <v>0.1</v>
      </c>
      <c r="BJ119" s="32">
        <v>0.17</v>
      </c>
      <c r="BK119" s="32">
        <v>0.17</v>
      </c>
      <c r="BL119" s="32">
        <v>0.28000000000000003</v>
      </c>
      <c r="BM119" s="32">
        <v>-0.08</v>
      </c>
      <c r="BN119" s="32">
        <v>-0.02</v>
      </c>
      <c r="BO119" s="32">
        <v>0.08</v>
      </c>
      <c r="BP119" s="32">
        <v>0.03</v>
      </c>
      <c r="BQ119" s="32">
        <v>0.33</v>
      </c>
      <c r="BR119" s="32">
        <v>0.03</v>
      </c>
      <c r="BS119" s="32">
        <v>-0.2</v>
      </c>
      <c r="BT119" s="32">
        <v>0.17</v>
      </c>
      <c r="BU119" s="32">
        <v>0.27</v>
      </c>
      <c r="BV119" s="32">
        <v>7.0000000000000007E-2</v>
      </c>
      <c r="BW119" s="32">
        <v>7.0000000000000007E-2</v>
      </c>
      <c r="BX119" s="32">
        <v>0.06</v>
      </c>
      <c r="BY119" s="32">
        <v>0.09</v>
      </c>
      <c r="BZ119" s="32">
        <v>0.11</v>
      </c>
      <c r="CA119" s="32">
        <v>0.31</v>
      </c>
      <c r="CB119" s="32">
        <v>-0.12</v>
      </c>
      <c r="CC119" s="32">
        <v>0.03</v>
      </c>
      <c r="CD119" s="32">
        <v>-0.01</v>
      </c>
      <c r="CE119" s="32">
        <v>0.06</v>
      </c>
      <c r="CF119" s="32">
        <v>-0.25</v>
      </c>
      <c r="CG119" s="32">
        <v>0.06</v>
      </c>
      <c r="CH119" s="32">
        <v>0.6</v>
      </c>
      <c r="CI119" s="32">
        <v>-0.18</v>
      </c>
      <c r="CJ119" s="32">
        <v>0</v>
      </c>
      <c r="CK119" s="32">
        <v>-7.0000000000000007E-2</v>
      </c>
      <c r="CL119" s="32">
        <v>0.14000000000000001</v>
      </c>
      <c r="CM119" s="32">
        <v>0.18</v>
      </c>
      <c r="CN119" s="32">
        <v>0.25</v>
      </c>
      <c r="CO119" s="32">
        <v>0.02</v>
      </c>
      <c r="CP119" s="32">
        <v>-0.08</v>
      </c>
      <c r="CQ119" s="32">
        <v>0.06</v>
      </c>
      <c r="CR119" s="32">
        <v>0.2</v>
      </c>
      <c r="CS119" s="32">
        <v>0.23</v>
      </c>
      <c r="CT119" s="32">
        <v>0.17</v>
      </c>
      <c r="CU119" s="32">
        <v>0.24</v>
      </c>
      <c r="CV119" s="32">
        <v>0.1</v>
      </c>
      <c r="CW119" s="32">
        <v>0.09</v>
      </c>
      <c r="CX119" s="32">
        <v>0.15</v>
      </c>
      <c r="CY119" s="32">
        <v>0.1</v>
      </c>
      <c r="CZ119" s="32">
        <v>0.05</v>
      </c>
      <c r="DA119" s="32">
        <v>0.01</v>
      </c>
      <c r="DB119" s="32">
        <v>0.22</v>
      </c>
      <c r="DC119" s="32">
        <v>0.31</v>
      </c>
      <c r="DD119" s="32">
        <v>0.14000000000000001</v>
      </c>
      <c r="DE119" s="32">
        <v>0.5</v>
      </c>
      <c r="DF119" s="32">
        <v>-0.05</v>
      </c>
      <c r="DG119" s="32">
        <v>0.57999999999999996</v>
      </c>
      <c r="DH119" s="32">
        <v>0.18</v>
      </c>
      <c r="DI119" s="32">
        <v>0.09</v>
      </c>
      <c r="DJ119" s="32">
        <v>0.11</v>
      </c>
      <c r="DK119" s="32">
        <v>0.12</v>
      </c>
      <c r="DL119" s="32">
        <v>1</v>
      </c>
      <c r="DM119" s="32">
        <v>0.19</v>
      </c>
      <c r="DN119" s="32">
        <v>0</v>
      </c>
      <c r="DO119" s="32">
        <v>0.15</v>
      </c>
      <c r="DP119" s="32">
        <v>0.13</v>
      </c>
      <c r="DQ119" s="32">
        <v>0.13</v>
      </c>
      <c r="DR119" s="32">
        <v>0.34</v>
      </c>
      <c r="DS119" s="32">
        <v>-0.16</v>
      </c>
      <c r="DT119" s="32">
        <v>0.14000000000000001</v>
      </c>
      <c r="DU119" s="32">
        <v>0.15</v>
      </c>
      <c r="DV119" s="32">
        <v>0.04</v>
      </c>
      <c r="DW119" s="32">
        <v>0.06</v>
      </c>
      <c r="DX119" s="32">
        <v>0.25</v>
      </c>
      <c r="DY119" s="32">
        <v>0.06</v>
      </c>
      <c r="DZ119" s="32">
        <v>0.04</v>
      </c>
      <c r="EA119" s="32">
        <v>0.22</v>
      </c>
      <c r="EB119" s="32">
        <v>0.02</v>
      </c>
      <c r="EC119" s="32">
        <v>0.32</v>
      </c>
      <c r="ED119" s="32">
        <v>0.21</v>
      </c>
      <c r="EE119" s="32">
        <v>0.23</v>
      </c>
      <c r="EF119" s="32">
        <v>0.22</v>
      </c>
      <c r="EG119" s="32">
        <v>0.18</v>
      </c>
      <c r="EH119" s="32">
        <v>-0.11</v>
      </c>
      <c r="EI119" s="32">
        <v>0.27</v>
      </c>
      <c r="EJ119" s="32">
        <v>0.06</v>
      </c>
      <c r="EK119" s="32">
        <v>0.26</v>
      </c>
      <c r="EL119" s="32">
        <v>0.35</v>
      </c>
      <c r="EM119" s="32">
        <v>0</v>
      </c>
      <c r="EN119" s="32">
        <v>0.12</v>
      </c>
      <c r="EO119" s="32">
        <v>0.02</v>
      </c>
    </row>
    <row r="120" spans="1:145" x14ac:dyDescent="0.25">
      <c r="A120" s="31" t="s">
        <v>199</v>
      </c>
      <c r="B120" s="32">
        <v>0.27</v>
      </c>
      <c r="C120" s="32">
        <v>-0.01</v>
      </c>
      <c r="D120" s="32">
        <v>0.02</v>
      </c>
      <c r="E120" s="32">
        <v>0.13</v>
      </c>
      <c r="F120" s="32">
        <v>0.16</v>
      </c>
      <c r="G120" s="32">
        <v>0.04</v>
      </c>
      <c r="H120" s="32">
        <v>0.14000000000000001</v>
      </c>
      <c r="I120" s="32">
        <v>0.28000000000000003</v>
      </c>
      <c r="J120" s="32">
        <v>0.12</v>
      </c>
      <c r="K120" s="32">
        <v>0.33</v>
      </c>
      <c r="L120" s="32">
        <v>0.15</v>
      </c>
      <c r="M120" s="32">
        <v>0.45</v>
      </c>
      <c r="N120" s="32">
        <v>0.35</v>
      </c>
      <c r="O120" s="32">
        <v>0.17</v>
      </c>
      <c r="P120" s="32">
        <v>0.1</v>
      </c>
      <c r="Q120" s="32">
        <v>-0.01</v>
      </c>
      <c r="R120" s="32">
        <v>0.18</v>
      </c>
      <c r="S120" s="32">
        <v>0.09</v>
      </c>
      <c r="T120" s="32">
        <v>0.45</v>
      </c>
      <c r="U120" s="32">
        <v>0.16</v>
      </c>
      <c r="V120" s="32">
        <v>0.2</v>
      </c>
      <c r="W120" s="32">
        <v>0.08</v>
      </c>
      <c r="X120" s="32">
        <v>0.46</v>
      </c>
      <c r="Y120" s="32">
        <v>0.35</v>
      </c>
      <c r="Z120" s="32">
        <v>0.2</v>
      </c>
      <c r="AA120" s="32">
        <v>0.25</v>
      </c>
      <c r="AB120" s="32">
        <v>0.35</v>
      </c>
      <c r="AC120" s="32">
        <v>0.11</v>
      </c>
      <c r="AD120" s="32">
        <v>0.12</v>
      </c>
      <c r="AE120" s="32">
        <v>0.31</v>
      </c>
      <c r="AF120" s="32">
        <v>0.09</v>
      </c>
      <c r="AG120" s="32">
        <v>0.02</v>
      </c>
      <c r="AH120" s="32">
        <v>0.02</v>
      </c>
      <c r="AI120" s="32">
        <v>-0.26</v>
      </c>
      <c r="AJ120" s="32">
        <v>0.12</v>
      </c>
      <c r="AK120" s="32">
        <v>0.27</v>
      </c>
      <c r="AL120" s="32">
        <v>0.31</v>
      </c>
      <c r="AM120" s="32">
        <v>0.24</v>
      </c>
      <c r="AN120" s="32">
        <v>0.5</v>
      </c>
      <c r="AO120" s="32">
        <v>0.15</v>
      </c>
      <c r="AP120" s="32">
        <v>0.4</v>
      </c>
      <c r="AQ120" s="32">
        <v>-0.28000000000000003</v>
      </c>
      <c r="AR120" s="32">
        <v>0.38</v>
      </c>
      <c r="AS120" s="32">
        <v>0.14000000000000001</v>
      </c>
      <c r="AT120" s="32">
        <v>0.46</v>
      </c>
      <c r="AU120" s="32">
        <v>0.15</v>
      </c>
      <c r="AV120" s="32">
        <v>0.09</v>
      </c>
      <c r="AW120" s="32">
        <v>0.12</v>
      </c>
      <c r="AX120" s="32">
        <v>0.28000000000000003</v>
      </c>
      <c r="AY120" s="32">
        <v>0.37</v>
      </c>
      <c r="AZ120" s="32">
        <v>0.28000000000000003</v>
      </c>
      <c r="BA120" s="32">
        <v>0.43</v>
      </c>
      <c r="BB120" s="32">
        <v>0.5</v>
      </c>
      <c r="BC120" s="32">
        <v>0.1</v>
      </c>
      <c r="BD120" s="32">
        <v>0.21</v>
      </c>
      <c r="BE120" s="32">
        <v>0.23</v>
      </c>
      <c r="BF120" s="32">
        <v>0.2</v>
      </c>
      <c r="BG120" s="32">
        <v>0.3</v>
      </c>
      <c r="BH120" s="32">
        <v>0.12</v>
      </c>
      <c r="BI120" s="32">
        <v>0.09</v>
      </c>
      <c r="BJ120" s="32">
        <v>-7.0000000000000007E-2</v>
      </c>
      <c r="BK120" s="32">
        <v>0.21</v>
      </c>
      <c r="BL120" s="32">
        <v>0.37</v>
      </c>
      <c r="BM120" s="32">
        <v>0.3</v>
      </c>
      <c r="BN120" s="32">
        <v>0.1</v>
      </c>
      <c r="BO120" s="32">
        <v>0.35</v>
      </c>
      <c r="BP120" s="32">
        <v>0.09</v>
      </c>
      <c r="BQ120" s="32">
        <v>0.34</v>
      </c>
      <c r="BR120" s="32">
        <v>0.43</v>
      </c>
      <c r="BS120" s="32">
        <v>-0.24</v>
      </c>
      <c r="BT120" s="32">
        <v>0.53</v>
      </c>
      <c r="BU120" s="32">
        <v>0.21</v>
      </c>
      <c r="BV120" s="32">
        <v>0.32</v>
      </c>
      <c r="BW120" s="32">
        <v>0.19</v>
      </c>
      <c r="BX120" s="32">
        <v>0.23</v>
      </c>
      <c r="BY120" s="32">
        <v>0.48</v>
      </c>
      <c r="BZ120" s="32">
        <v>0.41</v>
      </c>
      <c r="CA120" s="32">
        <v>0.12</v>
      </c>
      <c r="CB120" s="32">
        <v>-0.17</v>
      </c>
      <c r="CC120" s="32">
        <v>0.1</v>
      </c>
      <c r="CD120" s="32">
        <v>0.34</v>
      </c>
      <c r="CE120" s="32">
        <v>0.2</v>
      </c>
      <c r="CF120" s="32">
        <v>-0.26</v>
      </c>
      <c r="CG120" s="32">
        <v>0.46</v>
      </c>
      <c r="CH120" s="32">
        <v>0.32</v>
      </c>
      <c r="CI120" s="32">
        <v>-0.3</v>
      </c>
      <c r="CJ120" s="32">
        <v>0.09</v>
      </c>
      <c r="CK120" s="32">
        <v>0.28999999999999998</v>
      </c>
      <c r="CL120" s="32">
        <v>0.41</v>
      </c>
      <c r="CM120" s="32">
        <v>0.26</v>
      </c>
      <c r="CN120" s="32">
        <v>0.13</v>
      </c>
      <c r="CO120" s="32">
        <v>0.1</v>
      </c>
      <c r="CP120" s="32">
        <v>0.12</v>
      </c>
      <c r="CQ120" s="32">
        <v>0.7</v>
      </c>
      <c r="CR120" s="32">
        <v>0.41</v>
      </c>
      <c r="CS120" s="32">
        <v>0.42</v>
      </c>
      <c r="CT120" s="32">
        <v>0.35</v>
      </c>
      <c r="CU120" s="32">
        <v>0.16</v>
      </c>
      <c r="CV120" s="32">
        <v>0.31</v>
      </c>
      <c r="CW120" s="32">
        <v>0.31</v>
      </c>
      <c r="CX120" s="32">
        <v>0.39</v>
      </c>
      <c r="CY120" s="32">
        <v>0.7</v>
      </c>
      <c r="CZ120" s="32">
        <v>0.18</v>
      </c>
      <c r="DA120" s="32">
        <v>0.22</v>
      </c>
      <c r="DB120" s="32">
        <v>0.27</v>
      </c>
      <c r="DC120" s="32">
        <v>0.51</v>
      </c>
      <c r="DD120" s="32">
        <v>0.39</v>
      </c>
      <c r="DE120" s="32">
        <v>0.39</v>
      </c>
      <c r="DF120" s="32">
        <v>0.08</v>
      </c>
      <c r="DG120" s="32">
        <v>0.31</v>
      </c>
      <c r="DH120" s="32">
        <v>0.22</v>
      </c>
      <c r="DI120" s="32">
        <v>0.65</v>
      </c>
      <c r="DJ120" s="32">
        <v>0.8</v>
      </c>
      <c r="DK120" s="32">
        <v>0.69</v>
      </c>
      <c r="DL120" s="32">
        <v>0.19</v>
      </c>
      <c r="DM120" s="32">
        <v>1</v>
      </c>
      <c r="DN120" s="32">
        <v>0.28000000000000003</v>
      </c>
      <c r="DO120" s="32">
        <v>0.31</v>
      </c>
      <c r="DP120" s="32">
        <v>0.82</v>
      </c>
      <c r="DQ120" s="32">
        <v>0.25</v>
      </c>
      <c r="DR120" s="32">
        <v>0.17</v>
      </c>
      <c r="DS120" s="32">
        <v>0.18</v>
      </c>
      <c r="DT120" s="32">
        <v>0.17</v>
      </c>
      <c r="DU120" s="32">
        <v>0.34</v>
      </c>
      <c r="DV120" s="32">
        <v>0.16</v>
      </c>
      <c r="DW120" s="32">
        <v>0.35</v>
      </c>
      <c r="DX120" s="32">
        <v>0.33</v>
      </c>
      <c r="DY120" s="32">
        <v>0.41</v>
      </c>
      <c r="DZ120" s="32">
        <v>0.1</v>
      </c>
      <c r="EA120" s="32">
        <v>0.25</v>
      </c>
      <c r="EB120" s="32">
        <v>0.4</v>
      </c>
      <c r="EC120" s="32">
        <v>7.0000000000000007E-2</v>
      </c>
      <c r="ED120" s="32">
        <v>0.28000000000000003</v>
      </c>
      <c r="EE120" s="32">
        <v>0.28000000000000003</v>
      </c>
      <c r="EF120" s="32">
        <v>0.27</v>
      </c>
      <c r="EG120" s="32">
        <v>0.23</v>
      </c>
      <c r="EH120" s="32">
        <v>0.15</v>
      </c>
      <c r="EI120" s="32">
        <v>0.22</v>
      </c>
      <c r="EJ120" s="32">
        <v>0.32</v>
      </c>
      <c r="EK120" s="32">
        <v>0.2</v>
      </c>
      <c r="EL120" s="32">
        <v>0.28000000000000003</v>
      </c>
      <c r="EM120" s="32">
        <v>0.13</v>
      </c>
      <c r="EN120" s="32">
        <v>0.15</v>
      </c>
      <c r="EO120" s="32">
        <v>0.19</v>
      </c>
    </row>
    <row r="121" spans="1:145" x14ac:dyDescent="0.25">
      <c r="A121" s="31" t="s">
        <v>200</v>
      </c>
      <c r="B121" s="32">
        <v>0.19</v>
      </c>
      <c r="C121" s="32">
        <v>0.09</v>
      </c>
      <c r="D121" s="32">
        <v>-0.06</v>
      </c>
      <c r="E121" s="32">
        <v>-0.02</v>
      </c>
      <c r="F121" s="32">
        <v>0.16</v>
      </c>
      <c r="G121" s="32">
        <v>0.03</v>
      </c>
      <c r="H121" s="32">
        <v>0.09</v>
      </c>
      <c r="I121" s="32">
        <v>0.25</v>
      </c>
      <c r="J121" s="32">
        <v>7.0000000000000007E-2</v>
      </c>
      <c r="K121" s="32">
        <v>0.19</v>
      </c>
      <c r="L121" s="32">
        <v>0.21</v>
      </c>
      <c r="M121" s="32">
        <v>0.32</v>
      </c>
      <c r="N121" s="32">
        <v>0.18</v>
      </c>
      <c r="O121" s="32">
        <v>0.05</v>
      </c>
      <c r="P121" s="32">
        <v>0.16</v>
      </c>
      <c r="Q121" s="32">
        <v>-0.11</v>
      </c>
      <c r="R121" s="32">
        <v>0.16</v>
      </c>
      <c r="S121" s="32">
        <v>-0.01</v>
      </c>
      <c r="T121" s="32">
        <v>0.22</v>
      </c>
      <c r="U121" s="32">
        <v>0.06</v>
      </c>
      <c r="V121" s="32">
        <v>0.16</v>
      </c>
      <c r="W121" s="32">
        <v>0.04</v>
      </c>
      <c r="X121" s="32">
        <v>0.24</v>
      </c>
      <c r="Y121" s="32">
        <v>0.3</v>
      </c>
      <c r="Z121" s="32">
        <v>0.08</v>
      </c>
      <c r="AA121" s="32">
        <v>0.09</v>
      </c>
      <c r="AB121" s="32">
        <v>0.31</v>
      </c>
      <c r="AC121" s="32">
        <v>-0.01</v>
      </c>
      <c r="AD121" s="32">
        <v>-0.11</v>
      </c>
      <c r="AE121" s="32">
        <v>-7.0000000000000007E-2</v>
      </c>
      <c r="AF121" s="32">
        <v>-0.01</v>
      </c>
      <c r="AG121" s="32">
        <v>0.05</v>
      </c>
      <c r="AH121" s="32">
        <v>0.02</v>
      </c>
      <c r="AI121" s="32">
        <v>-0.03</v>
      </c>
      <c r="AJ121" s="32">
        <v>0.02</v>
      </c>
      <c r="AK121" s="32">
        <v>0.03</v>
      </c>
      <c r="AL121" s="32">
        <v>0.23</v>
      </c>
      <c r="AM121" s="32">
        <v>0.1</v>
      </c>
      <c r="AN121" s="32">
        <v>0.3</v>
      </c>
      <c r="AO121" s="32">
        <v>0.11</v>
      </c>
      <c r="AP121" s="32">
        <v>0.36</v>
      </c>
      <c r="AQ121" s="32">
        <v>-0.06</v>
      </c>
      <c r="AR121" s="32">
        <v>0.2</v>
      </c>
      <c r="AS121" s="32">
        <v>0.09</v>
      </c>
      <c r="AT121" s="32">
        <v>0.31</v>
      </c>
      <c r="AU121" s="32">
        <v>0.13</v>
      </c>
      <c r="AV121" s="32">
        <v>0.02</v>
      </c>
      <c r="AW121" s="32">
        <v>0.06</v>
      </c>
      <c r="AX121" s="32">
        <v>0.17</v>
      </c>
      <c r="AY121" s="32">
        <v>0.34</v>
      </c>
      <c r="AZ121" s="32">
        <v>0.08</v>
      </c>
      <c r="BA121" s="32">
        <v>0.23</v>
      </c>
      <c r="BB121" s="32">
        <v>0.26</v>
      </c>
      <c r="BC121" s="32">
        <v>0.06</v>
      </c>
      <c r="BD121" s="32">
        <v>0.05</v>
      </c>
      <c r="BE121" s="32">
        <v>0.12</v>
      </c>
      <c r="BF121" s="32">
        <v>0.03</v>
      </c>
      <c r="BG121" s="32">
        <v>0.27</v>
      </c>
      <c r="BH121" s="32">
        <v>0.08</v>
      </c>
      <c r="BI121" s="32">
        <v>0.19</v>
      </c>
      <c r="BJ121" s="32">
        <v>-0.1</v>
      </c>
      <c r="BK121" s="32">
        <v>-0.08</v>
      </c>
      <c r="BL121" s="32">
        <v>0.22</v>
      </c>
      <c r="BM121" s="32">
        <v>0.32</v>
      </c>
      <c r="BN121" s="32">
        <v>0.17</v>
      </c>
      <c r="BO121" s="32">
        <v>0.21</v>
      </c>
      <c r="BP121" s="32">
        <v>0.24</v>
      </c>
      <c r="BQ121" s="32">
        <v>0.06</v>
      </c>
      <c r="BR121" s="32">
        <v>0.28000000000000003</v>
      </c>
      <c r="BS121" s="32">
        <v>-0.04</v>
      </c>
      <c r="BT121" s="32">
        <v>0.16</v>
      </c>
      <c r="BU121" s="32">
        <v>0.05</v>
      </c>
      <c r="BV121" s="32">
        <v>0.23</v>
      </c>
      <c r="BW121" s="32">
        <v>0.21</v>
      </c>
      <c r="BX121" s="32">
        <v>0.02</v>
      </c>
      <c r="BY121" s="32">
        <v>0.2</v>
      </c>
      <c r="BZ121" s="32">
        <v>0.28999999999999998</v>
      </c>
      <c r="CA121" s="32">
        <v>7.0000000000000007E-2</v>
      </c>
      <c r="CB121" s="32">
        <v>0.06</v>
      </c>
      <c r="CC121" s="32">
        <v>0.17</v>
      </c>
      <c r="CD121" s="32">
        <v>0.33</v>
      </c>
      <c r="CE121" s="32">
        <v>0.13</v>
      </c>
      <c r="CF121" s="32">
        <v>-0.02</v>
      </c>
      <c r="CG121" s="32">
        <v>0.41</v>
      </c>
      <c r="CH121" s="32">
        <v>0.06</v>
      </c>
      <c r="CI121" s="32">
        <v>0.04</v>
      </c>
      <c r="CJ121" s="32">
        <v>0.16</v>
      </c>
      <c r="CK121" s="32">
        <v>0.25</v>
      </c>
      <c r="CL121" s="32">
        <v>0.19</v>
      </c>
      <c r="CM121" s="32">
        <v>0.17</v>
      </c>
      <c r="CN121" s="32">
        <v>0</v>
      </c>
      <c r="CO121" s="32">
        <v>0.11</v>
      </c>
      <c r="CP121" s="32">
        <v>0.2</v>
      </c>
      <c r="CQ121" s="32">
        <v>0.28999999999999998</v>
      </c>
      <c r="CR121" s="32">
        <v>0.13</v>
      </c>
      <c r="CS121" s="32">
        <v>-0.02</v>
      </c>
      <c r="CT121" s="32">
        <v>0.27</v>
      </c>
      <c r="CU121" s="32">
        <v>0.08</v>
      </c>
      <c r="CV121" s="32">
        <v>0.17</v>
      </c>
      <c r="CW121" s="32">
        <v>0.25</v>
      </c>
      <c r="CX121" s="32">
        <v>0.14000000000000001</v>
      </c>
      <c r="CY121" s="32">
        <v>0.22</v>
      </c>
      <c r="CZ121" s="32">
        <v>0.25</v>
      </c>
      <c r="DA121" s="32">
        <v>0.35</v>
      </c>
      <c r="DB121" s="32">
        <v>0.1</v>
      </c>
      <c r="DC121" s="32">
        <v>0.15</v>
      </c>
      <c r="DD121" s="32">
        <v>0.36</v>
      </c>
      <c r="DE121" s="32">
        <v>0.08</v>
      </c>
      <c r="DF121" s="32">
        <v>0.33</v>
      </c>
      <c r="DG121" s="32">
        <v>0.1</v>
      </c>
      <c r="DH121" s="32">
        <v>0.15</v>
      </c>
      <c r="DI121" s="32">
        <v>0.27</v>
      </c>
      <c r="DJ121" s="32">
        <v>0.28999999999999998</v>
      </c>
      <c r="DK121" s="32">
        <v>0.3</v>
      </c>
      <c r="DL121" s="32">
        <v>0</v>
      </c>
      <c r="DM121" s="32">
        <v>0.28000000000000003</v>
      </c>
      <c r="DN121" s="32">
        <v>1</v>
      </c>
      <c r="DO121" s="32">
        <v>0.13</v>
      </c>
      <c r="DP121" s="32">
        <v>0.32</v>
      </c>
      <c r="DQ121" s="32">
        <v>0.1</v>
      </c>
      <c r="DR121" s="32">
        <v>0.09</v>
      </c>
      <c r="DS121" s="32">
        <v>0.28999999999999998</v>
      </c>
      <c r="DT121" s="32">
        <v>0.21</v>
      </c>
      <c r="DU121" s="32">
        <v>0.25</v>
      </c>
      <c r="DV121" s="32">
        <v>0.28000000000000003</v>
      </c>
      <c r="DW121" s="32">
        <v>0.34</v>
      </c>
      <c r="DX121" s="32">
        <v>0.06</v>
      </c>
      <c r="DY121" s="32">
        <v>0.39</v>
      </c>
      <c r="DZ121" s="32">
        <v>0.24</v>
      </c>
      <c r="EA121" s="32">
        <v>0.19</v>
      </c>
      <c r="EB121" s="32">
        <v>0.37</v>
      </c>
      <c r="EC121" s="32">
        <v>-0.06</v>
      </c>
      <c r="ED121" s="32">
        <v>0.21</v>
      </c>
      <c r="EE121" s="32">
        <v>0.11</v>
      </c>
      <c r="EF121" s="32">
        <v>0.18</v>
      </c>
      <c r="EG121" s="32">
        <v>0.13</v>
      </c>
      <c r="EH121" s="32">
        <v>0.25</v>
      </c>
      <c r="EI121" s="32">
        <v>0.08</v>
      </c>
      <c r="EJ121" s="32">
        <v>0.13</v>
      </c>
      <c r="EK121" s="32">
        <v>0.18</v>
      </c>
      <c r="EL121" s="32">
        <v>0.09</v>
      </c>
      <c r="EM121" s="32">
        <v>0.14000000000000001</v>
      </c>
      <c r="EN121" s="32">
        <v>0.12</v>
      </c>
      <c r="EO121" s="32">
        <v>0.17</v>
      </c>
    </row>
    <row r="122" spans="1:145" x14ac:dyDescent="0.25">
      <c r="A122" s="31" t="s">
        <v>201</v>
      </c>
      <c r="B122" s="32">
        <v>0.06</v>
      </c>
      <c r="C122" s="32">
        <v>0.15</v>
      </c>
      <c r="D122" s="32">
        <v>7.0000000000000007E-2</v>
      </c>
      <c r="E122" s="32">
        <v>0.14000000000000001</v>
      </c>
      <c r="F122" s="32">
        <v>-0.12</v>
      </c>
      <c r="G122" s="32">
        <v>-0.04</v>
      </c>
      <c r="H122" s="32">
        <v>0.13</v>
      </c>
      <c r="I122" s="32">
        <v>0.03</v>
      </c>
      <c r="J122" s="32">
        <v>-7.0000000000000007E-2</v>
      </c>
      <c r="K122" s="32">
        <v>0.01</v>
      </c>
      <c r="L122" s="32">
        <v>0.15</v>
      </c>
      <c r="M122" s="32">
        <v>0.26</v>
      </c>
      <c r="N122" s="32">
        <v>0.2</v>
      </c>
      <c r="O122" s="32">
        <v>0.12</v>
      </c>
      <c r="P122" s="32">
        <v>-0.04</v>
      </c>
      <c r="Q122" s="32">
        <v>0.09</v>
      </c>
      <c r="R122" s="32">
        <v>0.03</v>
      </c>
      <c r="S122" s="32">
        <v>0.09</v>
      </c>
      <c r="T122" s="32">
        <v>0.24</v>
      </c>
      <c r="U122" s="32">
        <v>0.1</v>
      </c>
      <c r="V122" s="32">
        <v>0.08</v>
      </c>
      <c r="W122" s="32">
        <v>0.09</v>
      </c>
      <c r="X122" s="32">
        <v>0.26</v>
      </c>
      <c r="Y122" s="32">
        <v>0.06</v>
      </c>
      <c r="Z122" s="32">
        <v>-0.03</v>
      </c>
      <c r="AA122" s="32">
        <v>0.12</v>
      </c>
      <c r="AB122" s="32">
        <v>-0.02</v>
      </c>
      <c r="AC122" s="32">
        <v>0.14000000000000001</v>
      </c>
      <c r="AD122" s="32">
        <v>0.11</v>
      </c>
      <c r="AE122" s="32">
        <v>0.14000000000000001</v>
      </c>
      <c r="AF122" s="32">
        <v>0.17</v>
      </c>
      <c r="AG122" s="32">
        <v>-0.01</v>
      </c>
      <c r="AH122" s="32">
        <v>0.02</v>
      </c>
      <c r="AI122" s="32">
        <v>-0.02</v>
      </c>
      <c r="AJ122" s="32">
        <v>0.13</v>
      </c>
      <c r="AK122" s="32">
        <v>0.13</v>
      </c>
      <c r="AL122" s="32">
        <v>0.26</v>
      </c>
      <c r="AM122" s="32">
        <v>0.16</v>
      </c>
      <c r="AN122" s="32">
        <v>0.14000000000000001</v>
      </c>
      <c r="AO122" s="32">
        <v>-0.01</v>
      </c>
      <c r="AP122" s="32">
        <v>0.16</v>
      </c>
      <c r="AQ122" s="32">
        <v>-0.06</v>
      </c>
      <c r="AR122" s="32">
        <v>0.2</v>
      </c>
      <c r="AS122" s="32">
        <v>0.09</v>
      </c>
      <c r="AT122" s="32">
        <v>0.25</v>
      </c>
      <c r="AU122" s="32">
        <v>-0.05</v>
      </c>
      <c r="AV122" s="32">
        <v>0.15</v>
      </c>
      <c r="AW122" s="32">
        <v>0.18</v>
      </c>
      <c r="AX122" s="32">
        <v>0.08</v>
      </c>
      <c r="AY122" s="32">
        <v>0.12</v>
      </c>
      <c r="AZ122" s="32">
        <v>0.23</v>
      </c>
      <c r="BA122" s="32">
        <v>0.27</v>
      </c>
      <c r="BB122" s="32">
        <v>0.33</v>
      </c>
      <c r="BC122" s="32">
        <v>7.0000000000000007E-2</v>
      </c>
      <c r="BD122" s="32">
        <v>0.1</v>
      </c>
      <c r="BE122" s="32">
        <v>0.05</v>
      </c>
      <c r="BF122" s="32">
        <v>0.15</v>
      </c>
      <c r="BG122" s="32">
        <v>0.13</v>
      </c>
      <c r="BH122" s="32">
        <v>0.08</v>
      </c>
      <c r="BI122" s="32">
        <v>0.13</v>
      </c>
      <c r="BJ122" s="32">
        <v>0.05</v>
      </c>
      <c r="BK122" s="32">
        <v>0.18</v>
      </c>
      <c r="BL122" s="32">
        <v>0.35</v>
      </c>
      <c r="BM122" s="32">
        <v>0.1</v>
      </c>
      <c r="BN122" s="32">
        <v>0.06</v>
      </c>
      <c r="BO122" s="32">
        <v>0.28999999999999998</v>
      </c>
      <c r="BP122" s="32">
        <v>0.09</v>
      </c>
      <c r="BQ122" s="32">
        <v>0.21</v>
      </c>
      <c r="BR122" s="32">
        <v>0.18</v>
      </c>
      <c r="BS122" s="32">
        <v>0.03</v>
      </c>
      <c r="BT122" s="32">
        <v>0.25</v>
      </c>
      <c r="BU122" s="32">
        <v>0.01</v>
      </c>
      <c r="BV122" s="32">
        <v>0.24</v>
      </c>
      <c r="BW122" s="32">
        <v>0.12</v>
      </c>
      <c r="BX122" s="32">
        <v>0.11</v>
      </c>
      <c r="BY122" s="32">
        <v>0.24</v>
      </c>
      <c r="BZ122" s="32">
        <v>0.28000000000000003</v>
      </c>
      <c r="CA122" s="32">
        <v>0.18</v>
      </c>
      <c r="CB122" s="32">
        <v>-0.04</v>
      </c>
      <c r="CC122" s="32">
        <v>0.06</v>
      </c>
      <c r="CD122" s="32">
        <v>0.1</v>
      </c>
      <c r="CE122" s="32">
        <v>0.28999999999999998</v>
      </c>
      <c r="CF122" s="32">
        <v>0</v>
      </c>
      <c r="CG122" s="32">
        <v>0.21</v>
      </c>
      <c r="CH122" s="32">
        <v>0.27</v>
      </c>
      <c r="CI122" s="32">
        <v>0.01</v>
      </c>
      <c r="CJ122" s="32">
        <v>0.01</v>
      </c>
      <c r="CK122" s="32">
        <v>0.17</v>
      </c>
      <c r="CL122" s="32">
        <v>0.28000000000000003</v>
      </c>
      <c r="CM122" s="32">
        <v>0.22</v>
      </c>
      <c r="CN122" s="32">
        <v>0.02</v>
      </c>
      <c r="CO122" s="32">
        <v>0.14000000000000001</v>
      </c>
      <c r="CP122" s="32">
        <v>0.14000000000000001</v>
      </c>
      <c r="CQ122" s="32">
        <v>0.33</v>
      </c>
      <c r="CR122" s="32">
        <v>0.32</v>
      </c>
      <c r="CS122" s="32">
        <v>0.44</v>
      </c>
      <c r="CT122" s="32">
        <v>0.27</v>
      </c>
      <c r="CU122" s="32">
        <v>0.16</v>
      </c>
      <c r="CV122" s="32">
        <v>0.2</v>
      </c>
      <c r="CW122" s="32">
        <v>0.08</v>
      </c>
      <c r="CX122" s="32">
        <v>0.18</v>
      </c>
      <c r="CY122" s="32">
        <v>0.27</v>
      </c>
      <c r="CZ122" s="32">
        <v>0.19</v>
      </c>
      <c r="DA122" s="32">
        <v>0.14000000000000001</v>
      </c>
      <c r="DB122" s="32">
        <v>0.45</v>
      </c>
      <c r="DC122" s="32">
        <v>0.28000000000000003</v>
      </c>
      <c r="DD122" s="32">
        <v>0.26</v>
      </c>
      <c r="DE122" s="32">
        <v>0.34</v>
      </c>
      <c r="DF122" s="32">
        <v>0.08</v>
      </c>
      <c r="DG122" s="32">
        <v>0.35</v>
      </c>
      <c r="DH122" s="32">
        <v>0.35</v>
      </c>
      <c r="DI122" s="32">
        <v>0.32</v>
      </c>
      <c r="DJ122" s="32">
        <v>0.27</v>
      </c>
      <c r="DK122" s="32">
        <v>0.33</v>
      </c>
      <c r="DL122" s="32">
        <v>0.15</v>
      </c>
      <c r="DM122" s="32">
        <v>0.31</v>
      </c>
      <c r="DN122" s="32">
        <v>0.13</v>
      </c>
      <c r="DO122" s="32">
        <v>1</v>
      </c>
      <c r="DP122" s="32">
        <v>0.28000000000000003</v>
      </c>
      <c r="DQ122" s="32">
        <v>0.46</v>
      </c>
      <c r="DR122" s="32">
        <v>0.3</v>
      </c>
      <c r="DS122" s="32">
        <v>0.08</v>
      </c>
      <c r="DT122" s="32">
        <v>0.26</v>
      </c>
      <c r="DU122" s="32">
        <v>0.27</v>
      </c>
      <c r="DV122" s="32">
        <v>0.2</v>
      </c>
      <c r="DW122" s="32">
        <v>0.11</v>
      </c>
      <c r="DX122" s="32">
        <v>0.38</v>
      </c>
      <c r="DY122" s="32">
        <v>0.25</v>
      </c>
      <c r="DZ122" s="32">
        <v>0.17</v>
      </c>
      <c r="EA122" s="32">
        <v>0.17</v>
      </c>
      <c r="EB122" s="32">
        <v>0.26</v>
      </c>
      <c r="EC122" s="32">
        <v>0.04</v>
      </c>
      <c r="ED122" s="32">
        <v>0.32</v>
      </c>
      <c r="EE122" s="32">
        <v>0.52</v>
      </c>
      <c r="EF122" s="32">
        <v>0.28000000000000003</v>
      </c>
      <c r="EG122" s="32">
        <v>0.49</v>
      </c>
      <c r="EH122" s="32">
        <v>-0.01</v>
      </c>
      <c r="EI122" s="32">
        <v>0.39</v>
      </c>
      <c r="EJ122" s="32">
        <v>0.22</v>
      </c>
      <c r="EK122" s="32">
        <v>0.32</v>
      </c>
      <c r="EL122" s="32">
        <v>0.32</v>
      </c>
      <c r="EM122" s="32">
        <v>0.11</v>
      </c>
      <c r="EN122" s="32">
        <v>0.13</v>
      </c>
      <c r="EO122" s="32">
        <v>0.1</v>
      </c>
    </row>
    <row r="123" spans="1:145" x14ac:dyDescent="0.25">
      <c r="A123" s="31" t="s">
        <v>202</v>
      </c>
      <c r="B123" s="32">
        <v>0.25</v>
      </c>
      <c r="C123" s="32">
        <v>-0.02</v>
      </c>
      <c r="D123" s="32">
        <v>0.02</v>
      </c>
      <c r="E123" s="32">
        <v>0.05</v>
      </c>
      <c r="F123" s="32">
        <v>0.13</v>
      </c>
      <c r="G123" s="32">
        <v>0.01</v>
      </c>
      <c r="H123" s="32">
        <v>0.11</v>
      </c>
      <c r="I123" s="32">
        <v>0.24</v>
      </c>
      <c r="J123" s="32">
        <v>0.15</v>
      </c>
      <c r="K123" s="32">
        <v>0.28999999999999998</v>
      </c>
      <c r="L123" s="32">
        <v>0.1</v>
      </c>
      <c r="M123" s="32">
        <v>0.39</v>
      </c>
      <c r="N123" s="32">
        <v>0.3</v>
      </c>
      <c r="O123" s="32">
        <v>0.1</v>
      </c>
      <c r="P123" s="32">
        <v>0.04</v>
      </c>
      <c r="Q123" s="32">
        <v>-0.02</v>
      </c>
      <c r="R123" s="32">
        <v>0.12</v>
      </c>
      <c r="S123" s="32">
        <v>0.05</v>
      </c>
      <c r="T123" s="32">
        <v>0.37</v>
      </c>
      <c r="U123" s="32">
        <v>0.13</v>
      </c>
      <c r="V123" s="32">
        <v>0.09</v>
      </c>
      <c r="W123" s="32">
        <v>-0.03</v>
      </c>
      <c r="X123" s="32">
        <v>0.37</v>
      </c>
      <c r="Y123" s="32">
        <v>0.34</v>
      </c>
      <c r="Z123" s="32">
        <v>0.15</v>
      </c>
      <c r="AA123" s="32">
        <v>0.11</v>
      </c>
      <c r="AB123" s="32">
        <v>0.28999999999999998</v>
      </c>
      <c r="AC123" s="32">
        <v>0.05</v>
      </c>
      <c r="AD123" s="32">
        <v>0.05</v>
      </c>
      <c r="AE123" s="32">
        <v>0.22</v>
      </c>
      <c r="AF123" s="32">
        <v>0.01</v>
      </c>
      <c r="AG123" s="32">
        <v>0.02</v>
      </c>
      <c r="AH123" s="32">
        <v>0.02</v>
      </c>
      <c r="AI123" s="32">
        <v>-0.26</v>
      </c>
      <c r="AJ123" s="32">
        <v>0.08</v>
      </c>
      <c r="AK123" s="32">
        <v>0.16</v>
      </c>
      <c r="AL123" s="32">
        <v>0.28000000000000003</v>
      </c>
      <c r="AM123" s="32">
        <v>0.18</v>
      </c>
      <c r="AN123" s="32">
        <v>0.44</v>
      </c>
      <c r="AO123" s="32">
        <v>0.13</v>
      </c>
      <c r="AP123" s="32">
        <v>0.33</v>
      </c>
      <c r="AQ123" s="32">
        <v>-0.28999999999999998</v>
      </c>
      <c r="AR123" s="32">
        <v>0.3</v>
      </c>
      <c r="AS123" s="32">
        <v>0.15</v>
      </c>
      <c r="AT123" s="32">
        <v>0.41</v>
      </c>
      <c r="AU123" s="32">
        <v>0.11</v>
      </c>
      <c r="AV123" s="32">
        <v>0.03</v>
      </c>
      <c r="AW123" s="32">
        <v>0.1</v>
      </c>
      <c r="AX123" s="32">
        <v>0.25</v>
      </c>
      <c r="AY123" s="32">
        <v>0.33</v>
      </c>
      <c r="AZ123" s="32">
        <v>0.21</v>
      </c>
      <c r="BA123" s="32">
        <v>0.37</v>
      </c>
      <c r="BB123" s="32">
        <v>0.41</v>
      </c>
      <c r="BC123" s="32">
        <v>0.06</v>
      </c>
      <c r="BD123" s="32">
        <v>0.16</v>
      </c>
      <c r="BE123" s="32">
        <v>0.21</v>
      </c>
      <c r="BF123" s="32">
        <v>0.18</v>
      </c>
      <c r="BG123" s="32">
        <v>0.28000000000000003</v>
      </c>
      <c r="BH123" s="32">
        <v>0.14000000000000001</v>
      </c>
      <c r="BI123" s="32">
        <v>0.1</v>
      </c>
      <c r="BJ123" s="32">
        <v>-0.06</v>
      </c>
      <c r="BK123" s="32">
        <v>0.13</v>
      </c>
      <c r="BL123" s="32">
        <v>0.33</v>
      </c>
      <c r="BM123" s="32">
        <v>0.28000000000000003</v>
      </c>
      <c r="BN123" s="32">
        <v>0.09</v>
      </c>
      <c r="BO123" s="32">
        <v>0.34</v>
      </c>
      <c r="BP123" s="32">
        <v>0.01</v>
      </c>
      <c r="BQ123" s="32">
        <v>0.24</v>
      </c>
      <c r="BR123" s="32">
        <v>0.37</v>
      </c>
      <c r="BS123" s="32">
        <v>-0.2</v>
      </c>
      <c r="BT123" s="32">
        <v>0.5</v>
      </c>
      <c r="BU123" s="32">
        <v>0.11</v>
      </c>
      <c r="BV123" s="32">
        <v>0.3</v>
      </c>
      <c r="BW123" s="32">
        <v>0.15</v>
      </c>
      <c r="BX123" s="32">
        <v>0.22</v>
      </c>
      <c r="BY123" s="32">
        <v>0.43</v>
      </c>
      <c r="BZ123" s="32">
        <v>0.34</v>
      </c>
      <c r="CA123" s="32">
        <v>0.12</v>
      </c>
      <c r="CB123" s="32">
        <v>-0.09</v>
      </c>
      <c r="CC123" s="32">
        <v>0.1</v>
      </c>
      <c r="CD123" s="32">
        <v>0.36</v>
      </c>
      <c r="CE123" s="32">
        <v>0.15</v>
      </c>
      <c r="CF123" s="32">
        <v>-0.24</v>
      </c>
      <c r="CG123" s="32">
        <v>0.43</v>
      </c>
      <c r="CH123" s="32">
        <v>0.25</v>
      </c>
      <c r="CI123" s="32">
        <v>-0.24</v>
      </c>
      <c r="CJ123" s="32">
        <v>0.11</v>
      </c>
      <c r="CK123" s="32">
        <v>0.27</v>
      </c>
      <c r="CL123" s="32">
        <v>0.39</v>
      </c>
      <c r="CM123" s="32">
        <v>0.22</v>
      </c>
      <c r="CN123" s="32">
        <v>0.1</v>
      </c>
      <c r="CO123" s="32">
        <v>0.06</v>
      </c>
      <c r="CP123" s="32">
        <v>0.15</v>
      </c>
      <c r="CQ123" s="32">
        <v>0.64</v>
      </c>
      <c r="CR123" s="32">
        <v>0.32</v>
      </c>
      <c r="CS123" s="32">
        <v>0.33</v>
      </c>
      <c r="CT123" s="32">
        <v>0.27</v>
      </c>
      <c r="CU123" s="32">
        <v>0.15</v>
      </c>
      <c r="CV123" s="32">
        <v>0.34</v>
      </c>
      <c r="CW123" s="32">
        <v>0.25</v>
      </c>
      <c r="CX123" s="32">
        <v>0.28999999999999998</v>
      </c>
      <c r="CY123" s="32">
        <v>0.64</v>
      </c>
      <c r="CZ123" s="32">
        <v>0.15</v>
      </c>
      <c r="DA123" s="32">
        <v>0.24</v>
      </c>
      <c r="DB123" s="32">
        <v>0.25</v>
      </c>
      <c r="DC123" s="32">
        <v>0.42</v>
      </c>
      <c r="DD123" s="32">
        <v>0.37</v>
      </c>
      <c r="DE123" s="32">
        <v>0.3</v>
      </c>
      <c r="DF123" s="32">
        <v>0.12</v>
      </c>
      <c r="DG123" s="32">
        <v>0.24</v>
      </c>
      <c r="DH123" s="32">
        <v>0.2</v>
      </c>
      <c r="DI123" s="32">
        <v>0.6</v>
      </c>
      <c r="DJ123" s="32">
        <v>0.76</v>
      </c>
      <c r="DK123" s="32">
        <v>0.63</v>
      </c>
      <c r="DL123" s="32">
        <v>0.13</v>
      </c>
      <c r="DM123" s="32">
        <v>0.82</v>
      </c>
      <c r="DN123" s="32">
        <v>0.32</v>
      </c>
      <c r="DO123" s="32">
        <v>0.28000000000000003</v>
      </c>
      <c r="DP123" s="32">
        <v>1</v>
      </c>
      <c r="DQ123" s="32">
        <v>0.17</v>
      </c>
      <c r="DR123" s="32">
        <v>0.13</v>
      </c>
      <c r="DS123" s="32">
        <v>0.25</v>
      </c>
      <c r="DT123" s="32">
        <v>0.15</v>
      </c>
      <c r="DU123" s="32">
        <v>0.26</v>
      </c>
      <c r="DV123" s="32">
        <v>0.16</v>
      </c>
      <c r="DW123" s="32">
        <v>0.39</v>
      </c>
      <c r="DX123" s="32">
        <v>0.21</v>
      </c>
      <c r="DY123" s="32">
        <v>0.37</v>
      </c>
      <c r="DZ123" s="32">
        <v>0.1</v>
      </c>
      <c r="EA123" s="32">
        <v>0.24</v>
      </c>
      <c r="EB123" s="32">
        <v>0.39</v>
      </c>
      <c r="EC123" s="32">
        <v>0.02</v>
      </c>
      <c r="ED123" s="32">
        <v>0.19</v>
      </c>
      <c r="EE123" s="32">
        <v>0.21</v>
      </c>
      <c r="EF123" s="32">
        <v>0.23</v>
      </c>
      <c r="EG123" s="32">
        <v>0.18</v>
      </c>
      <c r="EH123" s="32">
        <v>0.18</v>
      </c>
      <c r="EI123" s="32">
        <v>0.17</v>
      </c>
      <c r="EJ123" s="32">
        <v>0.28999999999999998</v>
      </c>
      <c r="EK123" s="32">
        <v>0.15</v>
      </c>
      <c r="EL123" s="32">
        <v>0.24</v>
      </c>
      <c r="EM123" s="32">
        <v>0.15</v>
      </c>
      <c r="EN123" s="32">
        <v>0.14000000000000001</v>
      </c>
      <c r="EO123" s="32">
        <v>0.17</v>
      </c>
    </row>
    <row r="124" spans="1:145" x14ac:dyDescent="0.25">
      <c r="A124" s="31" t="s">
        <v>203</v>
      </c>
      <c r="B124" s="32">
        <v>0.01</v>
      </c>
      <c r="C124" s="32">
        <v>0.02</v>
      </c>
      <c r="D124" s="32">
        <v>-0.01</v>
      </c>
      <c r="E124" s="32">
        <v>0.08</v>
      </c>
      <c r="F124" s="32">
        <v>-0.11</v>
      </c>
      <c r="G124" s="32">
        <v>-0.18</v>
      </c>
      <c r="H124" s="32">
        <v>0.13</v>
      </c>
      <c r="I124" s="32">
        <v>-0.04</v>
      </c>
      <c r="J124" s="32">
        <v>-0.03</v>
      </c>
      <c r="K124" s="32">
        <v>-0.01</v>
      </c>
      <c r="L124" s="32">
        <v>0.11</v>
      </c>
      <c r="M124" s="32">
        <v>0.26</v>
      </c>
      <c r="N124" s="32">
        <v>0.06</v>
      </c>
      <c r="O124" s="32">
        <v>0.08</v>
      </c>
      <c r="P124" s="32">
        <v>-0.04</v>
      </c>
      <c r="Q124" s="32">
        <v>0.04</v>
      </c>
      <c r="R124" s="32">
        <v>0.03</v>
      </c>
      <c r="S124" s="32">
        <v>0.09</v>
      </c>
      <c r="T124" s="32">
        <v>0.13</v>
      </c>
      <c r="U124" s="32">
        <v>0.12</v>
      </c>
      <c r="V124" s="32">
        <v>0.06</v>
      </c>
      <c r="W124" s="32">
        <v>0.03</v>
      </c>
      <c r="X124" s="32">
        <v>0.19</v>
      </c>
      <c r="Y124" s="32">
        <v>-0.1</v>
      </c>
      <c r="Z124" s="32">
        <v>0.05</v>
      </c>
      <c r="AA124" s="32">
        <v>7.0000000000000007E-2</v>
      </c>
      <c r="AB124" s="32">
        <v>-0.13</v>
      </c>
      <c r="AC124" s="32">
        <v>0.08</v>
      </c>
      <c r="AD124" s="32">
        <v>0.13</v>
      </c>
      <c r="AE124" s="32">
        <v>0.11</v>
      </c>
      <c r="AF124" s="32">
        <v>0.09</v>
      </c>
      <c r="AG124" s="32">
        <v>0.01</v>
      </c>
      <c r="AH124" s="32">
        <v>0.03</v>
      </c>
      <c r="AI124" s="32">
        <v>-0.03</v>
      </c>
      <c r="AJ124" s="32">
        <v>0.15</v>
      </c>
      <c r="AK124" s="32">
        <v>0.14000000000000001</v>
      </c>
      <c r="AL124" s="32">
        <v>0.18</v>
      </c>
      <c r="AM124" s="32">
        <v>0.25</v>
      </c>
      <c r="AN124" s="32">
        <v>0.2</v>
      </c>
      <c r="AO124" s="32">
        <v>-0.14000000000000001</v>
      </c>
      <c r="AP124" s="32">
        <v>0.06</v>
      </c>
      <c r="AQ124" s="32">
        <v>-7.0000000000000007E-2</v>
      </c>
      <c r="AR124" s="32">
        <v>0.14000000000000001</v>
      </c>
      <c r="AS124" s="32">
        <v>0.08</v>
      </c>
      <c r="AT124" s="32">
        <v>0.15</v>
      </c>
      <c r="AU124" s="32">
        <v>-0.01</v>
      </c>
      <c r="AV124" s="32">
        <v>-0.02</v>
      </c>
      <c r="AW124" s="32">
        <v>0.14000000000000001</v>
      </c>
      <c r="AX124" s="32">
        <v>-0.01</v>
      </c>
      <c r="AY124" s="32">
        <v>0.04</v>
      </c>
      <c r="AZ124" s="32">
        <v>0.18</v>
      </c>
      <c r="BA124" s="32">
        <v>0.26</v>
      </c>
      <c r="BB124" s="32">
        <v>0.24</v>
      </c>
      <c r="BC124" s="32">
        <v>0.11</v>
      </c>
      <c r="BD124" s="32">
        <v>0.12</v>
      </c>
      <c r="BE124" s="32">
        <v>0.09</v>
      </c>
      <c r="BF124" s="32">
        <v>0.11</v>
      </c>
      <c r="BG124" s="32">
        <v>0.08</v>
      </c>
      <c r="BH124" s="32">
        <v>0.02</v>
      </c>
      <c r="BI124" s="32">
        <v>0.14000000000000001</v>
      </c>
      <c r="BJ124" s="32">
        <v>0.01</v>
      </c>
      <c r="BK124" s="32">
        <v>0.1</v>
      </c>
      <c r="BL124" s="32">
        <v>0.27</v>
      </c>
      <c r="BM124" s="32">
        <v>0.09</v>
      </c>
      <c r="BN124" s="32">
        <v>0.14000000000000001</v>
      </c>
      <c r="BO124" s="32">
        <v>0.28000000000000003</v>
      </c>
      <c r="BP124" s="32">
        <v>0.16</v>
      </c>
      <c r="BQ124" s="32">
        <v>0.27</v>
      </c>
      <c r="BR124" s="32">
        <v>0.24</v>
      </c>
      <c r="BS124" s="32">
        <v>0.05</v>
      </c>
      <c r="BT124" s="32">
        <v>0.28999999999999998</v>
      </c>
      <c r="BU124" s="32">
        <v>0.2</v>
      </c>
      <c r="BV124" s="32">
        <v>0.33</v>
      </c>
      <c r="BW124" s="32">
        <v>0.24</v>
      </c>
      <c r="BX124" s="32">
        <v>0.08</v>
      </c>
      <c r="BY124" s="32">
        <v>0.23</v>
      </c>
      <c r="BZ124" s="32">
        <v>0.35</v>
      </c>
      <c r="CA124" s="32">
        <v>0.08</v>
      </c>
      <c r="CB124" s="32">
        <v>0.02</v>
      </c>
      <c r="CC124" s="32">
        <v>0.01</v>
      </c>
      <c r="CD124" s="32">
        <v>0.1</v>
      </c>
      <c r="CE124" s="32">
        <v>0.24</v>
      </c>
      <c r="CF124" s="32">
        <v>0.02</v>
      </c>
      <c r="CG124" s="32">
        <v>7.0000000000000007E-2</v>
      </c>
      <c r="CH124" s="32">
        <v>0.17</v>
      </c>
      <c r="CI124" s="32">
        <v>0</v>
      </c>
      <c r="CJ124" s="32">
        <v>-0.02</v>
      </c>
      <c r="CK124" s="32">
        <v>0.11</v>
      </c>
      <c r="CL124" s="32">
        <v>0.27</v>
      </c>
      <c r="CM124" s="32">
        <v>0.24</v>
      </c>
      <c r="CN124" s="32">
        <v>0.01</v>
      </c>
      <c r="CO124" s="32">
        <v>0.15</v>
      </c>
      <c r="CP124" s="32">
        <v>0.01</v>
      </c>
      <c r="CQ124" s="32">
        <v>0.34</v>
      </c>
      <c r="CR124" s="32">
        <v>0.36</v>
      </c>
      <c r="CS124" s="32">
        <v>0.39</v>
      </c>
      <c r="CT124" s="32">
        <v>0.19</v>
      </c>
      <c r="CU124" s="32">
        <v>0.17</v>
      </c>
      <c r="CV124" s="32">
        <v>0.09</v>
      </c>
      <c r="CW124" s="32">
        <v>0.18</v>
      </c>
      <c r="CX124" s="32">
        <v>0.21</v>
      </c>
      <c r="CY124" s="32">
        <v>0.19</v>
      </c>
      <c r="CZ124" s="32">
        <v>0.16</v>
      </c>
      <c r="DA124" s="32">
        <v>0.09</v>
      </c>
      <c r="DB124" s="32">
        <v>0.36</v>
      </c>
      <c r="DC124" s="32">
        <v>0.28000000000000003</v>
      </c>
      <c r="DD124" s="32">
        <v>0.17</v>
      </c>
      <c r="DE124" s="32">
        <v>0.33</v>
      </c>
      <c r="DF124" s="32">
        <v>-0.05</v>
      </c>
      <c r="DG124" s="32">
        <v>0.33</v>
      </c>
      <c r="DH124" s="32">
        <v>0.33</v>
      </c>
      <c r="DI124" s="32">
        <v>0.3</v>
      </c>
      <c r="DJ124" s="32">
        <v>0.15</v>
      </c>
      <c r="DK124" s="32">
        <v>0.36</v>
      </c>
      <c r="DL124" s="32">
        <v>0.13</v>
      </c>
      <c r="DM124" s="32">
        <v>0.25</v>
      </c>
      <c r="DN124" s="32">
        <v>0.1</v>
      </c>
      <c r="DO124" s="32">
        <v>0.46</v>
      </c>
      <c r="DP124" s="32">
        <v>0.17</v>
      </c>
      <c r="DQ124" s="32">
        <v>1</v>
      </c>
      <c r="DR124" s="32">
        <v>0.31</v>
      </c>
      <c r="DS124" s="32">
        <v>0.04</v>
      </c>
      <c r="DT124" s="32">
        <v>0.28000000000000003</v>
      </c>
      <c r="DU124" s="32">
        <v>0.3</v>
      </c>
      <c r="DV124" s="32">
        <v>0.17</v>
      </c>
      <c r="DW124" s="32">
        <v>0.12</v>
      </c>
      <c r="DX124" s="32">
        <v>0.33</v>
      </c>
      <c r="DY124" s="32">
        <v>0.28000000000000003</v>
      </c>
      <c r="DZ124" s="32">
        <v>0.17</v>
      </c>
      <c r="EA124" s="32">
        <v>0.08</v>
      </c>
      <c r="EB124" s="32">
        <v>0.26</v>
      </c>
      <c r="EC124" s="32">
        <v>0.06</v>
      </c>
      <c r="ED124" s="32">
        <v>0.24</v>
      </c>
      <c r="EE124" s="32">
        <v>0.38</v>
      </c>
      <c r="EF124" s="32">
        <v>0.26</v>
      </c>
      <c r="EG124" s="32">
        <v>0.25</v>
      </c>
      <c r="EH124" s="32">
        <v>0.08</v>
      </c>
      <c r="EI124" s="32">
        <v>0.36</v>
      </c>
      <c r="EJ124" s="32">
        <v>0.21</v>
      </c>
      <c r="EK124" s="32">
        <v>0.24</v>
      </c>
      <c r="EL124" s="32">
        <v>0.27</v>
      </c>
      <c r="EM124" s="32">
        <v>0.22</v>
      </c>
      <c r="EN124" s="32">
        <v>0.1</v>
      </c>
      <c r="EO124" s="32">
        <v>0.03</v>
      </c>
    </row>
    <row r="125" spans="1:145" x14ac:dyDescent="0.25">
      <c r="A125" s="31" t="s">
        <v>204</v>
      </c>
      <c r="B125" s="32">
        <v>-0.06</v>
      </c>
      <c r="C125" s="32">
        <v>0.06</v>
      </c>
      <c r="D125" s="32">
        <v>-0.02</v>
      </c>
      <c r="E125" s="32">
        <v>0.12</v>
      </c>
      <c r="F125" s="32">
        <v>-0.09</v>
      </c>
      <c r="G125" s="32">
        <v>7.0000000000000007E-2</v>
      </c>
      <c r="H125" s="32">
        <v>0.03</v>
      </c>
      <c r="I125" s="32">
        <v>-0.05</v>
      </c>
      <c r="J125" s="32">
        <v>0</v>
      </c>
      <c r="K125" s="32">
        <v>-0.11</v>
      </c>
      <c r="L125" s="32">
        <v>0.04</v>
      </c>
      <c r="M125" s="32">
        <v>0.22</v>
      </c>
      <c r="N125" s="32">
        <v>0.14000000000000001</v>
      </c>
      <c r="O125" s="32">
        <v>0.09</v>
      </c>
      <c r="P125" s="32">
        <v>-0.04</v>
      </c>
      <c r="Q125" s="32">
        <v>0.15</v>
      </c>
      <c r="R125" s="32">
        <v>-0.06</v>
      </c>
      <c r="S125" s="32">
        <v>-0.08</v>
      </c>
      <c r="T125" s="32">
        <v>0.22</v>
      </c>
      <c r="U125" s="32">
        <v>0.15</v>
      </c>
      <c r="V125" s="32">
        <v>0.05</v>
      </c>
      <c r="W125" s="32">
        <v>0.09</v>
      </c>
      <c r="X125" s="32">
        <v>0.25</v>
      </c>
      <c r="Y125" s="32">
        <v>-0.02</v>
      </c>
      <c r="Z125" s="32">
        <v>0.15</v>
      </c>
      <c r="AA125" s="32">
        <v>0.06</v>
      </c>
      <c r="AB125" s="32">
        <v>-0.02</v>
      </c>
      <c r="AC125" s="32">
        <v>0.06</v>
      </c>
      <c r="AD125" s="32">
        <v>7.0000000000000007E-2</v>
      </c>
      <c r="AE125" s="32">
        <v>0.04</v>
      </c>
      <c r="AF125" s="32">
        <v>0.2</v>
      </c>
      <c r="AG125" s="32">
        <v>-0.09</v>
      </c>
      <c r="AH125" s="32">
        <v>-0.06</v>
      </c>
      <c r="AI125" s="32">
        <v>0.08</v>
      </c>
      <c r="AJ125" s="32">
        <v>0.08</v>
      </c>
      <c r="AK125" s="32">
        <v>0.13</v>
      </c>
      <c r="AL125" s="32">
        <v>0.06</v>
      </c>
      <c r="AM125" s="32">
        <v>0.19</v>
      </c>
      <c r="AN125" s="32">
        <v>0.04</v>
      </c>
      <c r="AO125" s="32">
        <v>0.04</v>
      </c>
      <c r="AP125" s="32">
        <v>7.0000000000000007E-2</v>
      </c>
      <c r="AQ125" s="32">
        <v>0.06</v>
      </c>
      <c r="AR125" s="32">
        <v>0.22</v>
      </c>
      <c r="AS125" s="32">
        <v>0.1</v>
      </c>
      <c r="AT125" s="32">
        <v>0.13</v>
      </c>
      <c r="AU125" s="32">
        <v>-0.02</v>
      </c>
      <c r="AV125" s="32">
        <v>0.1</v>
      </c>
      <c r="AW125" s="32">
        <v>0.18</v>
      </c>
      <c r="AX125" s="32">
        <v>0.08</v>
      </c>
      <c r="AY125" s="32">
        <v>0.09</v>
      </c>
      <c r="AZ125" s="32">
        <v>0.06</v>
      </c>
      <c r="BA125" s="32">
        <v>0.13</v>
      </c>
      <c r="BB125" s="32">
        <v>0.28000000000000003</v>
      </c>
      <c r="BC125" s="32">
        <v>-0.01</v>
      </c>
      <c r="BD125" s="32">
        <v>0.08</v>
      </c>
      <c r="BE125" s="32">
        <v>0.13</v>
      </c>
      <c r="BF125" s="32">
        <v>0.14000000000000001</v>
      </c>
      <c r="BG125" s="32">
        <v>0.16</v>
      </c>
      <c r="BH125" s="32">
        <v>0.17</v>
      </c>
      <c r="BI125" s="32">
        <v>0.15</v>
      </c>
      <c r="BJ125" s="32">
        <v>0.01</v>
      </c>
      <c r="BK125" s="32">
        <v>0.08</v>
      </c>
      <c r="BL125" s="32">
        <v>0.44</v>
      </c>
      <c r="BM125" s="32">
        <v>7.0000000000000007E-2</v>
      </c>
      <c r="BN125" s="32">
        <v>0.01</v>
      </c>
      <c r="BO125" s="32">
        <v>0.1</v>
      </c>
      <c r="BP125" s="32">
        <v>0.09</v>
      </c>
      <c r="BQ125" s="32">
        <v>0.21</v>
      </c>
      <c r="BR125" s="32">
        <v>0.18</v>
      </c>
      <c r="BS125" s="32">
        <v>0.06</v>
      </c>
      <c r="BT125" s="32">
        <v>0.2</v>
      </c>
      <c r="BU125" s="32">
        <v>0.18</v>
      </c>
      <c r="BV125" s="32">
        <v>0.14000000000000001</v>
      </c>
      <c r="BW125" s="32">
        <v>0.2</v>
      </c>
      <c r="BX125" s="32">
        <v>7.0000000000000007E-2</v>
      </c>
      <c r="BY125" s="32">
        <v>0.15</v>
      </c>
      <c r="BZ125" s="32">
        <v>0.23</v>
      </c>
      <c r="CA125" s="32">
        <v>0.03</v>
      </c>
      <c r="CB125" s="32">
        <v>-0.01</v>
      </c>
      <c r="CC125" s="32">
        <v>0.12</v>
      </c>
      <c r="CD125" s="32">
        <v>0.16</v>
      </c>
      <c r="CE125" s="32">
        <v>0.16</v>
      </c>
      <c r="CF125" s="32">
        <v>0.05</v>
      </c>
      <c r="CG125" s="32">
        <v>0.06</v>
      </c>
      <c r="CH125" s="32">
        <v>0.41</v>
      </c>
      <c r="CI125" s="32">
        <v>0.11</v>
      </c>
      <c r="CJ125" s="32">
        <v>0.1</v>
      </c>
      <c r="CK125" s="32">
        <v>-7.0000000000000007E-2</v>
      </c>
      <c r="CL125" s="32">
        <v>0.21</v>
      </c>
      <c r="CM125" s="32">
        <v>0.3</v>
      </c>
      <c r="CN125" s="32">
        <v>0.12</v>
      </c>
      <c r="CO125" s="32">
        <v>0.04</v>
      </c>
      <c r="CP125" s="32">
        <v>0.11</v>
      </c>
      <c r="CQ125" s="32">
        <v>0.24</v>
      </c>
      <c r="CR125" s="32">
        <v>0.36</v>
      </c>
      <c r="CS125" s="32">
        <v>0.36</v>
      </c>
      <c r="CT125" s="32">
        <v>0.18</v>
      </c>
      <c r="CU125" s="32">
        <v>0.25</v>
      </c>
      <c r="CV125" s="32">
        <v>0.09</v>
      </c>
      <c r="CW125" s="32">
        <v>0.18</v>
      </c>
      <c r="CX125" s="32">
        <v>0.26</v>
      </c>
      <c r="CY125" s="32">
        <v>0.12</v>
      </c>
      <c r="CZ125" s="32">
        <v>0.11</v>
      </c>
      <c r="DA125" s="32">
        <v>0.05</v>
      </c>
      <c r="DB125" s="32">
        <v>0.34</v>
      </c>
      <c r="DC125" s="32">
        <v>0.14000000000000001</v>
      </c>
      <c r="DD125" s="32">
        <v>0.13</v>
      </c>
      <c r="DE125" s="32">
        <v>0.56999999999999995</v>
      </c>
      <c r="DF125" s="32">
        <v>7.0000000000000007E-2</v>
      </c>
      <c r="DG125" s="32">
        <v>0.47</v>
      </c>
      <c r="DH125" s="32">
        <v>0.32</v>
      </c>
      <c r="DI125" s="32">
        <v>0.2</v>
      </c>
      <c r="DJ125" s="32">
        <v>0.16</v>
      </c>
      <c r="DK125" s="32">
        <v>0.25</v>
      </c>
      <c r="DL125" s="32">
        <v>0.34</v>
      </c>
      <c r="DM125" s="32">
        <v>0.17</v>
      </c>
      <c r="DN125" s="32">
        <v>0.09</v>
      </c>
      <c r="DO125" s="32">
        <v>0.3</v>
      </c>
      <c r="DP125" s="32">
        <v>0.13</v>
      </c>
      <c r="DQ125" s="32">
        <v>0.31</v>
      </c>
      <c r="DR125" s="32">
        <v>1</v>
      </c>
      <c r="DS125" s="32">
        <v>0.08</v>
      </c>
      <c r="DT125" s="32">
        <v>0.25</v>
      </c>
      <c r="DU125" s="32">
        <v>0.32</v>
      </c>
      <c r="DV125" s="32">
        <v>0.25</v>
      </c>
      <c r="DW125" s="32">
        <v>0.13</v>
      </c>
      <c r="DX125" s="32">
        <v>0.36</v>
      </c>
      <c r="DY125" s="32">
        <v>0.22</v>
      </c>
      <c r="DZ125" s="32">
        <v>0.11</v>
      </c>
      <c r="EA125" s="32">
        <v>0.2</v>
      </c>
      <c r="EB125" s="32">
        <v>0.22</v>
      </c>
      <c r="EC125" s="32">
        <v>0.18</v>
      </c>
      <c r="ED125" s="32">
        <v>0.25</v>
      </c>
      <c r="EE125" s="32">
        <v>0.37</v>
      </c>
      <c r="EF125" s="32">
        <v>0.4</v>
      </c>
      <c r="EG125" s="32">
        <v>0.31</v>
      </c>
      <c r="EH125" s="32">
        <v>0.03</v>
      </c>
      <c r="EI125" s="32">
        <v>0.36</v>
      </c>
      <c r="EJ125" s="32">
        <v>0.25</v>
      </c>
      <c r="EK125" s="32">
        <v>0.32</v>
      </c>
      <c r="EL125" s="32">
        <v>0.36</v>
      </c>
      <c r="EM125" s="32">
        <v>0.23</v>
      </c>
      <c r="EN125" s="32">
        <v>0.16</v>
      </c>
      <c r="EO125" s="32">
        <v>0.06</v>
      </c>
    </row>
    <row r="126" spans="1:145" x14ac:dyDescent="0.25">
      <c r="A126" s="31" t="s">
        <v>205</v>
      </c>
      <c r="B126" s="32">
        <v>0.11</v>
      </c>
      <c r="C126" s="32">
        <v>-7.0000000000000007E-2</v>
      </c>
      <c r="D126" s="32">
        <v>0.03</v>
      </c>
      <c r="E126" s="32">
        <v>-0.02</v>
      </c>
      <c r="F126" s="32">
        <v>0.04</v>
      </c>
      <c r="G126" s="32">
        <v>-0.02</v>
      </c>
      <c r="H126" s="32">
        <v>0.01</v>
      </c>
      <c r="I126" s="32">
        <v>0.06</v>
      </c>
      <c r="J126" s="32">
        <v>0</v>
      </c>
      <c r="K126" s="32">
        <v>7.0000000000000007E-2</v>
      </c>
      <c r="L126" s="32">
        <v>0.04</v>
      </c>
      <c r="M126" s="32">
        <v>0.12</v>
      </c>
      <c r="N126" s="32">
        <v>0.06</v>
      </c>
      <c r="O126" s="32">
        <v>-0.08</v>
      </c>
      <c r="P126" s="32">
        <v>0.06</v>
      </c>
      <c r="Q126" s="32">
        <v>0.01</v>
      </c>
      <c r="R126" s="32">
        <v>0.05</v>
      </c>
      <c r="S126" s="32">
        <v>0.02</v>
      </c>
      <c r="T126" s="32">
        <v>0.25</v>
      </c>
      <c r="U126" s="32">
        <v>0.02</v>
      </c>
      <c r="V126" s="32">
        <v>-7.0000000000000007E-2</v>
      </c>
      <c r="W126" s="32">
        <v>0.02</v>
      </c>
      <c r="X126" s="32">
        <v>0.13</v>
      </c>
      <c r="Y126" s="32">
        <v>0.25</v>
      </c>
      <c r="Z126" s="32">
        <v>0</v>
      </c>
      <c r="AA126" s="32">
        <v>0.05</v>
      </c>
      <c r="AB126" s="32">
        <v>0.3</v>
      </c>
      <c r="AC126" s="32">
        <v>-7.0000000000000007E-2</v>
      </c>
      <c r="AD126" s="32">
        <v>-7.0000000000000007E-2</v>
      </c>
      <c r="AE126" s="32">
        <v>-0.03</v>
      </c>
      <c r="AF126" s="32">
        <v>-0.05</v>
      </c>
      <c r="AG126" s="32">
        <v>0</v>
      </c>
      <c r="AH126" s="32">
        <v>0</v>
      </c>
      <c r="AI126" s="32">
        <v>-0.03</v>
      </c>
      <c r="AJ126" s="32">
        <v>-0.13</v>
      </c>
      <c r="AK126" s="32">
        <v>-0.04</v>
      </c>
      <c r="AL126" s="32">
        <v>0.24</v>
      </c>
      <c r="AM126" s="32">
        <v>0.12</v>
      </c>
      <c r="AN126" s="32">
        <v>0.15</v>
      </c>
      <c r="AO126" s="32">
        <v>-0.01</v>
      </c>
      <c r="AP126" s="32">
        <v>0.15</v>
      </c>
      <c r="AQ126" s="32">
        <v>-0.04</v>
      </c>
      <c r="AR126" s="32">
        <v>0.16</v>
      </c>
      <c r="AS126" s="32">
        <v>0.01</v>
      </c>
      <c r="AT126" s="32">
        <v>0.28000000000000003</v>
      </c>
      <c r="AU126" s="32">
        <v>-0.02</v>
      </c>
      <c r="AV126" s="32">
        <v>-7.0000000000000007E-2</v>
      </c>
      <c r="AW126" s="32">
        <v>-0.06</v>
      </c>
      <c r="AX126" s="32">
        <v>0.02</v>
      </c>
      <c r="AY126" s="32">
        <v>0.08</v>
      </c>
      <c r="AZ126" s="32">
        <v>-0.1</v>
      </c>
      <c r="BA126" s="32">
        <v>0.01</v>
      </c>
      <c r="BB126" s="32">
        <v>0.23</v>
      </c>
      <c r="BC126" s="32">
        <v>-0.09</v>
      </c>
      <c r="BD126" s="32">
        <v>-0.09</v>
      </c>
      <c r="BE126" s="32">
        <v>-0.03</v>
      </c>
      <c r="BF126" s="32">
        <v>0.02</v>
      </c>
      <c r="BG126" s="32">
        <v>0.2</v>
      </c>
      <c r="BH126" s="32">
        <v>0.01</v>
      </c>
      <c r="BI126" s="32">
        <v>0.08</v>
      </c>
      <c r="BJ126" s="32">
        <v>-0.1</v>
      </c>
      <c r="BK126" s="32">
        <v>0</v>
      </c>
      <c r="BL126" s="32">
        <v>0.02</v>
      </c>
      <c r="BM126" s="32">
        <v>0.14000000000000001</v>
      </c>
      <c r="BN126" s="32">
        <v>0.06</v>
      </c>
      <c r="BO126" s="32">
        <v>0.25</v>
      </c>
      <c r="BP126" s="32">
        <v>0.31</v>
      </c>
      <c r="BQ126" s="32">
        <v>-0.06</v>
      </c>
      <c r="BR126" s="32">
        <v>0.13</v>
      </c>
      <c r="BS126" s="32">
        <v>0</v>
      </c>
      <c r="BT126" s="32">
        <v>0.13</v>
      </c>
      <c r="BU126" s="32">
        <v>-0.01</v>
      </c>
      <c r="BV126" s="32">
        <v>0.26</v>
      </c>
      <c r="BW126" s="32">
        <v>0.19</v>
      </c>
      <c r="BX126" s="32">
        <v>0.04</v>
      </c>
      <c r="BY126" s="32">
        <v>0.09</v>
      </c>
      <c r="BZ126" s="32">
        <v>0.19</v>
      </c>
      <c r="CA126" s="32">
        <v>-0.08</v>
      </c>
      <c r="CB126" s="32">
        <v>0.03</v>
      </c>
      <c r="CC126" s="32">
        <v>0.17</v>
      </c>
      <c r="CD126" s="32">
        <v>0.44</v>
      </c>
      <c r="CE126" s="32">
        <v>7.0000000000000007E-2</v>
      </c>
      <c r="CF126" s="32">
        <v>0</v>
      </c>
      <c r="CG126" s="32">
        <v>0.34</v>
      </c>
      <c r="CH126" s="32">
        <v>-0.1</v>
      </c>
      <c r="CI126" s="32">
        <v>0.02</v>
      </c>
      <c r="CJ126" s="32">
        <v>0.2</v>
      </c>
      <c r="CK126" s="32">
        <v>0.15</v>
      </c>
      <c r="CL126" s="32">
        <v>-0.01</v>
      </c>
      <c r="CM126" s="32">
        <v>0.1</v>
      </c>
      <c r="CN126" s="32">
        <v>0.03</v>
      </c>
      <c r="CO126" s="32">
        <v>0.08</v>
      </c>
      <c r="CP126" s="32">
        <v>0.14000000000000001</v>
      </c>
      <c r="CQ126" s="32">
        <v>0.18</v>
      </c>
      <c r="CR126" s="32">
        <v>0.08</v>
      </c>
      <c r="CS126" s="32">
        <v>-0.1</v>
      </c>
      <c r="CT126" s="32">
        <v>0.14000000000000001</v>
      </c>
      <c r="CU126" s="32">
        <v>0.11</v>
      </c>
      <c r="CV126" s="32">
        <v>0.18</v>
      </c>
      <c r="CW126" s="32">
        <v>0.24</v>
      </c>
      <c r="CX126" s="32">
        <v>0.2</v>
      </c>
      <c r="CY126" s="32">
        <v>0.08</v>
      </c>
      <c r="CZ126" s="32">
        <v>0.32</v>
      </c>
      <c r="DA126" s="32">
        <v>0.2</v>
      </c>
      <c r="DB126" s="32">
        <v>0.11</v>
      </c>
      <c r="DC126" s="32">
        <v>0.03</v>
      </c>
      <c r="DD126" s="32">
        <v>0.28999999999999998</v>
      </c>
      <c r="DE126" s="32">
        <v>-0.01</v>
      </c>
      <c r="DF126" s="32">
        <v>0.28999999999999998</v>
      </c>
      <c r="DG126" s="32">
        <v>-0.11</v>
      </c>
      <c r="DH126" s="32">
        <v>0.08</v>
      </c>
      <c r="DI126" s="32">
        <v>0.17</v>
      </c>
      <c r="DJ126" s="32">
        <v>0.25</v>
      </c>
      <c r="DK126" s="32">
        <v>0.16</v>
      </c>
      <c r="DL126" s="32">
        <v>-0.16</v>
      </c>
      <c r="DM126" s="32">
        <v>0.18</v>
      </c>
      <c r="DN126" s="32">
        <v>0.28999999999999998</v>
      </c>
      <c r="DO126" s="32">
        <v>0.08</v>
      </c>
      <c r="DP126" s="32">
        <v>0.25</v>
      </c>
      <c r="DQ126" s="32">
        <v>0.04</v>
      </c>
      <c r="DR126" s="32">
        <v>0.08</v>
      </c>
      <c r="DS126" s="32">
        <v>1</v>
      </c>
      <c r="DT126" s="32">
        <v>0.23</v>
      </c>
      <c r="DU126" s="32">
        <v>0.26</v>
      </c>
      <c r="DV126" s="32">
        <v>0.32</v>
      </c>
      <c r="DW126" s="32">
        <v>0.3</v>
      </c>
      <c r="DX126" s="32">
        <v>-7.0000000000000007E-2</v>
      </c>
      <c r="DY126" s="32">
        <v>0.38</v>
      </c>
      <c r="DZ126" s="32">
        <v>0.25</v>
      </c>
      <c r="EA126" s="32">
        <v>0.09</v>
      </c>
      <c r="EB126" s="32">
        <v>0.41</v>
      </c>
      <c r="EC126" s="32">
        <v>-0.09</v>
      </c>
      <c r="ED126" s="32">
        <v>-0.09</v>
      </c>
      <c r="EE126" s="32">
        <v>0.04</v>
      </c>
      <c r="EF126" s="32">
        <v>7.0000000000000007E-2</v>
      </c>
      <c r="EG126" s="32">
        <v>-0.02</v>
      </c>
      <c r="EH126" s="32">
        <v>0.22</v>
      </c>
      <c r="EI126" s="32">
        <v>-0.05</v>
      </c>
      <c r="EJ126" s="32">
        <v>0.16</v>
      </c>
      <c r="EK126" s="32">
        <v>-0.01</v>
      </c>
      <c r="EL126" s="32">
        <v>0.02</v>
      </c>
      <c r="EM126" s="32">
        <v>0.16</v>
      </c>
      <c r="EN126" s="32">
        <v>0.13</v>
      </c>
      <c r="EO126" s="32">
        <v>0.14000000000000001</v>
      </c>
    </row>
    <row r="127" spans="1:145" x14ac:dyDescent="0.25">
      <c r="A127" s="31" t="s">
        <v>206</v>
      </c>
      <c r="B127" s="32">
        <v>-0.13</v>
      </c>
      <c r="C127" s="32">
        <v>-0.03</v>
      </c>
      <c r="D127" s="32">
        <v>0.04</v>
      </c>
      <c r="E127" s="32">
        <v>0.05</v>
      </c>
      <c r="F127" s="32">
        <v>-0.26</v>
      </c>
      <c r="G127" s="32">
        <v>-0.04</v>
      </c>
      <c r="H127" s="32">
        <v>0.02</v>
      </c>
      <c r="I127" s="32">
        <v>-0.12</v>
      </c>
      <c r="J127" s="32">
        <v>-0.22</v>
      </c>
      <c r="K127" s="32">
        <v>-0.23</v>
      </c>
      <c r="L127" s="32">
        <v>0.03</v>
      </c>
      <c r="M127" s="32">
        <v>0.14000000000000001</v>
      </c>
      <c r="N127" s="32">
        <v>0</v>
      </c>
      <c r="O127" s="32">
        <v>-0.01</v>
      </c>
      <c r="P127" s="32">
        <v>-0.17</v>
      </c>
      <c r="Q127" s="32">
        <v>-0.1</v>
      </c>
      <c r="R127" s="32">
        <v>-0.14000000000000001</v>
      </c>
      <c r="S127" s="32">
        <v>-0.02</v>
      </c>
      <c r="T127" s="32">
        <v>0.15</v>
      </c>
      <c r="U127" s="32">
        <v>0.13</v>
      </c>
      <c r="V127" s="32">
        <v>0.02</v>
      </c>
      <c r="W127" s="32">
        <v>-0.06</v>
      </c>
      <c r="X127" s="32">
        <v>0.15</v>
      </c>
      <c r="Y127" s="32">
        <v>-0.08</v>
      </c>
      <c r="Z127" s="32">
        <v>0.08</v>
      </c>
      <c r="AA127" s="32">
        <v>0</v>
      </c>
      <c r="AB127" s="32">
        <v>-0.04</v>
      </c>
      <c r="AC127" s="32">
        <v>0.12</v>
      </c>
      <c r="AD127" s="32">
        <v>-0.11</v>
      </c>
      <c r="AE127" s="32">
        <v>0.04</v>
      </c>
      <c r="AF127" s="32">
        <v>0.06</v>
      </c>
      <c r="AG127" s="32">
        <v>-0.18</v>
      </c>
      <c r="AH127" s="32">
        <v>-0.14000000000000001</v>
      </c>
      <c r="AI127" s="32">
        <v>-0.03</v>
      </c>
      <c r="AJ127" s="32">
        <v>0.05</v>
      </c>
      <c r="AK127" s="32">
        <v>0.03</v>
      </c>
      <c r="AL127" s="32">
        <v>0.04</v>
      </c>
      <c r="AM127" s="32">
        <v>0.1</v>
      </c>
      <c r="AN127" s="32">
        <v>-0.01</v>
      </c>
      <c r="AO127" s="32">
        <v>-0.16</v>
      </c>
      <c r="AP127" s="32">
        <v>0.08</v>
      </c>
      <c r="AQ127" s="32">
        <v>-0.1</v>
      </c>
      <c r="AR127" s="32">
        <v>0.15</v>
      </c>
      <c r="AS127" s="32">
        <v>0.04</v>
      </c>
      <c r="AT127" s="32">
        <v>0.19</v>
      </c>
      <c r="AU127" s="32">
        <v>-0.12</v>
      </c>
      <c r="AV127" s="32">
        <v>0.08</v>
      </c>
      <c r="AW127" s="32">
        <v>0.06</v>
      </c>
      <c r="AX127" s="32">
        <v>-0.09</v>
      </c>
      <c r="AY127" s="32">
        <v>-0.03</v>
      </c>
      <c r="AZ127" s="32">
        <v>0</v>
      </c>
      <c r="BA127" s="32">
        <v>0.04</v>
      </c>
      <c r="BB127" s="32">
        <v>0.3</v>
      </c>
      <c r="BC127" s="32">
        <v>0.08</v>
      </c>
      <c r="BD127" s="32">
        <v>0.05</v>
      </c>
      <c r="BE127" s="32">
        <v>-0.13</v>
      </c>
      <c r="BF127" s="32">
        <v>-0.01</v>
      </c>
      <c r="BG127" s="32">
        <v>0.14000000000000001</v>
      </c>
      <c r="BH127" s="32">
        <v>0.15</v>
      </c>
      <c r="BI127" s="32">
        <v>0.11</v>
      </c>
      <c r="BJ127" s="32">
        <v>-0.02</v>
      </c>
      <c r="BK127" s="32">
        <v>-0.03</v>
      </c>
      <c r="BL127" s="32">
        <v>0.2</v>
      </c>
      <c r="BM127" s="32">
        <v>-0.01</v>
      </c>
      <c r="BN127" s="32">
        <v>-0.06</v>
      </c>
      <c r="BO127" s="32">
        <v>0.25</v>
      </c>
      <c r="BP127" s="32">
        <v>0.47</v>
      </c>
      <c r="BQ127" s="32">
        <v>0.19</v>
      </c>
      <c r="BR127" s="32">
        <v>0.1</v>
      </c>
      <c r="BS127" s="32">
        <v>-0.02</v>
      </c>
      <c r="BT127" s="32">
        <v>0.15</v>
      </c>
      <c r="BU127" s="32">
        <v>0.09</v>
      </c>
      <c r="BV127" s="32">
        <v>0.28000000000000003</v>
      </c>
      <c r="BW127" s="32">
        <v>0.15</v>
      </c>
      <c r="BX127" s="32">
        <v>-0.04</v>
      </c>
      <c r="BY127" s="32">
        <v>0.13</v>
      </c>
      <c r="BZ127" s="32">
        <v>0.25</v>
      </c>
      <c r="CA127" s="32">
        <v>0.06</v>
      </c>
      <c r="CB127" s="32">
        <v>-0.08</v>
      </c>
      <c r="CC127" s="32">
        <v>0.08</v>
      </c>
      <c r="CD127" s="32">
        <v>0.24</v>
      </c>
      <c r="CE127" s="32">
        <v>0.24</v>
      </c>
      <c r="CF127" s="32">
        <v>-0.04</v>
      </c>
      <c r="CG127" s="32">
        <v>0.22</v>
      </c>
      <c r="CH127" s="32">
        <v>0.22</v>
      </c>
      <c r="CI127" s="32">
        <v>-0.02</v>
      </c>
      <c r="CJ127" s="32">
        <v>0.04</v>
      </c>
      <c r="CK127" s="32">
        <v>0.05</v>
      </c>
      <c r="CL127" s="32">
        <v>0.14000000000000001</v>
      </c>
      <c r="CM127" s="32">
        <v>0.44</v>
      </c>
      <c r="CN127" s="32">
        <v>0.13</v>
      </c>
      <c r="CO127" s="32">
        <v>0.11</v>
      </c>
      <c r="CP127" s="32">
        <v>0.09</v>
      </c>
      <c r="CQ127" s="32">
        <v>0.19</v>
      </c>
      <c r="CR127" s="32">
        <v>0.43</v>
      </c>
      <c r="CS127" s="32">
        <v>0.22</v>
      </c>
      <c r="CT127" s="32">
        <v>0.28000000000000003</v>
      </c>
      <c r="CU127" s="32">
        <v>0.21</v>
      </c>
      <c r="CV127" s="32">
        <v>0.23</v>
      </c>
      <c r="CW127" s="32">
        <v>0.16</v>
      </c>
      <c r="CX127" s="32">
        <v>0.2</v>
      </c>
      <c r="CY127" s="32">
        <v>0.11</v>
      </c>
      <c r="CZ127" s="32">
        <v>0.31</v>
      </c>
      <c r="DA127" s="32">
        <v>0.2</v>
      </c>
      <c r="DB127" s="32">
        <v>0.39</v>
      </c>
      <c r="DC127" s="32">
        <v>0.19</v>
      </c>
      <c r="DD127" s="32">
        <v>0.34</v>
      </c>
      <c r="DE127" s="32">
        <v>0.34</v>
      </c>
      <c r="DF127" s="32">
        <v>0.28000000000000003</v>
      </c>
      <c r="DG127" s="32">
        <v>0.25</v>
      </c>
      <c r="DH127" s="32">
        <v>0.45</v>
      </c>
      <c r="DI127" s="32">
        <v>0.19</v>
      </c>
      <c r="DJ127" s="32">
        <v>0.16</v>
      </c>
      <c r="DK127" s="32">
        <v>0.21</v>
      </c>
      <c r="DL127" s="32">
        <v>0.14000000000000001</v>
      </c>
      <c r="DM127" s="32">
        <v>0.17</v>
      </c>
      <c r="DN127" s="32">
        <v>0.21</v>
      </c>
      <c r="DO127" s="32">
        <v>0.26</v>
      </c>
      <c r="DP127" s="32">
        <v>0.15</v>
      </c>
      <c r="DQ127" s="32">
        <v>0.28000000000000003</v>
      </c>
      <c r="DR127" s="32">
        <v>0.25</v>
      </c>
      <c r="DS127" s="32">
        <v>0.23</v>
      </c>
      <c r="DT127" s="32">
        <v>1</v>
      </c>
      <c r="DU127" s="32">
        <v>0.46</v>
      </c>
      <c r="DV127" s="32">
        <v>0.42</v>
      </c>
      <c r="DW127" s="32">
        <v>0.34</v>
      </c>
      <c r="DX127" s="32">
        <v>0.28999999999999998</v>
      </c>
      <c r="DY127" s="32">
        <v>0.35</v>
      </c>
      <c r="DZ127" s="32">
        <v>0.35</v>
      </c>
      <c r="EA127" s="32">
        <v>0.2</v>
      </c>
      <c r="EB127" s="32">
        <v>0.38</v>
      </c>
      <c r="EC127" s="32">
        <v>0.1</v>
      </c>
      <c r="ED127" s="32">
        <v>0.33</v>
      </c>
      <c r="EE127" s="32">
        <v>0.37</v>
      </c>
      <c r="EF127" s="32">
        <v>0.1</v>
      </c>
      <c r="EG127" s="32">
        <v>0.22</v>
      </c>
      <c r="EH127" s="32">
        <v>0.18</v>
      </c>
      <c r="EI127" s="32">
        <v>0.32</v>
      </c>
      <c r="EJ127" s="32">
        <v>0.28999999999999998</v>
      </c>
      <c r="EK127" s="32">
        <v>0.38</v>
      </c>
      <c r="EL127" s="32">
        <v>0.37</v>
      </c>
      <c r="EM127" s="32">
        <v>0.36</v>
      </c>
      <c r="EN127" s="32">
        <v>0.11</v>
      </c>
      <c r="EO127" s="32">
        <v>0.15</v>
      </c>
    </row>
    <row r="128" spans="1:145" x14ac:dyDescent="0.25">
      <c r="A128" s="31" t="s">
        <v>207</v>
      </c>
      <c r="B128" s="32">
        <v>-0.01</v>
      </c>
      <c r="C128" s="32">
        <v>-0.06</v>
      </c>
      <c r="D128" s="32">
        <v>0.11</v>
      </c>
      <c r="E128" s="32">
        <v>0.13</v>
      </c>
      <c r="F128" s="32">
        <v>-0.12</v>
      </c>
      <c r="G128" s="32">
        <v>0.04</v>
      </c>
      <c r="H128" s="32">
        <v>0.05</v>
      </c>
      <c r="I128" s="32">
        <v>0</v>
      </c>
      <c r="J128" s="32">
        <v>-0.11</v>
      </c>
      <c r="K128" s="32">
        <v>-0.06</v>
      </c>
      <c r="L128" s="32">
        <v>-0.02</v>
      </c>
      <c r="M128" s="32">
        <v>0.3</v>
      </c>
      <c r="N128" s="32">
        <v>0.12</v>
      </c>
      <c r="O128" s="32">
        <v>0.08</v>
      </c>
      <c r="P128" s="32">
        <v>-0.09</v>
      </c>
      <c r="Q128" s="32">
        <v>0</v>
      </c>
      <c r="R128" s="32">
        <v>-7.0000000000000007E-2</v>
      </c>
      <c r="S128" s="32">
        <v>0.06</v>
      </c>
      <c r="T128" s="32">
        <v>0.32</v>
      </c>
      <c r="U128" s="32">
        <v>0.22</v>
      </c>
      <c r="V128" s="32">
        <v>0.05</v>
      </c>
      <c r="W128" s="32">
        <v>0.14000000000000001</v>
      </c>
      <c r="X128" s="32">
        <v>0.37</v>
      </c>
      <c r="Y128" s="32">
        <v>0.09</v>
      </c>
      <c r="Z128" s="32">
        <v>0.14000000000000001</v>
      </c>
      <c r="AA128" s="32">
        <v>0.04</v>
      </c>
      <c r="AB128" s="32">
        <v>0.14000000000000001</v>
      </c>
      <c r="AC128" s="32">
        <v>0.11</v>
      </c>
      <c r="AD128" s="32">
        <v>0.08</v>
      </c>
      <c r="AE128" s="32">
        <v>0.16</v>
      </c>
      <c r="AF128" s="32">
        <v>0.16</v>
      </c>
      <c r="AG128" s="32">
        <v>-0.04</v>
      </c>
      <c r="AH128" s="32">
        <v>-0.06</v>
      </c>
      <c r="AI128" s="32">
        <v>-0.11</v>
      </c>
      <c r="AJ128" s="32">
        <v>0.08</v>
      </c>
      <c r="AK128" s="32">
        <v>0.15</v>
      </c>
      <c r="AL128" s="32">
        <v>0.2</v>
      </c>
      <c r="AM128" s="32">
        <v>0.21</v>
      </c>
      <c r="AN128" s="32">
        <v>0.21</v>
      </c>
      <c r="AO128" s="32">
        <v>-0.09</v>
      </c>
      <c r="AP128" s="32">
        <v>0.3</v>
      </c>
      <c r="AQ128" s="32">
        <v>-0.15</v>
      </c>
      <c r="AR128" s="32">
        <v>0.32</v>
      </c>
      <c r="AS128" s="32">
        <v>0.14000000000000001</v>
      </c>
      <c r="AT128" s="32">
        <v>0.45</v>
      </c>
      <c r="AU128" s="32">
        <v>-0.11</v>
      </c>
      <c r="AV128" s="32">
        <v>0.16</v>
      </c>
      <c r="AW128" s="32">
        <v>0.11</v>
      </c>
      <c r="AX128" s="32">
        <v>7.0000000000000007E-2</v>
      </c>
      <c r="AY128" s="32">
        <v>0.11</v>
      </c>
      <c r="AZ128" s="32">
        <v>0.16</v>
      </c>
      <c r="BA128" s="32">
        <v>0.17</v>
      </c>
      <c r="BB128" s="32">
        <v>0.48</v>
      </c>
      <c r="BC128" s="32">
        <v>0.2</v>
      </c>
      <c r="BD128" s="32">
        <v>0.2</v>
      </c>
      <c r="BE128" s="32">
        <v>0.03</v>
      </c>
      <c r="BF128" s="32">
        <v>0.12</v>
      </c>
      <c r="BG128" s="32">
        <v>0.28000000000000003</v>
      </c>
      <c r="BH128" s="32">
        <v>0.19</v>
      </c>
      <c r="BI128" s="32">
        <v>0.1</v>
      </c>
      <c r="BJ128" s="32">
        <v>0.01</v>
      </c>
      <c r="BK128" s="32">
        <v>0.17</v>
      </c>
      <c r="BL128" s="32">
        <v>0.24</v>
      </c>
      <c r="BM128" s="32">
        <v>0.18</v>
      </c>
      <c r="BN128" s="32">
        <v>0.02</v>
      </c>
      <c r="BO128" s="32">
        <v>0.33</v>
      </c>
      <c r="BP128" s="32">
        <v>0.42</v>
      </c>
      <c r="BQ128" s="32">
        <v>0.28000000000000003</v>
      </c>
      <c r="BR128" s="32">
        <v>0.3</v>
      </c>
      <c r="BS128" s="32">
        <v>-0.13</v>
      </c>
      <c r="BT128" s="32">
        <v>0.36</v>
      </c>
      <c r="BU128" s="32">
        <v>0.19</v>
      </c>
      <c r="BV128" s="32">
        <v>0.35</v>
      </c>
      <c r="BW128" s="32">
        <v>0.24</v>
      </c>
      <c r="BX128" s="32">
        <v>0.08</v>
      </c>
      <c r="BY128" s="32">
        <v>0.27</v>
      </c>
      <c r="BZ128" s="32">
        <v>0.42</v>
      </c>
      <c r="CA128" s="32">
        <v>0.12</v>
      </c>
      <c r="CB128" s="32">
        <v>-0.02</v>
      </c>
      <c r="CC128" s="32">
        <v>0.15</v>
      </c>
      <c r="CD128" s="32">
        <v>0.3</v>
      </c>
      <c r="CE128" s="32">
        <v>0.23</v>
      </c>
      <c r="CF128" s="32">
        <v>-0.13</v>
      </c>
      <c r="CG128" s="32">
        <v>0.28999999999999998</v>
      </c>
      <c r="CH128" s="32">
        <v>0.26</v>
      </c>
      <c r="CI128" s="32">
        <v>-0.15</v>
      </c>
      <c r="CJ128" s="32">
        <v>0.19</v>
      </c>
      <c r="CK128" s="32">
        <v>0.18</v>
      </c>
      <c r="CL128" s="32">
        <v>0.26</v>
      </c>
      <c r="CM128" s="32">
        <v>0.47</v>
      </c>
      <c r="CN128" s="32">
        <v>0.09</v>
      </c>
      <c r="CO128" s="32">
        <v>0.18</v>
      </c>
      <c r="CP128" s="32">
        <v>0.17</v>
      </c>
      <c r="CQ128" s="32">
        <v>0.43</v>
      </c>
      <c r="CR128" s="32">
        <v>0.4</v>
      </c>
      <c r="CS128" s="32">
        <v>0.32</v>
      </c>
      <c r="CT128" s="32">
        <v>0.37</v>
      </c>
      <c r="CU128" s="32">
        <v>0.19</v>
      </c>
      <c r="CV128" s="32">
        <v>0.28000000000000003</v>
      </c>
      <c r="CW128" s="32">
        <v>0.39</v>
      </c>
      <c r="CX128" s="32">
        <v>0.49</v>
      </c>
      <c r="CY128" s="32">
        <v>0.32</v>
      </c>
      <c r="CZ128" s="32">
        <v>0.24</v>
      </c>
      <c r="DA128" s="32">
        <v>0.31</v>
      </c>
      <c r="DB128" s="32">
        <v>0.49</v>
      </c>
      <c r="DC128" s="32">
        <v>0.25</v>
      </c>
      <c r="DD128" s="32">
        <v>0.47</v>
      </c>
      <c r="DE128" s="32">
        <v>0.38</v>
      </c>
      <c r="DF128" s="32">
        <v>0.24</v>
      </c>
      <c r="DG128" s="32">
        <v>0.37</v>
      </c>
      <c r="DH128" s="32">
        <v>0.36</v>
      </c>
      <c r="DI128" s="32">
        <v>0.4</v>
      </c>
      <c r="DJ128" s="32">
        <v>0.25</v>
      </c>
      <c r="DK128" s="32">
        <v>0.44</v>
      </c>
      <c r="DL128" s="32">
        <v>0.15</v>
      </c>
      <c r="DM128" s="32">
        <v>0.34</v>
      </c>
      <c r="DN128" s="32">
        <v>0.25</v>
      </c>
      <c r="DO128" s="32">
        <v>0.27</v>
      </c>
      <c r="DP128" s="32">
        <v>0.26</v>
      </c>
      <c r="DQ128" s="32">
        <v>0.3</v>
      </c>
      <c r="DR128" s="32">
        <v>0.32</v>
      </c>
      <c r="DS128" s="32">
        <v>0.26</v>
      </c>
      <c r="DT128" s="32">
        <v>0.46</v>
      </c>
      <c r="DU128" s="32">
        <v>1</v>
      </c>
      <c r="DV128" s="32">
        <v>0.48</v>
      </c>
      <c r="DW128" s="32">
        <v>0.46</v>
      </c>
      <c r="DX128" s="32">
        <v>0.33</v>
      </c>
      <c r="DY128" s="32">
        <v>0.66</v>
      </c>
      <c r="DZ128" s="32">
        <v>0.27</v>
      </c>
      <c r="EA128" s="32">
        <v>0.27</v>
      </c>
      <c r="EB128" s="32">
        <v>0.7</v>
      </c>
      <c r="EC128" s="32">
        <v>0.05</v>
      </c>
      <c r="ED128" s="32">
        <v>0.42</v>
      </c>
      <c r="EE128" s="32">
        <v>0.41</v>
      </c>
      <c r="EF128" s="32">
        <v>0.32</v>
      </c>
      <c r="EG128" s="32">
        <v>0.25</v>
      </c>
      <c r="EH128" s="32">
        <v>0.28999999999999998</v>
      </c>
      <c r="EI128" s="32">
        <v>0.28999999999999998</v>
      </c>
      <c r="EJ128" s="32">
        <v>0.34</v>
      </c>
      <c r="EK128" s="32">
        <v>0.53</v>
      </c>
      <c r="EL128" s="32">
        <v>0.5</v>
      </c>
      <c r="EM128" s="32">
        <v>0.35</v>
      </c>
      <c r="EN128" s="32">
        <v>0.22</v>
      </c>
      <c r="EO128" s="32">
        <v>0.23</v>
      </c>
    </row>
    <row r="129" spans="1:145" x14ac:dyDescent="0.25">
      <c r="A129" s="31" t="s">
        <v>208</v>
      </c>
      <c r="B129" s="32">
        <v>-0.02</v>
      </c>
      <c r="C129" s="32">
        <v>-0.06</v>
      </c>
      <c r="D129" s="32">
        <v>0.06</v>
      </c>
      <c r="E129" s="32">
        <v>0.09</v>
      </c>
      <c r="F129" s="32">
        <v>-0.09</v>
      </c>
      <c r="G129" s="32">
        <v>0.04</v>
      </c>
      <c r="H129" s="32">
        <v>0.02</v>
      </c>
      <c r="I129" s="32">
        <v>7.0000000000000007E-2</v>
      </c>
      <c r="J129" s="32">
        <v>-0.05</v>
      </c>
      <c r="K129" s="32">
        <v>-0.04</v>
      </c>
      <c r="L129" s="32">
        <v>7.0000000000000007E-2</v>
      </c>
      <c r="M129" s="32">
        <v>0.16</v>
      </c>
      <c r="N129" s="32">
        <v>0.09</v>
      </c>
      <c r="O129" s="32">
        <v>0.02</v>
      </c>
      <c r="P129" s="32">
        <v>0.04</v>
      </c>
      <c r="Q129" s="32">
        <v>-0.02</v>
      </c>
      <c r="R129" s="32">
        <v>0.01</v>
      </c>
      <c r="S129" s="32">
        <v>0.01</v>
      </c>
      <c r="T129" s="32">
        <v>0.11</v>
      </c>
      <c r="U129" s="32">
        <v>0.12</v>
      </c>
      <c r="V129" s="32">
        <v>0</v>
      </c>
      <c r="W129" s="32">
        <v>0.08</v>
      </c>
      <c r="X129" s="32">
        <v>0.18</v>
      </c>
      <c r="Y129" s="32">
        <v>0.19</v>
      </c>
      <c r="Z129" s="32">
        <v>0.05</v>
      </c>
      <c r="AA129" s="32">
        <v>-0.01</v>
      </c>
      <c r="AB129" s="32">
        <v>0.18</v>
      </c>
      <c r="AC129" s="32">
        <v>0.05</v>
      </c>
      <c r="AD129" s="32">
        <v>-0.05</v>
      </c>
      <c r="AE129" s="32">
        <v>0</v>
      </c>
      <c r="AF129" s="32">
        <v>0.15</v>
      </c>
      <c r="AG129" s="32">
        <v>-0.02</v>
      </c>
      <c r="AH129" s="32">
        <v>-0.02</v>
      </c>
      <c r="AI129" s="32">
        <v>0.02</v>
      </c>
      <c r="AJ129" s="32">
        <v>-0.05</v>
      </c>
      <c r="AK129" s="32">
        <v>-0.01</v>
      </c>
      <c r="AL129" s="32">
        <v>0.21</v>
      </c>
      <c r="AM129" s="32">
        <v>0.13</v>
      </c>
      <c r="AN129" s="32">
        <v>0.08</v>
      </c>
      <c r="AO129" s="32">
        <v>-0.02</v>
      </c>
      <c r="AP129" s="32">
        <v>0.14000000000000001</v>
      </c>
      <c r="AQ129" s="32">
        <v>-0.02</v>
      </c>
      <c r="AR129" s="32">
        <v>0.14000000000000001</v>
      </c>
      <c r="AS129" s="32">
        <v>0.04</v>
      </c>
      <c r="AT129" s="32">
        <v>0.23</v>
      </c>
      <c r="AU129" s="32">
        <v>0</v>
      </c>
      <c r="AV129" s="32">
        <v>0.15</v>
      </c>
      <c r="AW129" s="32">
        <v>0.03</v>
      </c>
      <c r="AX129" s="32">
        <v>7.0000000000000007E-2</v>
      </c>
      <c r="AY129" s="32">
        <v>0.13</v>
      </c>
      <c r="AZ129" s="32">
        <v>0.05</v>
      </c>
      <c r="BA129" s="32">
        <v>0.06</v>
      </c>
      <c r="BB129" s="32">
        <v>0.24</v>
      </c>
      <c r="BC129" s="32">
        <v>0.13</v>
      </c>
      <c r="BD129" s="32">
        <v>-0.03</v>
      </c>
      <c r="BE129" s="32">
        <v>-0.04</v>
      </c>
      <c r="BF129" s="32">
        <v>0.05</v>
      </c>
      <c r="BG129" s="32">
        <v>0.2</v>
      </c>
      <c r="BH129" s="32">
        <v>0.16</v>
      </c>
      <c r="BI129" s="32">
        <v>0.14000000000000001</v>
      </c>
      <c r="BJ129" s="32">
        <v>-7.0000000000000007E-2</v>
      </c>
      <c r="BK129" s="32">
        <v>0.05</v>
      </c>
      <c r="BL129" s="32">
        <v>7.0000000000000007E-2</v>
      </c>
      <c r="BM129" s="32">
        <v>0.08</v>
      </c>
      <c r="BN129" s="32">
        <v>-0.02</v>
      </c>
      <c r="BO129" s="32">
        <v>0.28000000000000003</v>
      </c>
      <c r="BP129" s="32">
        <v>0.45</v>
      </c>
      <c r="BQ129" s="32">
        <v>0.05</v>
      </c>
      <c r="BR129" s="32">
        <v>0.14000000000000001</v>
      </c>
      <c r="BS129" s="32">
        <v>-0.03</v>
      </c>
      <c r="BT129" s="32">
        <v>0.14000000000000001</v>
      </c>
      <c r="BU129" s="32">
        <v>0.11</v>
      </c>
      <c r="BV129" s="32">
        <v>0.28000000000000003</v>
      </c>
      <c r="BW129" s="32">
        <v>0.19</v>
      </c>
      <c r="BX129" s="32">
        <v>0</v>
      </c>
      <c r="BY129" s="32">
        <v>0.14000000000000001</v>
      </c>
      <c r="BZ129" s="32">
        <v>0.22</v>
      </c>
      <c r="CA129" s="32">
        <v>0.08</v>
      </c>
      <c r="CB129" s="32">
        <v>-0.05</v>
      </c>
      <c r="CC129" s="32">
        <v>7.0000000000000007E-2</v>
      </c>
      <c r="CD129" s="32">
        <v>0.32</v>
      </c>
      <c r="CE129" s="32">
        <v>0.21</v>
      </c>
      <c r="CF129" s="32">
        <v>-0.03</v>
      </c>
      <c r="CG129" s="32">
        <v>0.3</v>
      </c>
      <c r="CH129" s="32">
        <v>0.2</v>
      </c>
      <c r="CI129" s="32">
        <v>0.03</v>
      </c>
      <c r="CJ129" s="32">
        <v>0.23</v>
      </c>
      <c r="CK129" s="32">
        <v>0.08</v>
      </c>
      <c r="CL129" s="32">
        <v>7.0000000000000007E-2</v>
      </c>
      <c r="CM129" s="32">
        <v>0.32</v>
      </c>
      <c r="CN129" s="32">
        <v>0.03</v>
      </c>
      <c r="CO129" s="32">
        <v>0.02</v>
      </c>
      <c r="CP129" s="32">
        <v>0.18</v>
      </c>
      <c r="CQ129" s="32">
        <v>0.19</v>
      </c>
      <c r="CR129" s="32">
        <v>0.23</v>
      </c>
      <c r="CS129" s="32">
        <v>0.12</v>
      </c>
      <c r="CT129" s="32">
        <v>0.34</v>
      </c>
      <c r="CU129" s="32">
        <v>0.11</v>
      </c>
      <c r="CV129" s="32">
        <v>0.23</v>
      </c>
      <c r="CW129" s="32">
        <v>0.26</v>
      </c>
      <c r="CX129" s="32">
        <v>0.23</v>
      </c>
      <c r="CY129" s="32">
        <v>0.11</v>
      </c>
      <c r="CZ129" s="32">
        <v>0.34</v>
      </c>
      <c r="DA129" s="32">
        <v>0.18</v>
      </c>
      <c r="DB129" s="32">
        <v>0.38</v>
      </c>
      <c r="DC129" s="32">
        <v>0.01</v>
      </c>
      <c r="DD129" s="32">
        <v>0.38</v>
      </c>
      <c r="DE129" s="32">
        <v>0.26</v>
      </c>
      <c r="DF129" s="32">
        <v>0.45</v>
      </c>
      <c r="DG129" s="32">
        <v>0.25</v>
      </c>
      <c r="DH129" s="32">
        <v>0.32</v>
      </c>
      <c r="DI129" s="32">
        <v>0.19</v>
      </c>
      <c r="DJ129" s="32">
        <v>0.1</v>
      </c>
      <c r="DK129" s="32">
        <v>0.2</v>
      </c>
      <c r="DL129" s="32">
        <v>0.04</v>
      </c>
      <c r="DM129" s="32">
        <v>0.16</v>
      </c>
      <c r="DN129" s="32">
        <v>0.28000000000000003</v>
      </c>
      <c r="DO129" s="32">
        <v>0.2</v>
      </c>
      <c r="DP129" s="32">
        <v>0.16</v>
      </c>
      <c r="DQ129" s="32">
        <v>0.17</v>
      </c>
      <c r="DR129" s="32">
        <v>0.25</v>
      </c>
      <c r="DS129" s="32">
        <v>0.32</v>
      </c>
      <c r="DT129" s="32">
        <v>0.42</v>
      </c>
      <c r="DU129" s="32">
        <v>0.48</v>
      </c>
      <c r="DV129" s="32">
        <v>1</v>
      </c>
      <c r="DW129" s="32">
        <v>0.51</v>
      </c>
      <c r="DX129" s="32">
        <v>0.13</v>
      </c>
      <c r="DY129" s="32">
        <v>0.41</v>
      </c>
      <c r="DZ129" s="32">
        <v>0.39</v>
      </c>
      <c r="EA129" s="32">
        <v>0.15</v>
      </c>
      <c r="EB129" s="32">
        <v>0.44</v>
      </c>
      <c r="EC129" s="32">
        <v>-0.04</v>
      </c>
      <c r="ED129" s="32">
        <v>0.27</v>
      </c>
      <c r="EE129" s="32">
        <v>0.25</v>
      </c>
      <c r="EF129" s="32">
        <v>0.19</v>
      </c>
      <c r="EG129" s="32">
        <v>0.11</v>
      </c>
      <c r="EH129" s="32">
        <v>0.23</v>
      </c>
      <c r="EI129" s="32">
        <v>0.13</v>
      </c>
      <c r="EJ129" s="32">
        <v>0.19</v>
      </c>
      <c r="EK129" s="32">
        <v>0.26</v>
      </c>
      <c r="EL129" s="32">
        <v>0.2</v>
      </c>
      <c r="EM129" s="32">
        <v>0.31</v>
      </c>
      <c r="EN129" s="32">
        <v>0.16</v>
      </c>
      <c r="EO129" s="32">
        <v>0.14000000000000001</v>
      </c>
    </row>
    <row r="130" spans="1:145" x14ac:dyDescent="0.25">
      <c r="A130" s="31" t="s">
        <v>209</v>
      </c>
      <c r="B130" s="32">
        <v>0.1</v>
      </c>
      <c r="C130" s="32">
        <v>-0.12</v>
      </c>
      <c r="D130" s="32">
        <v>7.0000000000000007E-2</v>
      </c>
      <c r="E130" s="32">
        <v>0.02</v>
      </c>
      <c r="F130" s="32">
        <v>-0.04</v>
      </c>
      <c r="G130" s="32">
        <v>-0.08</v>
      </c>
      <c r="H130" s="32">
        <v>0.03</v>
      </c>
      <c r="I130" s="32">
        <v>0.17</v>
      </c>
      <c r="J130" s="32">
        <v>-0.01</v>
      </c>
      <c r="K130" s="32">
        <v>0.01</v>
      </c>
      <c r="L130" s="32">
        <v>-0.01</v>
      </c>
      <c r="M130" s="32">
        <v>0.23</v>
      </c>
      <c r="N130" s="32">
        <v>0.14000000000000001</v>
      </c>
      <c r="O130" s="32">
        <v>-0.04</v>
      </c>
      <c r="P130" s="32">
        <v>0.03</v>
      </c>
      <c r="Q130" s="32">
        <v>-0.04</v>
      </c>
      <c r="R130" s="32">
        <v>0.02</v>
      </c>
      <c r="S130" s="32">
        <v>0.06</v>
      </c>
      <c r="T130" s="32">
        <v>0.23</v>
      </c>
      <c r="U130" s="32">
        <v>0.11</v>
      </c>
      <c r="V130" s="32">
        <v>-0.03</v>
      </c>
      <c r="W130" s="32">
        <v>0.03</v>
      </c>
      <c r="X130" s="32">
        <v>0.21</v>
      </c>
      <c r="Y130" s="32">
        <v>0.33</v>
      </c>
      <c r="Z130" s="32">
        <v>0.04</v>
      </c>
      <c r="AA130" s="32">
        <v>-0.02</v>
      </c>
      <c r="AB130" s="32">
        <v>0.35</v>
      </c>
      <c r="AC130" s="32">
        <v>-0.04</v>
      </c>
      <c r="AD130" s="32">
        <v>-0.11</v>
      </c>
      <c r="AE130" s="32">
        <v>0.06</v>
      </c>
      <c r="AF130" s="32">
        <v>-0.02</v>
      </c>
      <c r="AG130" s="32">
        <v>-0.04</v>
      </c>
      <c r="AH130" s="32">
        <v>-0.11</v>
      </c>
      <c r="AI130" s="32">
        <v>-0.16</v>
      </c>
      <c r="AJ130" s="32">
        <v>0.02</v>
      </c>
      <c r="AK130" s="32">
        <v>7.0000000000000007E-2</v>
      </c>
      <c r="AL130" s="32">
        <v>0.25</v>
      </c>
      <c r="AM130" s="32">
        <v>0.15</v>
      </c>
      <c r="AN130" s="32">
        <v>0.22</v>
      </c>
      <c r="AO130" s="32">
        <v>0.03</v>
      </c>
      <c r="AP130" s="32">
        <v>0.3</v>
      </c>
      <c r="AQ130" s="32">
        <v>-0.19</v>
      </c>
      <c r="AR130" s="32">
        <v>0.24</v>
      </c>
      <c r="AS130" s="32">
        <v>0.06</v>
      </c>
      <c r="AT130" s="32">
        <v>0.41</v>
      </c>
      <c r="AU130" s="32">
        <v>-0.02</v>
      </c>
      <c r="AV130" s="32">
        <v>0.12</v>
      </c>
      <c r="AW130" s="32">
        <v>0.04</v>
      </c>
      <c r="AX130" s="32">
        <v>0.01</v>
      </c>
      <c r="AY130" s="32">
        <v>0.2</v>
      </c>
      <c r="AZ130" s="32">
        <v>0.12</v>
      </c>
      <c r="BA130" s="32">
        <v>0.1</v>
      </c>
      <c r="BB130" s="32">
        <v>0.3</v>
      </c>
      <c r="BC130" s="32">
        <v>0.1</v>
      </c>
      <c r="BD130" s="32">
        <v>0.08</v>
      </c>
      <c r="BE130" s="32">
        <v>0</v>
      </c>
      <c r="BF130" s="32">
        <v>0.04</v>
      </c>
      <c r="BG130" s="32">
        <v>0.32</v>
      </c>
      <c r="BH130" s="32">
        <v>0.23</v>
      </c>
      <c r="BI130" s="32">
        <v>0.08</v>
      </c>
      <c r="BJ130" s="32">
        <v>-0.06</v>
      </c>
      <c r="BK130" s="32">
        <v>0.09</v>
      </c>
      <c r="BL130" s="32">
        <v>0.11</v>
      </c>
      <c r="BM130" s="32">
        <v>0.17</v>
      </c>
      <c r="BN130" s="32">
        <v>-0.09</v>
      </c>
      <c r="BO130" s="32">
        <v>0.28000000000000003</v>
      </c>
      <c r="BP130" s="32">
        <v>0.34</v>
      </c>
      <c r="BQ130" s="32">
        <v>0.12</v>
      </c>
      <c r="BR130" s="32">
        <v>0.28999999999999998</v>
      </c>
      <c r="BS130" s="32">
        <v>-0.13</v>
      </c>
      <c r="BT130" s="32">
        <v>0.18</v>
      </c>
      <c r="BU130" s="32">
        <v>0.14000000000000001</v>
      </c>
      <c r="BV130" s="32">
        <v>0.27</v>
      </c>
      <c r="BW130" s="32">
        <v>0.19</v>
      </c>
      <c r="BX130" s="32">
        <v>0.1</v>
      </c>
      <c r="BY130" s="32">
        <v>0.27</v>
      </c>
      <c r="BZ130" s="32">
        <v>0.19</v>
      </c>
      <c r="CA130" s="32">
        <v>-0.02</v>
      </c>
      <c r="CB130" s="32">
        <v>-0.08</v>
      </c>
      <c r="CC130" s="32">
        <v>0.11</v>
      </c>
      <c r="CD130" s="32">
        <v>0.37</v>
      </c>
      <c r="CE130" s="32">
        <v>0.14000000000000001</v>
      </c>
      <c r="CF130" s="32">
        <v>-0.18</v>
      </c>
      <c r="CG130" s="32">
        <v>0.5</v>
      </c>
      <c r="CH130" s="32">
        <v>0.13</v>
      </c>
      <c r="CI130" s="32">
        <v>-0.12</v>
      </c>
      <c r="CJ130" s="32">
        <v>0.25</v>
      </c>
      <c r="CK130" s="32">
        <v>0.28000000000000003</v>
      </c>
      <c r="CL130" s="32">
        <v>0.16</v>
      </c>
      <c r="CM130" s="32">
        <v>0.28999999999999998</v>
      </c>
      <c r="CN130" s="32">
        <v>-0.04</v>
      </c>
      <c r="CO130" s="32">
        <v>0.15</v>
      </c>
      <c r="CP130" s="32">
        <v>0.2</v>
      </c>
      <c r="CQ130" s="32">
        <v>0.34</v>
      </c>
      <c r="CR130" s="32">
        <v>0.25</v>
      </c>
      <c r="CS130" s="32">
        <v>0.03</v>
      </c>
      <c r="CT130" s="32">
        <v>0.37</v>
      </c>
      <c r="CU130" s="32">
        <v>0.17</v>
      </c>
      <c r="CV130" s="32">
        <v>0.36</v>
      </c>
      <c r="CW130" s="32">
        <v>0.39</v>
      </c>
      <c r="CX130" s="32">
        <v>0.33</v>
      </c>
      <c r="CY130" s="32">
        <v>0.27</v>
      </c>
      <c r="CZ130" s="32">
        <v>0.34</v>
      </c>
      <c r="DA130" s="32">
        <v>0.41</v>
      </c>
      <c r="DB130" s="32">
        <v>0.28999999999999998</v>
      </c>
      <c r="DC130" s="32">
        <v>0.18</v>
      </c>
      <c r="DD130" s="32">
        <v>0.53</v>
      </c>
      <c r="DE130" s="32">
        <v>0.19</v>
      </c>
      <c r="DF130" s="32">
        <v>0.43</v>
      </c>
      <c r="DG130" s="32">
        <v>0.23</v>
      </c>
      <c r="DH130" s="32">
        <v>0.25</v>
      </c>
      <c r="DI130" s="32">
        <v>0.31</v>
      </c>
      <c r="DJ130" s="32">
        <v>0.3</v>
      </c>
      <c r="DK130" s="32">
        <v>0.34</v>
      </c>
      <c r="DL130" s="32">
        <v>0.06</v>
      </c>
      <c r="DM130" s="32">
        <v>0.35</v>
      </c>
      <c r="DN130" s="32">
        <v>0.34</v>
      </c>
      <c r="DO130" s="32">
        <v>0.11</v>
      </c>
      <c r="DP130" s="32">
        <v>0.39</v>
      </c>
      <c r="DQ130" s="32">
        <v>0.12</v>
      </c>
      <c r="DR130" s="32">
        <v>0.13</v>
      </c>
      <c r="DS130" s="32">
        <v>0.3</v>
      </c>
      <c r="DT130" s="32">
        <v>0.34</v>
      </c>
      <c r="DU130" s="32">
        <v>0.46</v>
      </c>
      <c r="DV130" s="32">
        <v>0.51</v>
      </c>
      <c r="DW130" s="32">
        <v>1</v>
      </c>
      <c r="DX130" s="32">
        <v>0.06</v>
      </c>
      <c r="DY130" s="32">
        <v>0.54</v>
      </c>
      <c r="DZ130" s="32">
        <v>0.37</v>
      </c>
      <c r="EA130" s="32">
        <v>0.23</v>
      </c>
      <c r="EB130" s="32">
        <v>0.53</v>
      </c>
      <c r="EC130" s="32">
        <v>0.05</v>
      </c>
      <c r="ED130" s="32">
        <v>0.24</v>
      </c>
      <c r="EE130" s="32">
        <v>0.09</v>
      </c>
      <c r="EF130" s="32">
        <v>0.14000000000000001</v>
      </c>
      <c r="EG130" s="32">
        <v>0.02</v>
      </c>
      <c r="EH130" s="32">
        <v>0.42</v>
      </c>
      <c r="EI130" s="32">
        <v>0.05</v>
      </c>
      <c r="EJ130" s="32">
        <v>0.23</v>
      </c>
      <c r="EK130" s="32">
        <v>0.17</v>
      </c>
      <c r="EL130" s="32">
        <v>0.18</v>
      </c>
      <c r="EM130" s="32">
        <v>0.23</v>
      </c>
      <c r="EN130" s="32">
        <v>0.13</v>
      </c>
      <c r="EO130" s="32">
        <v>0.1</v>
      </c>
    </row>
    <row r="131" spans="1:145" x14ac:dyDescent="0.25">
      <c r="A131" s="31" t="s">
        <v>210</v>
      </c>
      <c r="B131" s="32">
        <v>-0.15</v>
      </c>
      <c r="C131" s="32">
        <v>0.03</v>
      </c>
      <c r="D131" s="32">
        <v>0.06</v>
      </c>
      <c r="E131" s="32">
        <v>0.05</v>
      </c>
      <c r="F131" s="32">
        <v>-0.19</v>
      </c>
      <c r="G131" s="32">
        <v>0.01</v>
      </c>
      <c r="H131" s="32">
        <v>0.1</v>
      </c>
      <c r="I131" s="32">
        <v>-0.16</v>
      </c>
      <c r="J131" s="32">
        <v>-0.13</v>
      </c>
      <c r="K131" s="32">
        <v>-0.17</v>
      </c>
      <c r="L131" s="32">
        <v>0.12</v>
      </c>
      <c r="M131" s="32">
        <v>0.25</v>
      </c>
      <c r="N131" s="32">
        <v>-0.01</v>
      </c>
      <c r="O131" s="32">
        <v>0.04</v>
      </c>
      <c r="P131" s="32">
        <v>-0.09</v>
      </c>
      <c r="Q131" s="32">
        <v>0.04</v>
      </c>
      <c r="R131" s="32">
        <v>-0.23</v>
      </c>
      <c r="S131" s="32">
        <v>-7.0000000000000007E-2</v>
      </c>
      <c r="T131" s="32">
        <v>0.21</v>
      </c>
      <c r="U131" s="32">
        <v>0.13</v>
      </c>
      <c r="V131" s="32">
        <v>0.03</v>
      </c>
      <c r="W131" s="32">
        <v>0.1</v>
      </c>
      <c r="X131" s="32">
        <v>0.27</v>
      </c>
      <c r="Y131" s="32">
        <v>-0.08</v>
      </c>
      <c r="Z131" s="32">
        <v>0.06</v>
      </c>
      <c r="AA131" s="32">
        <v>7.0000000000000007E-2</v>
      </c>
      <c r="AB131" s="32">
        <v>-0.11</v>
      </c>
      <c r="AC131" s="32">
        <v>0.04</v>
      </c>
      <c r="AD131" s="32">
        <v>0.16</v>
      </c>
      <c r="AE131" s="32">
        <v>0.23</v>
      </c>
      <c r="AF131" s="32">
        <v>0.22</v>
      </c>
      <c r="AG131" s="32">
        <v>-0.26</v>
      </c>
      <c r="AH131" s="32">
        <v>-0.25</v>
      </c>
      <c r="AI131" s="32">
        <v>-0.15</v>
      </c>
      <c r="AJ131" s="32">
        <v>0.13</v>
      </c>
      <c r="AK131" s="32">
        <v>0.21</v>
      </c>
      <c r="AL131" s="32">
        <v>-0.03</v>
      </c>
      <c r="AM131" s="32">
        <v>0.08</v>
      </c>
      <c r="AN131" s="32">
        <v>0.13</v>
      </c>
      <c r="AO131" s="32">
        <v>-0.06</v>
      </c>
      <c r="AP131" s="32">
        <v>-0.03</v>
      </c>
      <c r="AQ131" s="32">
        <v>-0.13</v>
      </c>
      <c r="AR131" s="32">
        <v>0.19</v>
      </c>
      <c r="AS131" s="32">
        <v>0.11</v>
      </c>
      <c r="AT131" s="32">
        <v>0.17</v>
      </c>
      <c r="AU131" s="32">
        <v>-0.06</v>
      </c>
      <c r="AV131" s="32">
        <v>0.09</v>
      </c>
      <c r="AW131" s="32">
        <v>0.2</v>
      </c>
      <c r="AX131" s="32">
        <v>0.02</v>
      </c>
      <c r="AY131" s="32">
        <v>0.15</v>
      </c>
      <c r="AZ131" s="32">
        <v>0.34</v>
      </c>
      <c r="BA131" s="32">
        <v>0.27</v>
      </c>
      <c r="BB131" s="32">
        <v>0.42</v>
      </c>
      <c r="BC131" s="32">
        <v>0.11</v>
      </c>
      <c r="BD131" s="32">
        <v>0.13</v>
      </c>
      <c r="BE131" s="32">
        <v>0.02</v>
      </c>
      <c r="BF131" s="32">
        <v>0.14000000000000001</v>
      </c>
      <c r="BG131" s="32">
        <v>0.1</v>
      </c>
      <c r="BH131" s="32">
        <v>7.0000000000000007E-2</v>
      </c>
      <c r="BI131" s="32">
        <v>0.05</v>
      </c>
      <c r="BJ131" s="32">
        <v>0.08</v>
      </c>
      <c r="BK131" s="32">
        <v>0.22</v>
      </c>
      <c r="BL131" s="32">
        <v>0.36</v>
      </c>
      <c r="BM131" s="32">
        <v>0</v>
      </c>
      <c r="BN131" s="32">
        <v>0.05</v>
      </c>
      <c r="BO131" s="32">
        <v>0.21</v>
      </c>
      <c r="BP131" s="32">
        <v>0.02</v>
      </c>
      <c r="BQ131" s="32">
        <v>0.33</v>
      </c>
      <c r="BR131" s="32">
        <v>0.2</v>
      </c>
      <c r="BS131" s="32">
        <v>-0.06</v>
      </c>
      <c r="BT131" s="32">
        <v>0.37</v>
      </c>
      <c r="BU131" s="32">
        <v>0.14000000000000001</v>
      </c>
      <c r="BV131" s="32">
        <v>0.22</v>
      </c>
      <c r="BW131" s="32">
        <v>0.08</v>
      </c>
      <c r="BX131" s="32">
        <v>-0.05</v>
      </c>
      <c r="BY131" s="32">
        <v>0.16</v>
      </c>
      <c r="BZ131" s="32">
        <v>0.24</v>
      </c>
      <c r="CA131" s="32">
        <v>0.13</v>
      </c>
      <c r="CB131" s="32">
        <v>-0.06</v>
      </c>
      <c r="CC131" s="32">
        <v>0.03</v>
      </c>
      <c r="CD131" s="32">
        <v>0.06</v>
      </c>
      <c r="CE131" s="32">
        <v>0.39</v>
      </c>
      <c r="CF131" s="32">
        <v>-0.1</v>
      </c>
      <c r="CG131" s="32">
        <v>0.08</v>
      </c>
      <c r="CH131" s="32">
        <v>0.43</v>
      </c>
      <c r="CI131" s="32">
        <v>-0.12</v>
      </c>
      <c r="CJ131" s="32">
        <v>-0.14000000000000001</v>
      </c>
      <c r="CK131" s="32">
        <v>-0.02</v>
      </c>
      <c r="CL131" s="32">
        <v>0.16</v>
      </c>
      <c r="CM131" s="32">
        <v>0.48</v>
      </c>
      <c r="CN131" s="32">
        <v>0.12</v>
      </c>
      <c r="CO131" s="32">
        <v>0.13</v>
      </c>
      <c r="CP131" s="32">
        <v>0.06</v>
      </c>
      <c r="CQ131" s="32">
        <v>0.38</v>
      </c>
      <c r="CR131" s="32">
        <v>0.73</v>
      </c>
      <c r="CS131" s="32">
        <v>0.71</v>
      </c>
      <c r="CT131" s="32">
        <v>0.22</v>
      </c>
      <c r="CU131" s="32">
        <v>0.19</v>
      </c>
      <c r="CV131" s="32">
        <v>0.12</v>
      </c>
      <c r="CW131" s="32">
        <v>0.05</v>
      </c>
      <c r="CX131" s="32">
        <v>0.24</v>
      </c>
      <c r="CY131" s="32">
        <v>0.33</v>
      </c>
      <c r="CZ131" s="32">
        <v>0.03</v>
      </c>
      <c r="DA131" s="32">
        <v>0.03</v>
      </c>
      <c r="DB131" s="32">
        <v>0.4</v>
      </c>
      <c r="DC131" s="32">
        <v>0.28000000000000003</v>
      </c>
      <c r="DD131" s="32">
        <v>0.18</v>
      </c>
      <c r="DE131" s="32">
        <v>0.56000000000000005</v>
      </c>
      <c r="DF131" s="32">
        <v>-0.22</v>
      </c>
      <c r="DG131" s="32">
        <v>0.36</v>
      </c>
      <c r="DH131" s="32">
        <v>0.55000000000000004</v>
      </c>
      <c r="DI131" s="32">
        <v>0.31</v>
      </c>
      <c r="DJ131" s="32">
        <v>0.27</v>
      </c>
      <c r="DK131" s="32">
        <v>0.39</v>
      </c>
      <c r="DL131" s="32">
        <v>0.25</v>
      </c>
      <c r="DM131" s="32">
        <v>0.33</v>
      </c>
      <c r="DN131" s="32">
        <v>0.06</v>
      </c>
      <c r="DO131" s="32">
        <v>0.38</v>
      </c>
      <c r="DP131" s="32">
        <v>0.21</v>
      </c>
      <c r="DQ131" s="32">
        <v>0.33</v>
      </c>
      <c r="DR131" s="32">
        <v>0.36</v>
      </c>
      <c r="DS131" s="32">
        <v>-7.0000000000000007E-2</v>
      </c>
      <c r="DT131" s="32">
        <v>0.28999999999999998</v>
      </c>
      <c r="DU131" s="32">
        <v>0.33</v>
      </c>
      <c r="DV131" s="32">
        <v>0.13</v>
      </c>
      <c r="DW131" s="32">
        <v>0.06</v>
      </c>
      <c r="DX131" s="32">
        <v>1</v>
      </c>
      <c r="DY131" s="32">
        <v>0.21</v>
      </c>
      <c r="DZ131" s="32">
        <v>0.09</v>
      </c>
      <c r="EA131" s="32">
        <v>0.19</v>
      </c>
      <c r="EB131" s="32">
        <v>0.27</v>
      </c>
      <c r="EC131" s="32">
        <v>0.15</v>
      </c>
      <c r="ED131" s="32">
        <v>0.3</v>
      </c>
      <c r="EE131" s="32">
        <v>0.64</v>
      </c>
      <c r="EF131" s="32">
        <v>0.25</v>
      </c>
      <c r="EG131" s="32">
        <v>0.6</v>
      </c>
      <c r="EH131" s="32">
        <v>0</v>
      </c>
      <c r="EI131" s="32">
        <v>0.73</v>
      </c>
      <c r="EJ131" s="32">
        <v>0.19</v>
      </c>
      <c r="EK131" s="32">
        <v>0.47</v>
      </c>
      <c r="EL131" s="32">
        <v>0.55000000000000004</v>
      </c>
      <c r="EM131" s="32">
        <v>0.13</v>
      </c>
      <c r="EN131" s="32">
        <v>7.0000000000000007E-2</v>
      </c>
      <c r="EO131" s="32">
        <v>0.1</v>
      </c>
    </row>
    <row r="132" spans="1:145" x14ac:dyDescent="0.25">
      <c r="A132" s="31" t="s">
        <v>211</v>
      </c>
      <c r="B132" s="32">
        <v>0.15</v>
      </c>
      <c r="C132" s="32">
        <v>0.01</v>
      </c>
      <c r="D132" s="32">
        <v>0.03</v>
      </c>
      <c r="E132" s="32">
        <v>0.09</v>
      </c>
      <c r="F132" s="32">
        <v>0</v>
      </c>
      <c r="G132" s="32">
        <v>-0.04</v>
      </c>
      <c r="H132" s="32">
        <v>-0.05</v>
      </c>
      <c r="I132" s="32">
        <v>0.12</v>
      </c>
      <c r="J132" s="32">
        <v>-0.13</v>
      </c>
      <c r="K132" s="32">
        <v>0.01</v>
      </c>
      <c r="L132" s="32">
        <v>7.0000000000000007E-2</v>
      </c>
      <c r="M132" s="32">
        <v>0.36</v>
      </c>
      <c r="N132" s="32">
        <v>0.11</v>
      </c>
      <c r="O132" s="32">
        <v>0.03</v>
      </c>
      <c r="P132" s="32">
        <v>0.02</v>
      </c>
      <c r="Q132" s="32">
        <v>0.04</v>
      </c>
      <c r="R132" s="32">
        <v>0.01</v>
      </c>
      <c r="S132" s="32">
        <v>0.04</v>
      </c>
      <c r="T132" s="32">
        <v>0.35</v>
      </c>
      <c r="U132" s="32">
        <v>0.14000000000000001</v>
      </c>
      <c r="V132" s="32">
        <v>0.1</v>
      </c>
      <c r="W132" s="32">
        <v>0.06</v>
      </c>
      <c r="X132" s="32">
        <v>0.31</v>
      </c>
      <c r="Y132" s="32">
        <v>0.36</v>
      </c>
      <c r="Z132" s="32">
        <v>0.1</v>
      </c>
      <c r="AA132" s="32">
        <v>0.02</v>
      </c>
      <c r="AB132" s="32">
        <v>0.37</v>
      </c>
      <c r="AC132" s="32">
        <v>0</v>
      </c>
      <c r="AD132" s="32">
        <v>0.04</v>
      </c>
      <c r="AE132" s="32">
        <v>0.16</v>
      </c>
      <c r="AF132" s="32">
        <v>0.08</v>
      </c>
      <c r="AG132" s="32">
        <v>-0.06</v>
      </c>
      <c r="AH132" s="32">
        <v>-0.05</v>
      </c>
      <c r="AI132" s="32">
        <v>-0.15</v>
      </c>
      <c r="AJ132" s="32">
        <v>-0.02</v>
      </c>
      <c r="AK132" s="32">
        <v>0.04</v>
      </c>
      <c r="AL132" s="32">
        <v>0.28000000000000003</v>
      </c>
      <c r="AM132" s="32">
        <v>0.14000000000000001</v>
      </c>
      <c r="AN132" s="32">
        <v>0.35</v>
      </c>
      <c r="AO132" s="32">
        <v>-0.02</v>
      </c>
      <c r="AP132" s="32">
        <v>0.35</v>
      </c>
      <c r="AQ132" s="32">
        <v>-0.17</v>
      </c>
      <c r="AR132" s="32">
        <v>0.3</v>
      </c>
      <c r="AS132" s="32">
        <v>0.08</v>
      </c>
      <c r="AT132" s="32">
        <v>0.56000000000000005</v>
      </c>
      <c r="AU132" s="32">
        <v>-0.08</v>
      </c>
      <c r="AV132" s="32">
        <v>0.13</v>
      </c>
      <c r="AW132" s="32">
        <v>0.13</v>
      </c>
      <c r="AX132" s="32">
        <v>0.05</v>
      </c>
      <c r="AY132" s="32">
        <v>0.31</v>
      </c>
      <c r="AZ132" s="32">
        <v>0.17</v>
      </c>
      <c r="BA132" s="32">
        <v>0.21</v>
      </c>
      <c r="BB132" s="32">
        <v>0.45</v>
      </c>
      <c r="BC132" s="32">
        <v>0.1</v>
      </c>
      <c r="BD132" s="32">
        <v>0.08</v>
      </c>
      <c r="BE132" s="32">
        <v>0.05</v>
      </c>
      <c r="BF132" s="32">
        <v>0.11</v>
      </c>
      <c r="BG132" s="32">
        <v>0.37</v>
      </c>
      <c r="BH132" s="32">
        <v>0.13</v>
      </c>
      <c r="BI132" s="32">
        <v>0.2</v>
      </c>
      <c r="BJ132" s="32">
        <v>-0.03</v>
      </c>
      <c r="BK132" s="32">
        <v>0.14000000000000001</v>
      </c>
      <c r="BL132" s="32">
        <v>0.2</v>
      </c>
      <c r="BM132" s="32">
        <v>0.26</v>
      </c>
      <c r="BN132" s="32">
        <v>-0.05</v>
      </c>
      <c r="BO132" s="32">
        <v>0.31</v>
      </c>
      <c r="BP132" s="32">
        <v>0.39</v>
      </c>
      <c r="BQ132" s="32">
        <v>0.2</v>
      </c>
      <c r="BR132" s="32">
        <v>0.35</v>
      </c>
      <c r="BS132" s="32">
        <v>-0.15</v>
      </c>
      <c r="BT132" s="32">
        <v>0.28999999999999998</v>
      </c>
      <c r="BU132" s="32">
        <v>0.1</v>
      </c>
      <c r="BV132" s="32">
        <v>0.45</v>
      </c>
      <c r="BW132" s="32">
        <v>0.3</v>
      </c>
      <c r="BX132" s="32">
        <v>0.09</v>
      </c>
      <c r="BY132" s="32">
        <v>0.31</v>
      </c>
      <c r="BZ132" s="32">
        <v>0.36</v>
      </c>
      <c r="CA132" s="32">
        <v>0.04</v>
      </c>
      <c r="CB132" s="32">
        <v>0.01</v>
      </c>
      <c r="CC132" s="32">
        <v>0.1</v>
      </c>
      <c r="CD132" s="32">
        <v>0.37</v>
      </c>
      <c r="CE132" s="32">
        <v>0.23</v>
      </c>
      <c r="CF132" s="32">
        <v>-0.14000000000000001</v>
      </c>
      <c r="CG132" s="32">
        <v>0.45</v>
      </c>
      <c r="CH132" s="32">
        <v>0.16</v>
      </c>
      <c r="CI132" s="32">
        <v>-0.15</v>
      </c>
      <c r="CJ132" s="32">
        <v>0.21</v>
      </c>
      <c r="CK132" s="32">
        <v>0.28000000000000003</v>
      </c>
      <c r="CL132" s="32">
        <v>0.24</v>
      </c>
      <c r="CM132" s="32">
        <v>0.28000000000000003</v>
      </c>
      <c r="CN132" s="32">
        <v>0.04</v>
      </c>
      <c r="CO132" s="32">
        <v>0.24</v>
      </c>
      <c r="CP132" s="32">
        <v>0.18</v>
      </c>
      <c r="CQ132" s="32">
        <v>0.45</v>
      </c>
      <c r="CR132" s="32">
        <v>0.32</v>
      </c>
      <c r="CS132" s="32">
        <v>0.18</v>
      </c>
      <c r="CT132" s="32">
        <v>0.41</v>
      </c>
      <c r="CU132" s="32">
        <v>0.12</v>
      </c>
      <c r="CV132" s="32">
        <v>0.33</v>
      </c>
      <c r="CW132" s="32">
        <v>0.48</v>
      </c>
      <c r="CX132" s="32">
        <v>0.41</v>
      </c>
      <c r="CY132" s="32">
        <v>0.37</v>
      </c>
      <c r="CZ132" s="32">
        <v>0.25</v>
      </c>
      <c r="DA132" s="32">
        <v>0.33</v>
      </c>
      <c r="DB132" s="32">
        <v>0.41</v>
      </c>
      <c r="DC132" s="32">
        <v>0.28999999999999998</v>
      </c>
      <c r="DD132" s="32">
        <v>0.56999999999999995</v>
      </c>
      <c r="DE132" s="32">
        <v>0.3</v>
      </c>
      <c r="DF132" s="32">
        <v>0.3</v>
      </c>
      <c r="DG132" s="32">
        <v>0.26</v>
      </c>
      <c r="DH132" s="32">
        <v>0.27</v>
      </c>
      <c r="DI132" s="32">
        <v>0.47</v>
      </c>
      <c r="DJ132" s="32">
        <v>0.33</v>
      </c>
      <c r="DK132" s="32">
        <v>0.48</v>
      </c>
      <c r="DL132" s="32">
        <v>0.06</v>
      </c>
      <c r="DM132" s="32">
        <v>0.41</v>
      </c>
      <c r="DN132" s="32">
        <v>0.39</v>
      </c>
      <c r="DO132" s="32">
        <v>0.25</v>
      </c>
      <c r="DP132" s="32">
        <v>0.37</v>
      </c>
      <c r="DQ132" s="32">
        <v>0.28000000000000003</v>
      </c>
      <c r="DR132" s="32">
        <v>0.22</v>
      </c>
      <c r="DS132" s="32">
        <v>0.38</v>
      </c>
      <c r="DT132" s="32">
        <v>0.35</v>
      </c>
      <c r="DU132" s="32">
        <v>0.66</v>
      </c>
      <c r="DV132" s="32">
        <v>0.41</v>
      </c>
      <c r="DW132" s="32">
        <v>0.54</v>
      </c>
      <c r="DX132" s="32">
        <v>0.21</v>
      </c>
      <c r="DY132" s="32">
        <v>1</v>
      </c>
      <c r="DZ132" s="32">
        <v>0.26</v>
      </c>
      <c r="EA132" s="32">
        <v>0.28000000000000003</v>
      </c>
      <c r="EB132" s="32">
        <v>0.74</v>
      </c>
      <c r="EC132" s="32">
        <v>-0.01</v>
      </c>
      <c r="ED132" s="32">
        <v>0.3</v>
      </c>
      <c r="EE132" s="32">
        <v>0.26</v>
      </c>
      <c r="EF132" s="32">
        <v>0.25</v>
      </c>
      <c r="EG132" s="32">
        <v>0.22</v>
      </c>
      <c r="EH132" s="32">
        <v>0.36</v>
      </c>
      <c r="EI132" s="32">
        <v>0.22</v>
      </c>
      <c r="EJ132" s="32">
        <v>0.22</v>
      </c>
      <c r="EK132" s="32">
        <v>0.31</v>
      </c>
      <c r="EL132" s="32">
        <v>0.31</v>
      </c>
      <c r="EM132" s="32">
        <v>0.21</v>
      </c>
      <c r="EN132" s="32">
        <v>0.22</v>
      </c>
      <c r="EO132" s="32">
        <v>0.25</v>
      </c>
    </row>
    <row r="133" spans="1:145" x14ac:dyDescent="0.25">
      <c r="A133" s="31" t="s">
        <v>212</v>
      </c>
      <c r="B133" s="32">
        <v>0.02</v>
      </c>
      <c r="C133" s="32">
        <v>-0.11</v>
      </c>
      <c r="D133" s="32">
        <v>0.14000000000000001</v>
      </c>
      <c r="E133" s="32">
        <v>0.03</v>
      </c>
      <c r="F133" s="32">
        <v>-0.06</v>
      </c>
      <c r="G133" s="32">
        <v>0.04</v>
      </c>
      <c r="H133" s="32">
        <v>0.04</v>
      </c>
      <c r="I133" s="32">
        <v>0</v>
      </c>
      <c r="J133" s="32">
        <v>0</v>
      </c>
      <c r="K133" s="32">
        <v>-0.09</v>
      </c>
      <c r="L133" s="32">
        <v>0.11</v>
      </c>
      <c r="M133" s="32">
        <v>0.1</v>
      </c>
      <c r="N133" s="32">
        <v>0.12</v>
      </c>
      <c r="O133" s="32">
        <v>-0.09</v>
      </c>
      <c r="P133" s="32">
        <v>0.01</v>
      </c>
      <c r="Q133" s="32">
        <v>0.05</v>
      </c>
      <c r="R133" s="32">
        <v>-0.05</v>
      </c>
      <c r="S133" s="32">
        <v>0.06</v>
      </c>
      <c r="T133" s="32">
        <v>0.11</v>
      </c>
      <c r="U133" s="32">
        <v>7.0000000000000007E-2</v>
      </c>
      <c r="V133" s="32">
        <v>-0.1</v>
      </c>
      <c r="W133" s="32">
        <v>0.02</v>
      </c>
      <c r="X133" s="32">
        <v>0.1</v>
      </c>
      <c r="Y133" s="32">
        <v>0.09</v>
      </c>
      <c r="Z133" s="32">
        <v>0.04</v>
      </c>
      <c r="AA133" s="32">
        <v>0.03</v>
      </c>
      <c r="AB133" s="32">
        <v>0.09</v>
      </c>
      <c r="AC133" s="32">
        <v>-0.08</v>
      </c>
      <c r="AD133" s="32">
        <v>-0.04</v>
      </c>
      <c r="AE133" s="32">
        <v>-0.03</v>
      </c>
      <c r="AF133" s="32">
        <v>0</v>
      </c>
      <c r="AG133" s="32">
        <v>-0.08</v>
      </c>
      <c r="AH133" s="32">
        <v>-0.05</v>
      </c>
      <c r="AI133" s="32">
        <v>0.03</v>
      </c>
      <c r="AJ133" s="32">
        <v>0.04</v>
      </c>
      <c r="AK133" s="32">
        <v>-0.08</v>
      </c>
      <c r="AL133" s="32">
        <v>0.14000000000000001</v>
      </c>
      <c r="AM133" s="32">
        <v>0.18</v>
      </c>
      <c r="AN133" s="32">
        <v>0.03</v>
      </c>
      <c r="AO133" s="32">
        <v>-0.01</v>
      </c>
      <c r="AP133" s="32">
        <v>0.09</v>
      </c>
      <c r="AQ133" s="32">
        <v>-0.04</v>
      </c>
      <c r="AR133" s="32">
        <v>0.11</v>
      </c>
      <c r="AS133" s="32">
        <v>0.03</v>
      </c>
      <c r="AT133" s="32">
        <v>0.14000000000000001</v>
      </c>
      <c r="AU133" s="32">
        <v>0</v>
      </c>
      <c r="AV133" s="32">
        <v>0.02</v>
      </c>
      <c r="AW133" s="32">
        <v>0.03</v>
      </c>
      <c r="AX133" s="32">
        <v>0.04</v>
      </c>
      <c r="AY133" s="32">
        <v>0.04</v>
      </c>
      <c r="AZ133" s="32">
        <v>0.01</v>
      </c>
      <c r="BA133" s="32">
        <v>0</v>
      </c>
      <c r="BB133" s="32">
        <v>0.19</v>
      </c>
      <c r="BC133" s="32">
        <v>0.06</v>
      </c>
      <c r="BD133" s="32">
        <v>7.0000000000000007E-2</v>
      </c>
      <c r="BE133" s="32">
        <v>-0.04</v>
      </c>
      <c r="BF133" s="32">
        <v>7.0000000000000007E-2</v>
      </c>
      <c r="BG133" s="32">
        <v>0.24</v>
      </c>
      <c r="BH133" s="32">
        <v>0.12</v>
      </c>
      <c r="BI133" s="32">
        <v>0.09</v>
      </c>
      <c r="BJ133" s="32">
        <v>-0.03</v>
      </c>
      <c r="BK133" s="32">
        <v>0.05</v>
      </c>
      <c r="BL133" s="32">
        <v>0.13</v>
      </c>
      <c r="BM133" s="32">
        <v>0.03</v>
      </c>
      <c r="BN133" s="32">
        <v>-0.05</v>
      </c>
      <c r="BO133" s="32">
        <v>0.17</v>
      </c>
      <c r="BP133" s="32">
        <v>0.34</v>
      </c>
      <c r="BQ133" s="32">
        <v>-0.01</v>
      </c>
      <c r="BR133" s="32">
        <v>0.19</v>
      </c>
      <c r="BS133" s="32">
        <v>7.0000000000000007E-2</v>
      </c>
      <c r="BT133" s="32">
        <v>0.01</v>
      </c>
      <c r="BU133" s="32">
        <v>0.04</v>
      </c>
      <c r="BV133" s="32">
        <v>0.22</v>
      </c>
      <c r="BW133" s="32">
        <v>0.21</v>
      </c>
      <c r="BX133" s="32">
        <v>0.17</v>
      </c>
      <c r="BY133" s="32">
        <v>7.0000000000000007E-2</v>
      </c>
      <c r="BZ133" s="32">
        <v>0.13</v>
      </c>
      <c r="CA133" s="32">
        <v>-0.05</v>
      </c>
      <c r="CB133" s="32">
        <v>-0.01</v>
      </c>
      <c r="CC133" s="32">
        <v>0.08</v>
      </c>
      <c r="CD133" s="32">
        <v>0.25</v>
      </c>
      <c r="CE133" s="32">
        <v>0.15</v>
      </c>
      <c r="CF133" s="32">
        <v>0.1</v>
      </c>
      <c r="CG133" s="32">
        <v>0.42</v>
      </c>
      <c r="CH133" s="32">
        <v>-0.02</v>
      </c>
      <c r="CI133" s="32">
        <v>0.06</v>
      </c>
      <c r="CJ133" s="32">
        <v>0.14000000000000001</v>
      </c>
      <c r="CK133" s="32">
        <v>0.08</v>
      </c>
      <c r="CL133" s="32">
        <v>0.02</v>
      </c>
      <c r="CM133" s="32">
        <v>0.21</v>
      </c>
      <c r="CN133" s="32">
        <v>-0.03</v>
      </c>
      <c r="CO133" s="32">
        <v>0.05</v>
      </c>
      <c r="CP133" s="32">
        <v>0.28999999999999998</v>
      </c>
      <c r="CQ133" s="32">
        <v>0.14000000000000001</v>
      </c>
      <c r="CR133" s="32">
        <v>0.14000000000000001</v>
      </c>
      <c r="CS133" s="32">
        <v>0.01</v>
      </c>
      <c r="CT133" s="32">
        <v>0.32</v>
      </c>
      <c r="CU133" s="32">
        <v>0.11</v>
      </c>
      <c r="CV133" s="32">
        <v>0.09</v>
      </c>
      <c r="CW133" s="32">
        <v>0.17</v>
      </c>
      <c r="CX133" s="32">
        <v>7.0000000000000007E-2</v>
      </c>
      <c r="CY133" s="32">
        <v>0.04</v>
      </c>
      <c r="CZ133" s="32">
        <v>0.51</v>
      </c>
      <c r="DA133" s="32">
        <v>0.22</v>
      </c>
      <c r="DB133" s="32">
        <v>0.22</v>
      </c>
      <c r="DC133" s="32">
        <v>0.04</v>
      </c>
      <c r="DD133" s="32">
        <v>0.31</v>
      </c>
      <c r="DE133" s="32">
        <v>0.04</v>
      </c>
      <c r="DF133" s="32">
        <v>0.51</v>
      </c>
      <c r="DG133" s="32">
        <v>0.06</v>
      </c>
      <c r="DH133" s="32">
        <v>0.17</v>
      </c>
      <c r="DI133" s="32">
        <v>0.13</v>
      </c>
      <c r="DJ133" s="32">
        <v>0.13</v>
      </c>
      <c r="DK133" s="32">
        <v>0.12</v>
      </c>
      <c r="DL133" s="32">
        <v>0.04</v>
      </c>
      <c r="DM133" s="32">
        <v>0.1</v>
      </c>
      <c r="DN133" s="32">
        <v>0.24</v>
      </c>
      <c r="DO133" s="32">
        <v>0.17</v>
      </c>
      <c r="DP133" s="32">
        <v>0.1</v>
      </c>
      <c r="DQ133" s="32">
        <v>0.17</v>
      </c>
      <c r="DR133" s="32">
        <v>0.11</v>
      </c>
      <c r="DS133" s="32">
        <v>0.25</v>
      </c>
      <c r="DT133" s="32">
        <v>0.35</v>
      </c>
      <c r="DU133" s="32">
        <v>0.27</v>
      </c>
      <c r="DV133" s="32">
        <v>0.39</v>
      </c>
      <c r="DW133" s="32">
        <v>0.37</v>
      </c>
      <c r="DX133" s="32">
        <v>0.09</v>
      </c>
      <c r="DY133" s="32">
        <v>0.26</v>
      </c>
      <c r="DZ133" s="32">
        <v>1</v>
      </c>
      <c r="EA133" s="32">
        <v>0.13</v>
      </c>
      <c r="EB133" s="32">
        <v>0.35</v>
      </c>
      <c r="EC133" s="32">
        <v>-0.01</v>
      </c>
      <c r="ED133" s="32">
        <v>0.18</v>
      </c>
      <c r="EE133" s="32">
        <v>0.09</v>
      </c>
      <c r="EF133" s="32">
        <v>0.1</v>
      </c>
      <c r="EG133" s="32">
        <v>0.1</v>
      </c>
      <c r="EH133" s="32">
        <v>0.26</v>
      </c>
      <c r="EI133" s="32">
        <v>0.09</v>
      </c>
      <c r="EJ133" s="32">
        <v>0.14000000000000001</v>
      </c>
      <c r="EK133" s="32">
        <v>0.13</v>
      </c>
      <c r="EL133" s="32">
        <v>0.09</v>
      </c>
      <c r="EM133" s="32">
        <v>0.23</v>
      </c>
      <c r="EN133" s="32">
        <v>0.03</v>
      </c>
      <c r="EO133" s="32">
        <v>0.1</v>
      </c>
    </row>
    <row r="134" spans="1:145" x14ac:dyDescent="0.25">
      <c r="A134" s="31" t="s">
        <v>213</v>
      </c>
      <c r="B134" s="32">
        <v>0</v>
      </c>
      <c r="C134" s="32">
        <v>0.02</v>
      </c>
      <c r="D134" s="32">
        <v>0.05</v>
      </c>
      <c r="E134" s="32">
        <v>0.05</v>
      </c>
      <c r="F134" s="32">
        <v>0.01</v>
      </c>
      <c r="G134" s="32">
        <v>0.04</v>
      </c>
      <c r="H134" s="32">
        <v>0.1</v>
      </c>
      <c r="I134" s="32">
        <v>0.1</v>
      </c>
      <c r="J134" s="32">
        <v>0.02</v>
      </c>
      <c r="K134" s="32">
        <v>0.11</v>
      </c>
      <c r="L134" s="32">
        <v>0.12</v>
      </c>
      <c r="M134" s="32">
        <v>0.21</v>
      </c>
      <c r="N134" s="32">
        <v>0.22</v>
      </c>
      <c r="O134" s="32">
        <v>0.05</v>
      </c>
      <c r="P134" s="32">
        <v>-7.0000000000000007E-2</v>
      </c>
      <c r="Q134" s="32">
        <v>0.05</v>
      </c>
      <c r="R134" s="32">
        <v>0.01</v>
      </c>
      <c r="S134" s="32">
        <v>0.06</v>
      </c>
      <c r="T134" s="32">
        <v>0.13</v>
      </c>
      <c r="U134" s="32">
        <v>0.1</v>
      </c>
      <c r="V134" s="32">
        <v>0.06</v>
      </c>
      <c r="W134" s="32">
        <v>0.06</v>
      </c>
      <c r="X134" s="32">
        <v>0.09</v>
      </c>
      <c r="Y134" s="32">
        <v>0.06</v>
      </c>
      <c r="Z134" s="32">
        <v>0.16</v>
      </c>
      <c r="AA134" s="32">
        <v>7.0000000000000007E-2</v>
      </c>
      <c r="AB134" s="32">
        <v>0.03</v>
      </c>
      <c r="AC134" s="32">
        <v>-0.06</v>
      </c>
      <c r="AD134" s="32">
        <v>0.1</v>
      </c>
      <c r="AE134" s="32">
        <v>0.15</v>
      </c>
      <c r="AF134" s="32">
        <v>0.12</v>
      </c>
      <c r="AG134" s="32">
        <v>-0.17</v>
      </c>
      <c r="AH134" s="32">
        <v>-0.12</v>
      </c>
      <c r="AI134" s="32">
        <v>-0.16</v>
      </c>
      <c r="AJ134" s="32">
        <v>0.18</v>
      </c>
      <c r="AK134" s="32">
        <v>0.1</v>
      </c>
      <c r="AL134" s="32">
        <v>0.21</v>
      </c>
      <c r="AM134" s="32">
        <v>0.04</v>
      </c>
      <c r="AN134" s="32">
        <v>0.17</v>
      </c>
      <c r="AO134" s="32">
        <v>0.11</v>
      </c>
      <c r="AP134" s="32">
        <v>0.25</v>
      </c>
      <c r="AQ134" s="32">
        <v>-0.18</v>
      </c>
      <c r="AR134" s="32">
        <v>0.13</v>
      </c>
      <c r="AS134" s="32">
        <v>0.1</v>
      </c>
      <c r="AT134" s="32">
        <v>0.23</v>
      </c>
      <c r="AU134" s="32">
        <v>0.01</v>
      </c>
      <c r="AV134" s="32">
        <v>0.09</v>
      </c>
      <c r="AW134" s="32">
        <v>0.08</v>
      </c>
      <c r="AX134" s="32">
        <v>0.11</v>
      </c>
      <c r="AY134" s="32">
        <v>0.2</v>
      </c>
      <c r="AZ134" s="32">
        <v>0.2</v>
      </c>
      <c r="BA134" s="32">
        <v>0.17</v>
      </c>
      <c r="BB134" s="32">
        <v>0.2</v>
      </c>
      <c r="BC134" s="32">
        <v>0.08</v>
      </c>
      <c r="BD134" s="32">
        <v>0.11</v>
      </c>
      <c r="BE134" s="32">
        <v>0.14000000000000001</v>
      </c>
      <c r="BF134" s="32">
        <v>0.09</v>
      </c>
      <c r="BG134" s="32">
        <v>0.22</v>
      </c>
      <c r="BH134" s="32">
        <v>0.12</v>
      </c>
      <c r="BI134" s="32">
        <v>-0.02</v>
      </c>
      <c r="BJ134" s="32">
        <v>0.06</v>
      </c>
      <c r="BK134" s="32">
        <v>0.19</v>
      </c>
      <c r="BL134" s="32">
        <v>0.31</v>
      </c>
      <c r="BM134" s="32">
        <v>7.0000000000000007E-2</v>
      </c>
      <c r="BN134" s="32">
        <v>0.02</v>
      </c>
      <c r="BO134" s="32">
        <v>0.19</v>
      </c>
      <c r="BP134" s="32">
        <v>0.1</v>
      </c>
      <c r="BQ134" s="32">
        <v>0.18</v>
      </c>
      <c r="BR134" s="32">
        <v>0.19</v>
      </c>
      <c r="BS134" s="32">
        <v>-0.17</v>
      </c>
      <c r="BT134" s="32">
        <v>0.26</v>
      </c>
      <c r="BU134" s="32">
        <v>0.09</v>
      </c>
      <c r="BV134" s="32">
        <v>0.12</v>
      </c>
      <c r="BW134" s="32">
        <v>0.12</v>
      </c>
      <c r="BX134" s="32">
        <v>0.11</v>
      </c>
      <c r="BY134" s="32">
        <v>0.19</v>
      </c>
      <c r="BZ134" s="32">
        <v>0.17</v>
      </c>
      <c r="CA134" s="32">
        <v>0.1</v>
      </c>
      <c r="CB134" s="32">
        <v>-7.0000000000000007E-2</v>
      </c>
      <c r="CC134" s="32">
        <v>7.0000000000000007E-2</v>
      </c>
      <c r="CD134" s="32">
        <v>0.27</v>
      </c>
      <c r="CE134" s="32">
        <v>0.06</v>
      </c>
      <c r="CF134" s="32">
        <v>-0.14000000000000001</v>
      </c>
      <c r="CG134" s="32">
        <v>0.3</v>
      </c>
      <c r="CH134" s="32">
        <v>0.31</v>
      </c>
      <c r="CI134" s="32">
        <v>-0.12</v>
      </c>
      <c r="CJ134" s="32">
        <v>0.02</v>
      </c>
      <c r="CK134" s="32">
        <v>0.23</v>
      </c>
      <c r="CL134" s="32">
        <v>0.22</v>
      </c>
      <c r="CM134" s="32">
        <v>0.14000000000000001</v>
      </c>
      <c r="CN134" s="32">
        <v>0.05</v>
      </c>
      <c r="CO134" s="32">
        <v>0.19</v>
      </c>
      <c r="CP134" s="32">
        <v>0.17</v>
      </c>
      <c r="CQ134" s="32">
        <v>0.26</v>
      </c>
      <c r="CR134" s="32">
        <v>0.24</v>
      </c>
      <c r="CS134" s="32">
        <v>0.21</v>
      </c>
      <c r="CT134" s="32">
        <v>0.23</v>
      </c>
      <c r="CU134" s="32">
        <v>0.2</v>
      </c>
      <c r="CV134" s="32">
        <v>0.21</v>
      </c>
      <c r="CW134" s="32">
        <v>0.2</v>
      </c>
      <c r="CX134" s="32">
        <v>0.21</v>
      </c>
      <c r="CY134" s="32">
        <v>0.23</v>
      </c>
      <c r="CZ134" s="32">
        <v>0.01</v>
      </c>
      <c r="DA134" s="32">
        <v>0.13</v>
      </c>
      <c r="DB134" s="32">
        <v>0.23</v>
      </c>
      <c r="DC134" s="32">
        <v>0.2</v>
      </c>
      <c r="DD134" s="32">
        <v>0.23</v>
      </c>
      <c r="DE134" s="32">
        <v>0.28000000000000003</v>
      </c>
      <c r="DF134" s="32">
        <v>0.06</v>
      </c>
      <c r="DG134" s="32">
        <v>0.27</v>
      </c>
      <c r="DH134" s="32">
        <v>0.18</v>
      </c>
      <c r="DI134" s="32">
        <v>0.27</v>
      </c>
      <c r="DJ134" s="32">
        <v>0.23</v>
      </c>
      <c r="DK134" s="32">
        <v>0.28999999999999998</v>
      </c>
      <c r="DL134" s="32">
        <v>0.22</v>
      </c>
      <c r="DM134" s="32">
        <v>0.25</v>
      </c>
      <c r="DN134" s="32">
        <v>0.19</v>
      </c>
      <c r="DO134" s="32">
        <v>0.17</v>
      </c>
      <c r="DP134" s="32">
        <v>0.24</v>
      </c>
      <c r="DQ134" s="32">
        <v>0.08</v>
      </c>
      <c r="DR134" s="32">
        <v>0.2</v>
      </c>
      <c r="DS134" s="32">
        <v>0.09</v>
      </c>
      <c r="DT134" s="32">
        <v>0.2</v>
      </c>
      <c r="DU134" s="32">
        <v>0.27</v>
      </c>
      <c r="DV134" s="32">
        <v>0.15</v>
      </c>
      <c r="DW134" s="32">
        <v>0.23</v>
      </c>
      <c r="DX134" s="32">
        <v>0.19</v>
      </c>
      <c r="DY134" s="32">
        <v>0.28000000000000003</v>
      </c>
      <c r="DZ134" s="32">
        <v>0.13</v>
      </c>
      <c r="EA134" s="32">
        <v>1</v>
      </c>
      <c r="EB134" s="32">
        <v>0.33</v>
      </c>
      <c r="EC134" s="32">
        <v>0.1</v>
      </c>
      <c r="ED134" s="32">
        <v>0.23</v>
      </c>
      <c r="EE134" s="32">
        <v>0.28999999999999998</v>
      </c>
      <c r="EF134" s="32">
        <v>0.23</v>
      </c>
      <c r="EG134" s="32">
        <v>0.23</v>
      </c>
      <c r="EH134" s="32">
        <v>0.06</v>
      </c>
      <c r="EI134" s="32">
        <v>0.24</v>
      </c>
      <c r="EJ134" s="32">
        <v>0.32</v>
      </c>
      <c r="EK134" s="32">
        <v>0.24</v>
      </c>
      <c r="EL134" s="32">
        <v>0.28000000000000003</v>
      </c>
      <c r="EM134" s="32">
        <v>0.27</v>
      </c>
      <c r="EN134" s="32">
        <v>0.45</v>
      </c>
      <c r="EO134" s="32">
        <v>0.1</v>
      </c>
    </row>
    <row r="135" spans="1:145" x14ac:dyDescent="0.25">
      <c r="A135" s="31" t="s">
        <v>214</v>
      </c>
      <c r="B135" s="32">
        <v>0.05</v>
      </c>
      <c r="C135" s="32">
        <v>-0.08</v>
      </c>
      <c r="D135" s="32">
        <v>0.05</v>
      </c>
      <c r="E135" s="32">
        <v>0.12</v>
      </c>
      <c r="F135" s="32">
        <v>-0.06</v>
      </c>
      <c r="G135" s="32">
        <v>0.02</v>
      </c>
      <c r="H135" s="32">
        <v>-0.01</v>
      </c>
      <c r="I135" s="32">
        <v>0.09</v>
      </c>
      <c r="J135" s="32">
        <v>-7.0000000000000007E-2</v>
      </c>
      <c r="K135" s="32">
        <v>-0.01</v>
      </c>
      <c r="L135" s="32">
        <v>0.03</v>
      </c>
      <c r="M135" s="32">
        <v>0.36</v>
      </c>
      <c r="N135" s="32">
        <v>0.17</v>
      </c>
      <c r="O135" s="32">
        <v>0.01</v>
      </c>
      <c r="P135" s="32">
        <v>0</v>
      </c>
      <c r="Q135" s="32">
        <v>0.04</v>
      </c>
      <c r="R135" s="32">
        <v>-0.02</v>
      </c>
      <c r="S135" s="32">
        <v>0</v>
      </c>
      <c r="T135" s="32">
        <v>0.38</v>
      </c>
      <c r="U135" s="32">
        <v>0.19</v>
      </c>
      <c r="V135" s="32">
        <v>0.05</v>
      </c>
      <c r="W135" s="32">
        <v>0.04</v>
      </c>
      <c r="X135" s="32">
        <v>0.31</v>
      </c>
      <c r="Y135" s="32">
        <v>0.23</v>
      </c>
      <c r="Z135" s="32">
        <v>0.14000000000000001</v>
      </c>
      <c r="AA135" s="32">
        <v>-0.01</v>
      </c>
      <c r="AB135" s="32">
        <v>0.24</v>
      </c>
      <c r="AC135" s="32">
        <v>0.04</v>
      </c>
      <c r="AD135" s="32">
        <v>0</v>
      </c>
      <c r="AE135" s="32">
        <v>0.14000000000000001</v>
      </c>
      <c r="AF135" s="32">
        <v>0.08</v>
      </c>
      <c r="AG135" s="32">
        <v>-0.09</v>
      </c>
      <c r="AH135" s="32">
        <v>-0.1</v>
      </c>
      <c r="AI135" s="32">
        <v>-0.11</v>
      </c>
      <c r="AJ135" s="32">
        <v>-0.01</v>
      </c>
      <c r="AK135" s="32">
        <v>0.11</v>
      </c>
      <c r="AL135" s="32">
        <v>0.26</v>
      </c>
      <c r="AM135" s="32">
        <v>0.2</v>
      </c>
      <c r="AN135" s="32">
        <v>0.31</v>
      </c>
      <c r="AO135" s="32">
        <v>0</v>
      </c>
      <c r="AP135" s="32">
        <v>0.3</v>
      </c>
      <c r="AQ135" s="32">
        <v>-0.13</v>
      </c>
      <c r="AR135" s="32">
        <v>0.33</v>
      </c>
      <c r="AS135" s="32">
        <v>0.1</v>
      </c>
      <c r="AT135" s="32">
        <v>0.51</v>
      </c>
      <c r="AU135" s="32">
        <v>-0.01</v>
      </c>
      <c r="AV135" s="32">
        <v>0.15</v>
      </c>
      <c r="AW135" s="32">
        <v>0.1</v>
      </c>
      <c r="AX135" s="32">
        <v>0.1</v>
      </c>
      <c r="AY135" s="32">
        <v>0.2</v>
      </c>
      <c r="AZ135" s="32">
        <v>0.14000000000000001</v>
      </c>
      <c r="BA135" s="32">
        <v>0.23</v>
      </c>
      <c r="BB135" s="32">
        <v>0.52</v>
      </c>
      <c r="BC135" s="32">
        <v>0.06</v>
      </c>
      <c r="BD135" s="32">
        <v>0.05</v>
      </c>
      <c r="BE135" s="32">
        <v>0.12</v>
      </c>
      <c r="BF135" s="32">
        <v>0.13</v>
      </c>
      <c r="BG135" s="32">
        <v>0.38</v>
      </c>
      <c r="BH135" s="32">
        <v>0.13</v>
      </c>
      <c r="BI135" s="32">
        <v>0.14000000000000001</v>
      </c>
      <c r="BJ135" s="32">
        <v>-0.06</v>
      </c>
      <c r="BK135" s="32">
        <v>0.17</v>
      </c>
      <c r="BL135" s="32">
        <v>0.17</v>
      </c>
      <c r="BM135" s="32">
        <v>0.26</v>
      </c>
      <c r="BN135" s="32">
        <v>-0.04</v>
      </c>
      <c r="BO135" s="32">
        <v>0.3</v>
      </c>
      <c r="BP135" s="32">
        <v>0.36</v>
      </c>
      <c r="BQ135" s="32">
        <v>0.15</v>
      </c>
      <c r="BR135" s="32">
        <v>0.33</v>
      </c>
      <c r="BS135" s="32">
        <v>-0.09</v>
      </c>
      <c r="BT135" s="32">
        <v>0.28999999999999998</v>
      </c>
      <c r="BU135" s="32">
        <v>0.15</v>
      </c>
      <c r="BV135" s="32">
        <v>0.38</v>
      </c>
      <c r="BW135" s="32">
        <v>0.24</v>
      </c>
      <c r="BX135" s="32">
        <v>0.12</v>
      </c>
      <c r="BY135" s="32">
        <v>0.32</v>
      </c>
      <c r="BZ135" s="32">
        <v>0.36</v>
      </c>
      <c r="CA135" s="32">
        <v>0.09</v>
      </c>
      <c r="CB135" s="32">
        <v>0.01</v>
      </c>
      <c r="CC135" s="32">
        <v>0.14000000000000001</v>
      </c>
      <c r="CD135" s="32">
        <v>0.31</v>
      </c>
      <c r="CE135" s="32">
        <v>0.26</v>
      </c>
      <c r="CF135" s="32">
        <v>-7.0000000000000007E-2</v>
      </c>
      <c r="CG135" s="32">
        <v>0.42</v>
      </c>
      <c r="CH135" s="32">
        <v>0.15</v>
      </c>
      <c r="CI135" s="32">
        <v>-0.11</v>
      </c>
      <c r="CJ135" s="32">
        <v>0.18</v>
      </c>
      <c r="CK135" s="32">
        <v>0.28999999999999998</v>
      </c>
      <c r="CL135" s="32">
        <v>0.28000000000000003</v>
      </c>
      <c r="CM135" s="32">
        <v>0.34</v>
      </c>
      <c r="CN135" s="32">
        <v>7.0000000000000007E-2</v>
      </c>
      <c r="CO135" s="32">
        <v>0.14000000000000001</v>
      </c>
      <c r="CP135" s="32">
        <v>0.21</v>
      </c>
      <c r="CQ135" s="32">
        <v>0.5</v>
      </c>
      <c r="CR135" s="32">
        <v>0.34</v>
      </c>
      <c r="CS135" s="32">
        <v>0.23</v>
      </c>
      <c r="CT135" s="32">
        <v>0.37</v>
      </c>
      <c r="CU135" s="32">
        <v>0.14000000000000001</v>
      </c>
      <c r="CV135" s="32">
        <v>0.31</v>
      </c>
      <c r="CW135" s="32">
        <v>0.38</v>
      </c>
      <c r="CX135" s="32">
        <v>0.41</v>
      </c>
      <c r="CY135" s="32">
        <v>0.37</v>
      </c>
      <c r="CZ135" s="32">
        <v>0.28999999999999998</v>
      </c>
      <c r="DA135" s="32">
        <v>0.31</v>
      </c>
      <c r="DB135" s="32">
        <v>0.41</v>
      </c>
      <c r="DC135" s="32">
        <v>0.26</v>
      </c>
      <c r="DD135" s="32">
        <v>0.54</v>
      </c>
      <c r="DE135" s="32">
        <v>0.31</v>
      </c>
      <c r="DF135" s="32">
        <v>0.3</v>
      </c>
      <c r="DG135" s="32">
        <v>0.24</v>
      </c>
      <c r="DH135" s="32">
        <v>0.3</v>
      </c>
      <c r="DI135" s="32">
        <v>0.45</v>
      </c>
      <c r="DJ135" s="32">
        <v>0.37</v>
      </c>
      <c r="DK135" s="32">
        <v>0.46</v>
      </c>
      <c r="DL135" s="32">
        <v>0.02</v>
      </c>
      <c r="DM135" s="32">
        <v>0.4</v>
      </c>
      <c r="DN135" s="32">
        <v>0.37</v>
      </c>
      <c r="DO135" s="32">
        <v>0.26</v>
      </c>
      <c r="DP135" s="32">
        <v>0.39</v>
      </c>
      <c r="DQ135" s="32">
        <v>0.26</v>
      </c>
      <c r="DR135" s="32">
        <v>0.22</v>
      </c>
      <c r="DS135" s="32">
        <v>0.41</v>
      </c>
      <c r="DT135" s="32">
        <v>0.38</v>
      </c>
      <c r="DU135" s="32">
        <v>0.7</v>
      </c>
      <c r="DV135" s="32">
        <v>0.44</v>
      </c>
      <c r="DW135" s="32">
        <v>0.53</v>
      </c>
      <c r="DX135" s="32">
        <v>0.27</v>
      </c>
      <c r="DY135" s="32">
        <v>0.74</v>
      </c>
      <c r="DZ135" s="32">
        <v>0.35</v>
      </c>
      <c r="EA135" s="32">
        <v>0.33</v>
      </c>
      <c r="EB135" s="32">
        <v>1</v>
      </c>
      <c r="EC135" s="32">
        <v>7.0000000000000007E-2</v>
      </c>
      <c r="ED135" s="32">
        <v>0.28999999999999998</v>
      </c>
      <c r="EE135" s="32">
        <v>0.27</v>
      </c>
      <c r="EF135" s="32">
        <v>0.26</v>
      </c>
      <c r="EG135" s="32">
        <v>0.2</v>
      </c>
      <c r="EH135" s="32">
        <v>0.36</v>
      </c>
      <c r="EI135" s="32">
        <v>0.18</v>
      </c>
      <c r="EJ135" s="32">
        <v>0.34</v>
      </c>
      <c r="EK135" s="32">
        <v>0.4</v>
      </c>
      <c r="EL135" s="32">
        <v>0.36</v>
      </c>
      <c r="EM135" s="32">
        <v>0.3</v>
      </c>
      <c r="EN135" s="32">
        <v>0.25</v>
      </c>
      <c r="EO135" s="32">
        <v>0.28000000000000003</v>
      </c>
    </row>
    <row r="136" spans="1:145" x14ac:dyDescent="0.25">
      <c r="A136" s="31" t="s">
        <v>215</v>
      </c>
      <c r="B136" s="32">
        <v>-0.12</v>
      </c>
      <c r="C136" s="32">
        <v>0.04</v>
      </c>
      <c r="D136" s="32">
        <v>0</v>
      </c>
      <c r="E136" s="32">
        <v>0.09</v>
      </c>
      <c r="F136" s="32">
        <v>-0.13</v>
      </c>
      <c r="G136" s="32">
        <v>0.15</v>
      </c>
      <c r="H136" s="32">
        <v>0.04</v>
      </c>
      <c r="I136" s="32">
        <v>-0.08</v>
      </c>
      <c r="J136" s="32">
        <v>0.03</v>
      </c>
      <c r="K136" s="32">
        <v>-0.14000000000000001</v>
      </c>
      <c r="L136" s="32">
        <v>0.03</v>
      </c>
      <c r="M136" s="32">
        <v>0.05</v>
      </c>
      <c r="N136" s="32">
        <v>-0.06</v>
      </c>
      <c r="O136" s="32">
        <v>0.02</v>
      </c>
      <c r="P136" s="32">
        <v>-0.14000000000000001</v>
      </c>
      <c r="Q136" s="32">
        <v>0.05</v>
      </c>
      <c r="R136" s="32">
        <v>-0.12</v>
      </c>
      <c r="S136" s="32">
        <v>0.09</v>
      </c>
      <c r="T136" s="32">
        <v>0.05</v>
      </c>
      <c r="U136" s="32">
        <v>0.12</v>
      </c>
      <c r="V136" s="32">
        <v>0.16</v>
      </c>
      <c r="W136" s="32">
        <v>-0.02</v>
      </c>
      <c r="X136" s="32">
        <v>7.0000000000000007E-2</v>
      </c>
      <c r="Y136" s="32">
        <v>0.03</v>
      </c>
      <c r="Z136" s="32">
        <v>0.09</v>
      </c>
      <c r="AA136" s="32">
        <v>0.02</v>
      </c>
      <c r="AB136" s="32">
        <v>0.02</v>
      </c>
      <c r="AC136" s="32">
        <v>0.15</v>
      </c>
      <c r="AD136" s="32">
        <v>0.04</v>
      </c>
      <c r="AE136" s="32">
        <v>0.13</v>
      </c>
      <c r="AF136" s="32">
        <v>0.13</v>
      </c>
      <c r="AG136" s="32">
        <v>-0.15</v>
      </c>
      <c r="AH136" s="32">
        <v>-0.24</v>
      </c>
      <c r="AI136" s="32">
        <v>-0.12</v>
      </c>
      <c r="AJ136" s="32">
        <v>0.03</v>
      </c>
      <c r="AK136" s="32">
        <v>0.22</v>
      </c>
      <c r="AL136" s="32">
        <v>0</v>
      </c>
      <c r="AM136" s="32">
        <v>0.04</v>
      </c>
      <c r="AN136" s="32">
        <v>-0.05</v>
      </c>
      <c r="AO136" s="32">
        <v>-0.04</v>
      </c>
      <c r="AP136" s="32">
        <v>-0.01</v>
      </c>
      <c r="AQ136" s="32">
        <v>0</v>
      </c>
      <c r="AR136" s="32">
        <v>0</v>
      </c>
      <c r="AS136" s="32">
        <v>0.15</v>
      </c>
      <c r="AT136" s="32">
        <v>0.03</v>
      </c>
      <c r="AU136" s="32">
        <v>-0.1</v>
      </c>
      <c r="AV136" s="32">
        <v>0.04</v>
      </c>
      <c r="AW136" s="32">
        <v>0.17</v>
      </c>
      <c r="AX136" s="32">
        <v>-0.13</v>
      </c>
      <c r="AY136" s="32">
        <v>-0.03</v>
      </c>
      <c r="AZ136" s="32">
        <v>0.1</v>
      </c>
      <c r="BA136" s="32">
        <v>0</v>
      </c>
      <c r="BB136" s="32">
        <v>0.11</v>
      </c>
      <c r="BC136" s="32">
        <v>0.03</v>
      </c>
      <c r="BD136" s="32">
        <v>0.1</v>
      </c>
      <c r="BE136" s="32">
        <v>-0.02</v>
      </c>
      <c r="BF136" s="32">
        <v>0.09</v>
      </c>
      <c r="BG136" s="32">
        <v>-0.04</v>
      </c>
      <c r="BH136" s="32">
        <v>0.03</v>
      </c>
      <c r="BI136" s="32">
        <v>0.03</v>
      </c>
      <c r="BJ136" s="32">
        <v>-0.03</v>
      </c>
      <c r="BK136" s="32">
        <v>0.02</v>
      </c>
      <c r="BL136" s="32">
        <v>0.15</v>
      </c>
      <c r="BM136" s="32">
        <v>-0.15</v>
      </c>
      <c r="BN136" s="32">
        <v>-0.01</v>
      </c>
      <c r="BO136" s="32">
        <v>-0.02</v>
      </c>
      <c r="BP136" s="32">
        <v>-0.03</v>
      </c>
      <c r="BQ136" s="32">
        <v>0.17</v>
      </c>
      <c r="BR136" s="32">
        <v>-0.01</v>
      </c>
      <c r="BS136" s="32">
        <v>-0.08</v>
      </c>
      <c r="BT136" s="32">
        <v>7.0000000000000007E-2</v>
      </c>
      <c r="BU136" s="32">
        <v>0.09</v>
      </c>
      <c r="BV136" s="32">
        <v>-0.04</v>
      </c>
      <c r="BW136" s="32">
        <v>0.02</v>
      </c>
      <c r="BX136" s="32">
        <v>-0.03</v>
      </c>
      <c r="BY136" s="32">
        <v>0.02</v>
      </c>
      <c r="BZ136" s="32">
        <v>-0.02</v>
      </c>
      <c r="CA136" s="32">
        <v>0.04</v>
      </c>
      <c r="CB136" s="32">
        <v>-0.14000000000000001</v>
      </c>
      <c r="CC136" s="32">
        <v>0.05</v>
      </c>
      <c r="CD136" s="32">
        <v>-0.02</v>
      </c>
      <c r="CE136" s="32">
        <v>0.09</v>
      </c>
      <c r="CF136" s="32">
        <v>-0.09</v>
      </c>
      <c r="CG136" s="32">
        <v>0</v>
      </c>
      <c r="CH136" s="32">
        <v>0.3</v>
      </c>
      <c r="CI136" s="32">
        <v>-0.05</v>
      </c>
      <c r="CJ136" s="32">
        <v>-0.03</v>
      </c>
      <c r="CK136" s="32">
        <v>-0.04</v>
      </c>
      <c r="CL136" s="32">
        <v>0.05</v>
      </c>
      <c r="CM136" s="32">
        <v>0.12</v>
      </c>
      <c r="CN136" s="32">
        <v>-0.01</v>
      </c>
      <c r="CO136" s="32">
        <v>0.04</v>
      </c>
      <c r="CP136" s="32">
        <v>-0.04</v>
      </c>
      <c r="CQ136" s="32">
        <v>-0.01</v>
      </c>
      <c r="CR136" s="32">
        <v>0.15</v>
      </c>
      <c r="CS136" s="32">
        <v>0.15</v>
      </c>
      <c r="CT136" s="32">
        <v>0.14000000000000001</v>
      </c>
      <c r="CU136" s="32">
        <v>0.13</v>
      </c>
      <c r="CV136" s="32">
        <v>0.06</v>
      </c>
      <c r="CW136" s="32">
        <v>0.04</v>
      </c>
      <c r="CX136" s="32">
        <v>0.16</v>
      </c>
      <c r="CY136" s="32">
        <v>7.0000000000000007E-2</v>
      </c>
      <c r="CZ136" s="32">
        <v>-0.01</v>
      </c>
      <c r="DA136" s="32">
        <v>-0.02</v>
      </c>
      <c r="DB136" s="32">
        <v>7.0000000000000007E-2</v>
      </c>
      <c r="DC136" s="32">
        <v>0.02</v>
      </c>
      <c r="DD136" s="32">
        <v>0.06</v>
      </c>
      <c r="DE136" s="32">
        <v>0.28000000000000003</v>
      </c>
      <c r="DF136" s="32">
        <v>-0.11</v>
      </c>
      <c r="DG136" s="32">
        <v>0.3</v>
      </c>
      <c r="DH136" s="32">
        <v>0.05</v>
      </c>
      <c r="DI136" s="32">
        <v>-0.01</v>
      </c>
      <c r="DJ136" s="32">
        <v>7.0000000000000007E-2</v>
      </c>
      <c r="DK136" s="32">
        <v>0.05</v>
      </c>
      <c r="DL136" s="32">
        <v>0.32</v>
      </c>
      <c r="DM136" s="32">
        <v>7.0000000000000007E-2</v>
      </c>
      <c r="DN136" s="32">
        <v>-0.06</v>
      </c>
      <c r="DO136" s="32">
        <v>0.04</v>
      </c>
      <c r="DP136" s="32">
        <v>0.02</v>
      </c>
      <c r="DQ136" s="32">
        <v>0.06</v>
      </c>
      <c r="DR136" s="32">
        <v>0.18</v>
      </c>
      <c r="DS136" s="32">
        <v>-0.09</v>
      </c>
      <c r="DT136" s="32">
        <v>0.1</v>
      </c>
      <c r="DU136" s="32">
        <v>0.05</v>
      </c>
      <c r="DV136" s="32">
        <v>-0.04</v>
      </c>
      <c r="DW136" s="32">
        <v>0.05</v>
      </c>
      <c r="DX136" s="32">
        <v>0.15</v>
      </c>
      <c r="DY136" s="32">
        <v>-0.01</v>
      </c>
      <c r="DZ136" s="32">
        <v>-0.01</v>
      </c>
      <c r="EA136" s="32">
        <v>0.1</v>
      </c>
      <c r="EB136" s="32">
        <v>7.0000000000000007E-2</v>
      </c>
      <c r="EC136" s="32">
        <v>1</v>
      </c>
      <c r="ED136" s="32">
        <v>0.09</v>
      </c>
      <c r="EE136" s="32">
        <v>0.16</v>
      </c>
      <c r="EF136" s="32">
        <v>0.08</v>
      </c>
      <c r="EG136" s="32">
        <v>0.2</v>
      </c>
      <c r="EH136" s="32">
        <v>-0.01</v>
      </c>
      <c r="EI136" s="32">
        <v>0.16</v>
      </c>
      <c r="EJ136" s="32">
        <v>0.12</v>
      </c>
      <c r="EK136" s="32">
        <v>0.17</v>
      </c>
      <c r="EL136" s="32">
        <v>0.2</v>
      </c>
      <c r="EM136" s="32">
        <v>0</v>
      </c>
      <c r="EN136" s="32">
        <v>0.04</v>
      </c>
      <c r="EO136" s="32">
        <v>0.03</v>
      </c>
    </row>
    <row r="137" spans="1:145" x14ac:dyDescent="0.25">
      <c r="A137" s="31" t="s">
        <v>216</v>
      </c>
      <c r="B137" s="32">
        <v>0.05</v>
      </c>
      <c r="C137" s="32">
        <v>0.13</v>
      </c>
      <c r="D137" s="32">
        <v>0.1</v>
      </c>
      <c r="E137" s="32">
        <v>0.19</v>
      </c>
      <c r="F137" s="32">
        <v>-0.03</v>
      </c>
      <c r="G137" s="32">
        <v>7.0000000000000007E-2</v>
      </c>
      <c r="H137" s="32">
        <v>0.22</v>
      </c>
      <c r="I137" s="32">
        <v>0.1</v>
      </c>
      <c r="J137" s="32">
        <v>-0.06</v>
      </c>
      <c r="K137" s="32">
        <v>-7.0000000000000007E-2</v>
      </c>
      <c r="L137" s="32">
        <v>7.0000000000000007E-2</v>
      </c>
      <c r="M137" s="32">
        <v>0.28999999999999998</v>
      </c>
      <c r="N137" s="32">
        <v>0.23</v>
      </c>
      <c r="O137" s="32">
        <v>0.09</v>
      </c>
      <c r="P137" s="32">
        <v>-0.04</v>
      </c>
      <c r="Q137" s="32">
        <v>-0.09</v>
      </c>
      <c r="R137" s="32">
        <v>-0.01</v>
      </c>
      <c r="S137" s="32">
        <v>0.05</v>
      </c>
      <c r="T137" s="32">
        <v>0.19</v>
      </c>
      <c r="U137" s="32">
        <v>0.21</v>
      </c>
      <c r="V137" s="32">
        <v>0.16</v>
      </c>
      <c r="W137" s="32">
        <v>0.14000000000000001</v>
      </c>
      <c r="X137" s="32">
        <v>0.2</v>
      </c>
      <c r="Y137" s="32">
        <v>0.06</v>
      </c>
      <c r="Z137" s="32">
        <v>0.16</v>
      </c>
      <c r="AA137" s="32">
        <v>0.12</v>
      </c>
      <c r="AB137" s="32">
        <v>0.09</v>
      </c>
      <c r="AC137" s="32">
        <v>0.06</v>
      </c>
      <c r="AD137" s="32">
        <v>0.06</v>
      </c>
      <c r="AE137" s="32">
        <v>0.24</v>
      </c>
      <c r="AF137" s="32">
        <v>0.18</v>
      </c>
      <c r="AG137" s="32">
        <v>-7.0000000000000007E-2</v>
      </c>
      <c r="AH137" s="32">
        <v>-0.05</v>
      </c>
      <c r="AI137" s="32">
        <v>-7.0000000000000007E-2</v>
      </c>
      <c r="AJ137" s="32">
        <v>0.17</v>
      </c>
      <c r="AK137" s="32">
        <v>0.14000000000000001</v>
      </c>
      <c r="AL137" s="32">
        <v>0.2</v>
      </c>
      <c r="AM137" s="32">
        <v>0.2</v>
      </c>
      <c r="AN137" s="32">
        <v>0.15</v>
      </c>
      <c r="AO137" s="32">
        <v>0.08</v>
      </c>
      <c r="AP137" s="32">
        <v>0.24</v>
      </c>
      <c r="AQ137" s="32">
        <v>-0.1</v>
      </c>
      <c r="AR137" s="32">
        <v>0.15</v>
      </c>
      <c r="AS137" s="32">
        <v>0.13</v>
      </c>
      <c r="AT137" s="32">
        <v>0.25</v>
      </c>
      <c r="AU137" s="32">
        <v>0.01</v>
      </c>
      <c r="AV137" s="32">
        <v>0.2</v>
      </c>
      <c r="AW137" s="32">
        <v>0.21</v>
      </c>
      <c r="AX137" s="32">
        <v>0.18</v>
      </c>
      <c r="AY137" s="32">
        <v>0.14000000000000001</v>
      </c>
      <c r="AZ137" s="32">
        <v>0.3</v>
      </c>
      <c r="BA137" s="32">
        <v>0.18</v>
      </c>
      <c r="BB137" s="32">
        <v>0.28999999999999998</v>
      </c>
      <c r="BC137" s="32">
        <v>0.17</v>
      </c>
      <c r="BD137" s="32">
        <v>0.15</v>
      </c>
      <c r="BE137" s="32">
        <v>0.1</v>
      </c>
      <c r="BF137" s="32">
        <v>0.21</v>
      </c>
      <c r="BG137" s="32">
        <v>0.17</v>
      </c>
      <c r="BH137" s="32">
        <v>0.2</v>
      </c>
      <c r="BI137" s="32">
        <v>0.13</v>
      </c>
      <c r="BJ137" s="32">
        <v>-0.02</v>
      </c>
      <c r="BK137" s="32">
        <v>0.19</v>
      </c>
      <c r="BL137" s="32">
        <v>0.15</v>
      </c>
      <c r="BM137" s="32">
        <v>0.16</v>
      </c>
      <c r="BN137" s="32">
        <v>0.04</v>
      </c>
      <c r="BO137" s="32">
        <v>0.21</v>
      </c>
      <c r="BP137" s="32">
        <v>0.19</v>
      </c>
      <c r="BQ137" s="32">
        <v>0.25</v>
      </c>
      <c r="BR137" s="32">
        <v>0.31</v>
      </c>
      <c r="BS137" s="32">
        <v>-0.03</v>
      </c>
      <c r="BT137" s="32">
        <v>0.22</v>
      </c>
      <c r="BU137" s="32">
        <v>0.14000000000000001</v>
      </c>
      <c r="BV137" s="32">
        <v>0.15</v>
      </c>
      <c r="BW137" s="32">
        <v>0.23</v>
      </c>
      <c r="BX137" s="32">
        <v>0.13</v>
      </c>
      <c r="BY137" s="32">
        <v>0.3</v>
      </c>
      <c r="BZ137" s="32">
        <v>0.25</v>
      </c>
      <c r="CA137" s="32">
        <v>0.16</v>
      </c>
      <c r="CB137" s="32">
        <v>-7.0000000000000007E-2</v>
      </c>
      <c r="CC137" s="32">
        <v>0.11</v>
      </c>
      <c r="CD137" s="32">
        <v>0.12</v>
      </c>
      <c r="CE137" s="32">
        <v>0.21</v>
      </c>
      <c r="CF137" s="32">
        <v>-0.05</v>
      </c>
      <c r="CG137" s="32">
        <v>0.3</v>
      </c>
      <c r="CH137" s="32">
        <v>0.3</v>
      </c>
      <c r="CI137" s="32">
        <v>-0.06</v>
      </c>
      <c r="CJ137" s="32">
        <v>0.17</v>
      </c>
      <c r="CK137" s="32">
        <v>0.18</v>
      </c>
      <c r="CL137" s="32">
        <v>0.28999999999999998</v>
      </c>
      <c r="CM137" s="32">
        <v>0.17</v>
      </c>
      <c r="CN137" s="32">
        <v>0.09</v>
      </c>
      <c r="CO137" s="32">
        <v>0.14000000000000001</v>
      </c>
      <c r="CP137" s="32">
        <v>0.17</v>
      </c>
      <c r="CQ137" s="32">
        <v>0.3</v>
      </c>
      <c r="CR137" s="32">
        <v>0.3</v>
      </c>
      <c r="CS137" s="32">
        <v>0.25</v>
      </c>
      <c r="CT137" s="32">
        <v>0.38</v>
      </c>
      <c r="CU137" s="32">
        <v>0.11</v>
      </c>
      <c r="CV137" s="32">
        <v>0.17</v>
      </c>
      <c r="CW137" s="32">
        <v>0.16</v>
      </c>
      <c r="CX137" s="32">
        <v>0.28000000000000003</v>
      </c>
      <c r="CY137" s="32">
        <v>0.23</v>
      </c>
      <c r="CZ137" s="32">
        <v>0.14000000000000001</v>
      </c>
      <c r="DA137" s="32">
        <v>0.21</v>
      </c>
      <c r="DB137" s="32">
        <v>0.42</v>
      </c>
      <c r="DC137" s="32">
        <v>0.32</v>
      </c>
      <c r="DD137" s="32">
        <v>0.34</v>
      </c>
      <c r="DE137" s="32">
        <v>0.35</v>
      </c>
      <c r="DF137" s="32">
        <v>0.15</v>
      </c>
      <c r="DG137" s="32">
        <v>0.32</v>
      </c>
      <c r="DH137" s="32">
        <v>0.27</v>
      </c>
      <c r="DI137" s="32">
        <v>0.27</v>
      </c>
      <c r="DJ137" s="32">
        <v>0.21</v>
      </c>
      <c r="DK137" s="32">
        <v>0.3</v>
      </c>
      <c r="DL137" s="32">
        <v>0.21</v>
      </c>
      <c r="DM137" s="32">
        <v>0.28000000000000003</v>
      </c>
      <c r="DN137" s="32">
        <v>0.21</v>
      </c>
      <c r="DO137" s="32">
        <v>0.32</v>
      </c>
      <c r="DP137" s="32">
        <v>0.19</v>
      </c>
      <c r="DQ137" s="32">
        <v>0.24</v>
      </c>
      <c r="DR137" s="32">
        <v>0.25</v>
      </c>
      <c r="DS137" s="32">
        <v>-0.09</v>
      </c>
      <c r="DT137" s="32">
        <v>0.33</v>
      </c>
      <c r="DU137" s="32">
        <v>0.42</v>
      </c>
      <c r="DV137" s="32">
        <v>0.27</v>
      </c>
      <c r="DW137" s="32">
        <v>0.24</v>
      </c>
      <c r="DX137" s="32">
        <v>0.3</v>
      </c>
      <c r="DY137" s="32">
        <v>0.3</v>
      </c>
      <c r="DZ137" s="32">
        <v>0.18</v>
      </c>
      <c r="EA137" s="32">
        <v>0.23</v>
      </c>
      <c r="EB137" s="32">
        <v>0.28999999999999998</v>
      </c>
      <c r="EC137" s="32">
        <v>0.09</v>
      </c>
      <c r="ED137" s="32">
        <v>1</v>
      </c>
      <c r="EE137" s="32">
        <v>0.3</v>
      </c>
      <c r="EF137" s="32">
        <v>0.11</v>
      </c>
      <c r="EG137" s="32">
        <v>0.25</v>
      </c>
      <c r="EH137" s="32">
        <v>0.17</v>
      </c>
      <c r="EI137" s="32">
        <v>0.23</v>
      </c>
      <c r="EJ137" s="32">
        <v>0.4</v>
      </c>
      <c r="EK137" s="32">
        <v>0.36</v>
      </c>
      <c r="EL137" s="32">
        <v>0.28000000000000003</v>
      </c>
      <c r="EM137" s="32">
        <v>0.16</v>
      </c>
      <c r="EN137" s="32">
        <v>0.23</v>
      </c>
      <c r="EO137" s="32">
        <v>0.13</v>
      </c>
    </row>
    <row r="138" spans="1:145" x14ac:dyDescent="0.25">
      <c r="A138" s="31" t="s">
        <v>217</v>
      </c>
      <c r="B138" s="32">
        <v>-0.09</v>
      </c>
      <c r="C138" s="32">
        <v>0.03</v>
      </c>
      <c r="D138" s="32">
        <v>0.04</v>
      </c>
      <c r="E138" s="32">
        <v>7.0000000000000007E-2</v>
      </c>
      <c r="F138" s="32">
        <v>-0.18</v>
      </c>
      <c r="G138" s="32">
        <v>0.03</v>
      </c>
      <c r="H138" s="32">
        <v>0.1</v>
      </c>
      <c r="I138" s="32">
        <v>-0.14000000000000001</v>
      </c>
      <c r="J138" s="32">
        <v>-0.15</v>
      </c>
      <c r="K138" s="32">
        <v>-0.08</v>
      </c>
      <c r="L138" s="32">
        <v>0.11</v>
      </c>
      <c r="M138" s="32">
        <v>0.22</v>
      </c>
      <c r="N138" s="32">
        <v>-0.04</v>
      </c>
      <c r="O138" s="32">
        <v>0.1</v>
      </c>
      <c r="P138" s="32">
        <v>-0.1</v>
      </c>
      <c r="Q138" s="32">
        <v>0.06</v>
      </c>
      <c r="R138" s="32">
        <v>-0.14000000000000001</v>
      </c>
      <c r="S138" s="32">
        <v>0.04</v>
      </c>
      <c r="T138" s="32">
        <v>0.16</v>
      </c>
      <c r="U138" s="32">
        <v>0.13</v>
      </c>
      <c r="V138" s="32">
        <v>0.04</v>
      </c>
      <c r="W138" s="32">
        <v>0.06</v>
      </c>
      <c r="X138" s="32">
        <v>0.2</v>
      </c>
      <c r="Y138" s="32">
        <v>-0.06</v>
      </c>
      <c r="Z138" s="32">
        <v>7.0000000000000007E-2</v>
      </c>
      <c r="AA138" s="32">
        <v>0.08</v>
      </c>
      <c r="AB138" s="32">
        <v>-0.11</v>
      </c>
      <c r="AC138" s="32">
        <v>0.11</v>
      </c>
      <c r="AD138" s="32">
        <v>0.18</v>
      </c>
      <c r="AE138" s="32">
        <v>0.18</v>
      </c>
      <c r="AF138" s="32">
        <v>0.16</v>
      </c>
      <c r="AG138" s="32">
        <v>-0.15</v>
      </c>
      <c r="AH138" s="32">
        <v>-0.18</v>
      </c>
      <c r="AI138" s="32">
        <v>-0.16</v>
      </c>
      <c r="AJ138" s="32">
        <v>0.08</v>
      </c>
      <c r="AK138" s="32">
        <v>0.2</v>
      </c>
      <c r="AL138" s="32">
        <v>0.11</v>
      </c>
      <c r="AM138" s="32">
        <v>0.19</v>
      </c>
      <c r="AN138" s="32">
        <v>0.08</v>
      </c>
      <c r="AO138" s="32">
        <v>-0.05</v>
      </c>
      <c r="AP138" s="32">
        <v>0.08</v>
      </c>
      <c r="AQ138" s="32">
        <v>-0.16</v>
      </c>
      <c r="AR138" s="32">
        <v>0.14000000000000001</v>
      </c>
      <c r="AS138" s="32">
        <v>0.11</v>
      </c>
      <c r="AT138" s="32">
        <v>0.14000000000000001</v>
      </c>
      <c r="AU138" s="32">
        <v>-0.06</v>
      </c>
      <c r="AV138" s="32">
        <v>0.09</v>
      </c>
      <c r="AW138" s="32">
        <v>0.16</v>
      </c>
      <c r="AX138" s="32">
        <v>-0.03</v>
      </c>
      <c r="AY138" s="32">
        <v>0.09</v>
      </c>
      <c r="AZ138" s="32">
        <v>0.24</v>
      </c>
      <c r="BA138" s="32">
        <v>0.17</v>
      </c>
      <c r="BB138" s="32">
        <v>0.31</v>
      </c>
      <c r="BC138" s="32">
        <v>0.11</v>
      </c>
      <c r="BD138" s="32">
        <v>0.17</v>
      </c>
      <c r="BE138" s="32">
        <v>-7.0000000000000007E-2</v>
      </c>
      <c r="BF138" s="32">
        <v>0.2</v>
      </c>
      <c r="BG138" s="32">
        <v>0.09</v>
      </c>
      <c r="BH138" s="32">
        <v>0.14000000000000001</v>
      </c>
      <c r="BI138" s="32">
        <v>0.01</v>
      </c>
      <c r="BJ138" s="32">
        <v>0.04</v>
      </c>
      <c r="BK138" s="32">
        <v>0.24</v>
      </c>
      <c r="BL138" s="32">
        <v>0.39</v>
      </c>
      <c r="BM138" s="32">
        <v>0</v>
      </c>
      <c r="BN138" s="32">
        <v>0.12</v>
      </c>
      <c r="BO138" s="32">
        <v>0.26</v>
      </c>
      <c r="BP138" s="32">
        <v>0.17</v>
      </c>
      <c r="BQ138" s="32">
        <v>0.3</v>
      </c>
      <c r="BR138" s="32">
        <v>0.16</v>
      </c>
      <c r="BS138" s="32">
        <v>-0.05</v>
      </c>
      <c r="BT138" s="32">
        <v>0.31</v>
      </c>
      <c r="BU138" s="32">
        <v>7.0000000000000007E-2</v>
      </c>
      <c r="BV138" s="32">
        <v>0.26</v>
      </c>
      <c r="BW138" s="32">
        <v>0.13</v>
      </c>
      <c r="BX138" s="32">
        <v>-0.09</v>
      </c>
      <c r="BY138" s="32">
        <v>0.19</v>
      </c>
      <c r="BZ138" s="32">
        <v>0.28000000000000003</v>
      </c>
      <c r="CA138" s="32">
        <v>0.09</v>
      </c>
      <c r="CB138" s="32">
        <v>-7.0000000000000007E-2</v>
      </c>
      <c r="CC138" s="32">
        <v>0.09</v>
      </c>
      <c r="CD138" s="32">
        <v>0.16</v>
      </c>
      <c r="CE138" s="32">
        <v>0.34</v>
      </c>
      <c r="CF138" s="32">
        <v>-0.1</v>
      </c>
      <c r="CG138" s="32">
        <v>7.0000000000000007E-2</v>
      </c>
      <c r="CH138" s="32">
        <v>0.37</v>
      </c>
      <c r="CI138" s="32">
        <v>-0.11</v>
      </c>
      <c r="CJ138" s="32">
        <v>-0.01</v>
      </c>
      <c r="CK138" s="32">
        <v>-0.03</v>
      </c>
      <c r="CL138" s="32">
        <v>0.25</v>
      </c>
      <c r="CM138" s="32">
        <v>0.53</v>
      </c>
      <c r="CN138" s="32">
        <v>0.1</v>
      </c>
      <c r="CO138" s="32">
        <v>0.17</v>
      </c>
      <c r="CP138" s="32">
        <v>0.21</v>
      </c>
      <c r="CQ138" s="32">
        <v>0.37</v>
      </c>
      <c r="CR138" s="32">
        <v>0.67</v>
      </c>
      <c r="CS138" s="32">
        <v>0.56000000000000005</v>
      </c>
      <c r="CT138" s="32">
        <v>0.28999999999999998</v>
      </c>
      <c r="CU138" s="32">
        <v>0.3</v>
      </c>
      <c r="CV138" s="32">
        <v>0.22</v>
      </c>
      <c r="CW138" s="32">
        <v>0.11</v>
      </c>
      <c r="CX138" s="32">
        <v>0.32</v>
      </c>
      <c r="CY138" s="32">
        <v>0.27</v>
      </c>
      <c r="CZ138" s="32">
        <v>0.05</v>
      </c>
      <c r="DA138" s="32">
        <v>0.09</v>
      </c>
      <c r="DB138" s="32">
        <v>0.46</v>
      </c>
      <c r="DC138" s="32">
        <v>0.25</v>
      </c>
      <c r="DD138" s="32">
        <v>0.22</v>
      </c>
      <c r="DE138" s="32">
        <v>0.51</v>
      </c>
      <c r="DF138" s="32">
        <v>-0.15</v>
      </c>
      <c r="DG138" s="32">
        <v>0.39</v>
      </c>
      <c r="DH138" s="32">
        <v>0.53</v>
      </c>
      <c r="DI138" s="32">
        <v>0.35</v>
      </c>
      <c r="DJ138" s="32">
        <v>0.22</v>
      </c>
      <c r="DK138" s="32">
        <v>0.41</v>
      </c>
      <c r="DL138" s="32">
        <v>0.23</v>
      </c>
      <c r="DM138" s="32">
        <v>0.28000000000000003</v>
      </c>
      <c r="DN138" s="32">
        <v>0.11</v>
      </c>
      <c r="DO138" s="32">
        <v>0.52</v>
      </c>
      <c r="DP138" s="32">
        <v>0.21</v>
      </c>
      <c r="DQ138" s="32">
        <v>0.38</v>
      </c>
      <c r="DR138" s="32">
        <v>0.37</v>
      </c>
      <c r="DS138" s="32">
        <v>0.04</v>
      </c>
      <c r="DT138" s="32">
        <v>0.37</v>
      </c>
      <c r="DU138" s="32">
        <v>0.41</v>
      </c>
      <c r="DV138" s="32">
        <v>0.25</v>
      </c>
      <c r="DW138" s="32">
        <v>0.09</v>
      </c>
      <c r="DX138" s="32">
        <v>0.64</v>
      </c>
      <c r="DY138" s="32">
        <v>0.26</v>
      </c>
      <c r="DZ138" s="32">
        <v>0.09</v>
      </c>
      <c r="EA138" s="32">
        <v>0.28999999999999998</v>
      </c>
      <c r="EB138" s="32">
        <v>0.27</v>
      </c>
      <c r="EC138" s="32">
        <v>0.16</v>
      </c>
      <c r="ED138" s="32">
        <v>0.3</v>
      </c>
      <c r="EE138" s="32">
        <v>1</v>
      </c>
      <c r="EF138" s="32">
        <v>0.28999999999999998</v>
      </c>
      <c r="EG138" s="32">
        <v>0.67</v>
      </c>
      <c r="EH138" s="32">
        <v>0.02</v>
      </c>
      <c r="EI138" s="32">
        <v>0.64</v>
      </c>
      <c r="EJ138" s="32">
        <v>0.24</v>
      </c>
      <c r="EK138" s="32">
        <v>0.54</v>
      </c>
      <c r="EL138" s="32">
        <v>0.57999999999999996</v>
      </c>
      <c r="EM138" s="32">
        <v>0.22</v>
      </c>
      <c r="EN138" s="32">
        <v>0.11</v>
      </c>
      <c r="EO138" s="32">
        <v>0.14000000000000001</v>
      </c>
    </row>
    <row r="139" spans="1:145" x14ac:dyDescent="0.25">
      <c r="A139" s="31" t="s">
        <v>218</v>
      </c>
      <c r="B139" s="32">
        <v>0.05</v>
      </c>
      <c r="C139" s="32">
        <v>0.11</v>
      </c>
      <c r="D139" s="32">
        <v>0.09</v>
      </c>
      <c r="E139" s="32">
        <v>0.01</v>
      </c>
      <c r="F139" s="32">
        <v>-7.0000000000000007E-2</v>
      </c>
      <c r="G139" s="32">
        <v>0.08</v>
      </c>
      <c r="H139" s="32">
        <v>0</v>
      </c>
      <c r="I139" s="32">
        <v>-0.01</v>
      </c>
      <c r="J139" s="32">
        <v>0.05</v>
      </c>
      <c r="K139" s="32">
        <v>0.12</v>
      </c>
      <c r="L139" s="32">
        <v>7.0000000000000007E-2</v>
      </c>
      <c r="M139" s="32">
        <v>0.25</v>
      </c>
      <c r="N139" s="32">
        <v>0.15</v>
      </c>
      <c r="O139" s="32">
        <v>7.0000000000000007E-2</v>
      </c>
      <c r="P139" s="32">
        <v>-7.0000000000000007E-2</v>
      </c>
      <c r="Q139" s="32">
        <v>7.0000000000000007E-2</v>
      </c>
      <c r="R139" s="32">
        <v>7.0000000000000007E-2</v>
      </c>
      <c r="S139" s="32">
        <v>0.01</v>
      </c>
      <c r="T139" s="32">
        <v>0.28000000000000003</v>
      </c>
      <c r="U139" s="32">
        <v>0.08</v>
      </c>
      <c r="V139" s="32">
        <v>7.0000000000000007E-2</v>
      </c>
      <c r="W139" s="32">
        <v>0.05</v>
      </c>
      <c r="X139" s="32">
        <v>0.28999999999999998</v>
      </c>
      <c r="Y139" s="32">
        <v>0.11</v>
      </c>
      <c r="Z139" s="32">
        <v>0.16</v>
      </c>
      <c r="AA139" s="32">
        <v>0</v>
      </c>
      <c r="AB139" s="32">
        <v>0.09</v>
      </c>
      <c r="AC139" s="32">
        <v>-0.03</v>
      </c>
      <c r="AD139" s="32">
        <v>0.08</v>
      </c>
      <c r="AE139" s="32">
        <v>0.1</v>
      </c>
      <c r="AF139" s="32">
        <v>0.16</v>
      </c>
      <c r="AG139" s="32">
        <v>0.01</v>
      </c>
      <c r="AH139" s="32">
        <v>0.02</v>
      </c>
      <c r="AI139" s="32">
        <v>0.01</v>
      </c>
      <c r="AJ139" s="32">
        <v>0.1</v>
      </c>
      <c r="AK139" s="32">
        <v>0.14000000000000001</v>
      </c>
      <c r="AL139" s="32">
        <v>0.27</v>
      </c>
      <c r="AM139" s="32">
        <v>0.14000000000000001</v>
      </c>
      <c r="AN139" s="32">
        <v>0.13</v>
      </c>
      <c r="AO139" s="32">
        <v>0.01</v>
      </c>
      <c r="AP139" s="32">
        <v>0.13</v>
      </c>
      <c r="AQ139" s="32">
        <v>0.01</v>
      </c>
      <c r="AR139" s="32">
        <v>0.28000000000000003</v>
      </c>
      <c r="AS139" s="32">
        <v>0.09</v>
      </c>
      <c r="AT139" s="32">
        <v>0.14000000000000001</v>
      </c>
      <c r="AU139" s="32">
        <v>-0.01</v>
      </c>
      <c r="AV139" s="32">
        <v>0.11</v>
      </c>
      <c r="AW139" s="32">
        <v>0.17</v>
      </c>
      <c r="AX139" s="32">
        <v>-0.03</v>
      </c>
      <c r="AY139" s="32">
        <v>0.18</v>
      </c>
      <c r="AZ139" s="32">
        <v>0.14000000000000001</v>
      </c>
      <c r="BA139" s="32">
        <v>0.18</v>
      </c>
      <c r="BB139" s="32">
        <v>0.32</v>
      </c>
      <c r="BC139" s="32">
        <v>0.04</v>
      </c>
      <c r="BD139" s="32">
        <v>0.09</v>
      </c>
      <c r="BE139" s="32">
        <v>0.13</v>
      </c>
      <c r="BF139" s="32">
        <v>0.14000000000000001</v>
      </c>
      <c r="BG139" s="32">
        <v>0.19</v>
      </c>
      <c r="BH139" s="32">
        <v>0.08</v>
      </c>
      <c r="BI139" s="32">
        <v>0.06</v>
      </c>
      <c r="BJ139" s="32">
        <v>0.05</v>
      </c>
      <c r="BK139" s="32">
        <v>0.12</v>
      </c>
      <c r="BL139" s="32">
        <v>0.47</v>
      </c>
      <c r="BM139" s="32">
        <v>0.1</v>
      </c>
      <c r="BN139" s="32">
        <v>0.1</v>
      </c>
      <c r="BO139" s="32">
        <v>7.0000000000000007E-2</v>
      </c>
      <c r="BP139" s="32">
        <v>7.0000000000000007E-2</v>
      </c>
      <c r="BQ139" s="32">
        <v>0.26</v>
      </c>
      <c r="BR139" s="32">
        <v>0.26</v>
      </c>
      <c r="BS139" s="32">
        <v>0.02</v>
      </c>
      <c r="BT139" s="32">
        <v>0.3</v>
      </c>
      <c r="BU139" s="32">
        <v>0.04</v>
      </c>
      <c r="BV139" s="32">
        <v>0.11</v>
      </c>
      <c r="BW139" s="32">
        <v>0.15</v>
      </c>
      <c r="BX139" s="32">
        <v>0.01</v>
      </c>
      <c r="BY139" s="32">
        <v>0.12</v>
      </c>
      <c r="BZ139" s="32">
        <v>0.28000000000000003</v>
      </c>
      <c r="CA139" s="32">
        <v>0.08</v>
      </c>
      <c r="CB139" s="32">
        <v>0.04</v>
      </c>
      <c r="CC139" s="32">
        <v>0.08</v>
      </c>
      <c r="CD139" s="32">
        <v>7.0000000000000007E-2</v>
      </c>
      <c r="CE139" s="32">
        <v>0.24</v>
      </c>
      <c r="CF139" s="32">
        <v>0.02</v>
      </c>
      <c r="CG139" s="32">
        <v>0.08</v>
      </c>
      <c r="CH139" s="32">
        <v>0.33</v>
      </c>
      <c r="CI139" s="32">
        <v>0.01</v>
      </c>
      <c r="CJ139" s="32">
        <v>0.09</v>
      </c>
      <c r="CK139" s="32">
        <v>0.13</v>
      </c>
      <c r="CL139" s="32">
        <v>0.19</v>
      </c>
      <c r="CM139" s="32">
        <v>0.28000000000000003</v>
      </c>
      <c r="CN139" s="32">
        <v>0.08</v>
      </c>
      <c r="CO139" s="32">
        <v>0.06</v>
      </c>
      <c r="CP139" s="32">
        <v>0.16</v>
      </c>
      <c r="CQ139" s="32">
        <v>0.31</v>
      </c>
      <c r="CR139" s="32">
        <v>0.28999999999999998</v>
      </c>
      <c r="CS139" s="32">
        <v>0.33</v>
      </c>
      <c r="CT139" s="32">
        <v>0.14000000000000001</v>
      </c>
      <c r="CU139" s="32">
        <v>0.22</v>
      </c>
      <c r="CV139" s="32">
        <v>0.16</v>
      </c>
      <c r="CW139" s="32">
        <v>0.09</v>
      </c>
      <c r="CX139" s="32">
        <v>0.23</v>
      </c>
      <c r="CY139" s="32">
        <v>0.25</v>
      </c>
      <c r="CZ139" s="32">
        <v>0.05</v>
      </c>
      <c r="DA139" s="32">
        <v>0.1</v>
      </c>
      <c r="DB139" s="32">
        <v>0.15</v>
      </c>
      <c r="DC139" s="32">
        <v>0.14000000000000001</v>
      </c>
      <c r="DD139" s="32">
        <v>0.22</v>
      </c>
      <c r="DE139" s="32">
        <v>0.41</v>
      </c>
      <c r="DF139" s="32">
        <v>0.02</v>
      </c>
      <c r="DG139" s="32">
        <v>0.38</v>
      </c>
      <c r="DH139" s="32">
        <v>0.28000000000000003</v>
      </c>
      <c r="DI139" s="32">
        <v>0.21</v>
      </c>
      <c r="DJ139" s="32">
        <v>0.18</v>
      </c>
      <c r="DK139" s="32">
        <v>0.32</v>
      </c>
      <c r="DL139" s="32">
        <v>0.22</v>
      </c>
      <c r="DM139" s="32">
        <v>0.27</v>
      </c>
      <c r="DN139" s="32">
        <v>0.18</v>
      </c>
      <c r="DO139" s="32">
        <v>0.28000000000000003</v>
      </c>
      <c r="DP139" s="32">
        <v>0.23</v>
      </c>
      <c r="DQ139" s="32">
        <v>0.26</v>
      </c>
      <c r="DR139" s="32">
        <v>0.4</v>
      </c>
      <c r="DS139" s="32">
        <v>7.0000000000000007E-2</v>
      </c>
      <c r="DT139" s="32">
        <v>0.1</v>
      </c>
      <c r="DU139" s="32">
        <v>0.32</v>
      </c>
      <c r="DV139" s="32">
        <v>0.19</v>
      </c>
      <c r="DW139" s="32">
        <v>0.14000000000000001</v>
      </c>
      <c r="DX139" s="32">
        <v>0.25</v>
      </c>
      <c r="DY139" s="32">
        <v>0.25</v>
      </c>
      <c r="DZ139" s="32">
        <v>0.1</v>
      </c>
      <c r="EA139" s="32">
        <v>0.23</v>
      </c>
      <c r="EB139" s="32">
        <v>0.26</v>
      </c>
      <c r="EC139" s="32">
        <v>0.08</v>
      </c>
      <c r="ED139" s="32">
        <v>0.11</v>
      </c>
      <c r="EE139" s="32">
        <v>0.28999999999999998</v>
      </c>
      <c r="EF139" s="32">
        <v>1</v>
      </c>
      <c r="EG139" s="32">
        <v>0.27</v>
      </c>
      <c r="EH139" s="32">
        <v>0.05</v>
      </c>
      <c r="EI139" s="32">
        <v>0.28999999999999998</v>
      </c>
      <c r="EJ139" s="32">
        <v>0.09</v>
      </c>
      <c r="EK139" s="32">
        <v>0.28000000000000003</v>
      </c>
      <c r="EL139" s="32">
        <v>0.32</v>
      </c>
      <c r="EM139" s="32">
        <v>0.14000000000000001</v>
      </c>
      <c r="EN139" s="32">
        <v>0</v>
      </c>
      <c r="EO139" s="32">
        <v>0.02</v>
      </c>
    </row>
    <row r="140" spans="1:145" x14ac:dyDescent="0.25">
      <c r="A140" s="31" t="s">
        <v>219</v>
      </c>
      <c r="B140" s="32">
        <v>-0.06</v>
      </c>
      <c r="C140" s="32">
        <v>7.0000000000000007E-2</v>
      </c>
      <c r="D140" s="32">
        <v>-0.01</v>
      </c>
      <c r="E140" s="32">
        <v>0.05</v>
      </c>
      <c r="F140" s="32">
        <v>-0.09</v>
      </c>
      <c r="G140" s="32">
        <v>0.05</v>
      </c>
      <c r="H140" s="32">
        <v>0.09</v>
      </c>
      <c r="I140" s="32">
        <v>-0.16</v>
      </c>
      <c r="J140" s="32">
        <v>-0.1</v>
      </c>
      <c r="K140" s="32">
        <v>-0.08</v>
      </c>
      <c r="L140" s="32">
        <v>0.2</v>
      </c>
      <c r="M140" s="32">
        <v>0.23</v>
      </c>
      <c r="N140" s="32">
        <v>0.02</v>
      </c>
      <c r="O140" s="32">
        <v>0.11</v>
      </c>
      <c r="P140" s="32">
        <v>-0.06</v>
      </c>
      <c r="Q140" s="32">
        <v>0.1</v>
      </c>
      <c r="R140" s="32">
        <v>-0.11</v>
      </c>
      <c r="S140" s="32">
        <v>0.1</v>
      </c>
      <c r="T140" s="32">
        <v>0.14000000000000001</v>
      </c>
      <c r="U140" s="32">
        <v>0.09</v>
      </c>
      <c r="V140" s="32">
        <v>0</v>
      </c>
      <c r="W140" s="32">
        <v>0.09</v>
      </c>
      <c r="X140" s="32">
        <v>0.14000000000000001</v>
      </c>
      <c r="Y140" s="32">
        <v>-0.03</v>
      </c>
      <c r="Z140" s="32">
        <v>0.05</v>
      </c>
      <c r="AA140" s="32">
        <v>0.12</v>
      </c>
      <c r="AB140" s="32">
        <v>-0.06</v>
      </c>
      <c r="AC140" s="32">
        <v>0.02</v>
      </c>
      <c r="AD140" s="32">
        <v>0.19</v>
      </c>
      <c r="AE140" s="32">
        <v>0.13</v>
      </c>
      <c r="AF140" s="32">
        <v>0.21</v>
      </c>
      <c r="AG140" s="32">
        <v>-0.21</v>
      </c>
      <c r="AH140" s="32">
        <v>-0.18</v>
      </c>
      <c r="AI140" s="32">
        <v>-0.15</v>
      </c>
      <c r="AJ140" s="32">
        <v>0.04</v>
      </c>
      <c r="AK140" s="32">
        <v>0.2</v>
      </c>
      <c r="AL140" s="32">
        <v>0.09</v>
      </c>
      <c r="AM140" s="32">
        <v>0.11</v>
      </c>
      <c r="AN140" s="32">
        <v>0.08</v>
      </c>
      <c r="AO140" s="32">
        <v>-0.08</v>
      </c>
      <c r="AP140" s="32">
        <v>0.03</v>
      </c>
      <c r="AQ140" s="32">
        <v>-0.14000000000000001</v>
      </c>
      <c r="AR140" s="32">
        <v>0.09</v>
      </c>
      <c r="AS140" s="32">
        <v>0.12</v>
      </c>
      <c r="AT140" s="32">
        <v>0.11</v>
      </c>
      <c r="AU140" s="32">
        <v>-0.02</v>
      </c>
      <c r="AV140" s="32">
        <v>0.1</v>
      </c>
      <c r="AW140" s="32">
        <v>0.22</v>
      </c>
      <c r="AX140" s="32">
        <v>-0.03</v>
      </c>
      <c r="AY140" s="32">
        <v>0.18</v>
      </c>
      <c r="AZ140" s="32">
        <v>0.24</v>
      </c>
      <c r="BA140" s="32">
        <v>0.18</v>
      </c>
      <c r="BB140" s="32">
        <v>0.28000000000000003</v>
      </c>
      <c r="BC140" s="32">
        <v>0.08</v>
      </c>
      <c r="BD140" s="32">
        <v>0.13</v>
      </c>
      <c r="BE140" s="32">
        <v>0.01</v>
      </c>
      <c r="BF140" s="32">
        <v>0.13</v>
      </c>
      <c r="BG140" s="32">
        <v>7.0000000000000007E-2</v>
      </c>
      <c r="BH140" s="32">
        <v>0.08</v>
      </c>
      <c r="BI140" s="32">
        <v>0.06</v>
      </c>
      <c r="BJ140" s="32">
        <v>0.06</v>
      </c>
      <c r="BK140" s="32">
        <v>0.16</v>
      </c>
      <c r="BL140" s="32">
        <v>0.34</v>
      </c>
      <c r="BM140" s="32">
        <v>0</v>
      </c>
      <c r="BN140" s="32">
        <v>0.05</v>
      </c>
      <c r="BO140" s="32">
        <v>0.23</v>
      </c>
      <c r="BP140" s="32">
        <v>0.04</v>
      </c>
      <c r="BQ140" s="32">
        <v>0.26</v>
      </c>
      <c r="BR140" s="32">
        <v>0.18</v>
      </c>
      <c r="BS140" s="32">
        <v>-0.06</v>
      </c>
      <c r="BT140" s="32">
        <v>0.25</v>
      </c>
      <c r="BU140" s="32">
        <v>0.03</v>
      </c>
      <c r="BV140" s="32">
        <v>0.2</v>
      </c>
      <c r="BW140" s="32">
        <v>0.09</v>
      </c>
      <c r="BX140" s="32">
        <v>-0.02</v>
      </c>
      <c r="BY140" s="32">
        <v>0.15</v>
      </c>
      <c r="BZ140" s="32">
        <v>0.27</v>
      </c>
      <c r="CA140" s="32">
        <v>0.11</v>
      </c>
      <c r="CB140" s="32">
        <v>-0.03</v>
      </c>
      <c r="CC140" s="32">
        <v>0.08</v>
      </c>
      <c r="CD140" s="32">
        <v>0.04</v>
      </c>
      <c r="CE140" s="32">
        <v>0.26</v>
      </c>
      <c r="CF140" s="32">
        <v>-0.06</v>
      </c>
      <c r="CG140" s="32">
        <v>0.09</v>
      </c>
      <c r="CH140" s="32">
        <v>0.34</v>
      </c>
      <c r="CI140" s="32">
        <v>-0.13</v>
      </c>
      <c r="CJ140" s="32">
        <v>-0.06</v>
      </c>
      <c r="CK140" s="32">
        <v>-0.02</v>
      </c>
      <c r="CL140" s="32">
        <v>0.13</v>
      </c>
      <c r="CM140" s="32">
        <v>0.4</v>
      </c>
      <c r="CN140" s="32">
        <v>0.09</v>
      </c>
      <c r="CO140" s="32">
        <v>0.16</v>
      </c>
      <c r="CP140" s="32">
        <v>0.21</v>
      </c>
      <c r="CQ140" s="32">
        <v>0.28999999999999998</v>
      </c>
      <c r="CR140" s="32">
        <v>0.54</v>
      </c>
      <c r="CS140" s="32">
        <v>0.49</v>
      </c>
      <c r="CT140" s="32">
        <v>0.21</v>
      </c>
      <c r="CU140" s="32">
        <v>0.18</v>
      </c>
      <c r="CV140" s="32">
        <v>0.18</v>
      </c>
      <c r="CW140" s="32">
        <v>0.03</v>
      </c>
      <c r="CX140" s="32">
        <v>0.21</v>
      </c>
      <c r="CY140" s="32">
        <v>0.27</v>
      </c>
      <c r="CZ140" s="32">
        <v>7.0000000000000007E-2</v>
      </c>
      <c r="DA140" s="32">
        <v>0</v>
      </c>
      <c r="DB140" s="32">
        <v>0.38</v>
      </c>
      <c r="DC140" s="32">
        <v>0.27</v>
      </c>
      <c r="DD140" s="32">
        <v>0.17</v>
      </c>
      <c r="DE140" s="32">
        <v>0.39</v>
      </c>
      <c r="DF140" s="32">
        <v>-0.1</v>
      </c>
      <c r="DG140" s="32">
        <v>0.26</v>
      </c>
      <c r="DH140" s="32">
        <v>0.44</v>
      </c>
      <c r="DI140" s="32">
        <v>0.3</v>
      </c>
      <c r="DJ140" s="32">
        <v>0.19</v>
      </c>
      <c r="DK140" s="32">
        <v>0.36</v>
      </c>
      <c r="DL140" s="32">
        <v>0.18</v>
      </c>
      <c r="DM140" s="32">
        <v>0.23</v>
      </c>
      <c r="DN140" s="32">
        <v>0.13</v>
      </c>
      <c r="DO140" s="32">
        <v>0.49</v>
      </c>
      <c r="DP140" s="32">
        <v>0.18</v>
      </c>
      <c r="DQ140" s="32">
        <v>0.25</v>
      </c>
      <c r="DR140" s="32">
        <v>0.31</v>
      </c>
      <c r="DS140" s="32">
        <v>-0.02</v>
      </c>
      <c r="DT140" s="32">
        <v>0.22</v>
      </c>
      <c r="DU140" s="32">
        <v>0.25</v>
      </c>
      <c r="DV140" s="32">
        <v>0.11</v>
      </c>
      <c r="DW140" s="32">
        <v>0.02</v>
      </c>
      <c r="DX140" s="32">
        <v>0.6</v>
      </c>
      <c r="DY140" s="32">
        <v>0.22</v>
      </c>
      <c r="DZ140" s="32">
        <v>0.1</v>
      </c>
      <c r="EA140" s="32">
        <v>0.23</v>
      </c>
      <c r="EB140" s="32">
        <v>0.2</v>
      </c>
      <c r="EC140" s="32">
        <v>0.2</v>
      </c>
      <c r="ED140" s="32">
        <v>0.25</v>
      </c>
      <c r="EE140" s="32">
        <v>0.67</v>
      </c>
      <c r="EF140" s="32">
        <v>0.27</v>
      </c>
      <c r="EG140" s="32">
        <v>1</v>
      </c>
      <c r="EH140" s="32">
        <v>0.04</v>
      </c>
      <c r="EI140" s="32">
        <v>0.6</v>
      </c>
      <c r="EJ140" s="32">
        <v>0.21</v>
      </c>
      <c r="EK140" s="32">
        <v>0.4</v>
      </c>
      <c r="EL140" s="32">
        <v>0.44</v>
      </c>
      <c r="EM140" s="32">
        <v>0.13</v>
      </c>
      <c r="EN140" s="32">
        <v>0.11</v>
      </c>
      <c r="EO140" s="32">
        <v>0.09</v>
      </c>
    </row>
    <row r="141" spans="1:145" x14ac:dyDescent="0.25">
      <c r="A141" s="31" t="s">
        <v>220</v>
      </c>
      <c r="B141" s="32">
        <v>7.0000000000000007E-2</v>
      </c>
      <c r="C141" s="32">
        <v>0</v>
      </c>
      <c r="D141" s="32">
        <v>7.0000000000000007E-2</v>
      </c>
      <c r="E141" s="32">
        <v>-0.02</v>
      </c>
      <c r="F141" s="32">
        <v>0.06</v>
      </c>
      <c r="G141" s="32">
        <v>-7.0000000000000007E-2</v>
      </c>
      <c r="H141" s="32">
        <v>-0.04</v>
      </c>
      <c r="I141" s="32">
        <v>0.14000000000000001</v>
      </c>
      <c r="J141" s="32">
        <v>0.01</v>
      </c>
      <c r="K141" s="32">
        <v>0</v>
      </c>
      <c r="L141" s="32">
        <v>0</v>
      </c>
      <c r="M141" s="32">
        <v>0.14000000000000001</v>
      </c>
      <c r="N141" s="32">
        <v>0.11</v>
      </c>
      <c r="O141" s="32">
        <v>-0.12</v>
      </c>
      <c r="P141" s="32">
        <v>0.08</v>
      </c>
      <c r="Q141" s="32">
        <v>0.02</v>
      </c>
      <c r="R141" s="32">
        <v>0.02</v>
      </c>
      <c r="S141" s="32">
        <v>-0.08</v>
      </c>
      <c r="T141" s="32">
        <v>0.13</v>
      </c>
      <c r="U141" s="32">
        <v>-0.03</v>
      </c>
      <c r="V141" s="32">
        <v>-0.08</v>
      </c>
      <c r="W141" s="32">
        <v>-0.03</v>
      </c>
      <c r="X141" s="32">
        <v>0.05</v>
      </c>
      <c r="Y141" s="32">
        <v>0.21</v>
      </c>
      <c r="Z141" s="32">
        <v>0.02</v>
      </c>
      <c r="AA141" s="32">
        <v>0.02</v>
      </c>
      <c r="AB141" s="32">
        <v>0.21</v>
      </c>
      <c r="AC141" s="32">
        <v>-0.1</v>
      </c>
      <c r="AD141" s="32">
        <v>-0.08</v>
      </c>
      <c r="AE141" s="32">
        <v>-7.0000000000000007E-2</v>
      </c>
      <c r="AF141" s="32">
        <v>-0.13</v>
      </c>
      <c r="AG141" s="32">
        <v>0.04</v>
      </c>
      <c r="AH141" s="32">
        <v>0</v>
      </c>
      <c r="AI141" s="32">
        <v>-0.06</v>
      </c>
      <c r="AJ141" s="32">
        <v>-0.04</v>
      </c>
      <c r="AK141" s="32">
        <v>-0.04</v>
      </c>
      <c r="AL141" s="32">
        <v>0.21</v>
      </c>
      <c r="AM141" s="32">
        <v>0.05</v>
      </c>
      <c r="AN141" s="32">
        <v>0.09</v>
      </c>
      <c r="AO141" s="32">
        <v>7.0000000000000007E-2</v>
      </c>
      <c r="AP141" s="32">
        <v>0.19</v>
      </c>
      <c r="AQ141" s="32">
        <v>-7.0000000000000007E-2</v>
      </c>
      <c r="AR141" s="32">
        <v>0.15</v>
      </c>
      <c r="AS141" s="32">
        <v>-0.03</v>
      </c>
      <c r="AT141" s="32">
        <v>0.26</v>
      </c>
      <c r="AU141" s="32">
        <v>0</v>
      </c>
      <c r="AV141" s="32">
        <v>0.04</v>
      </c>
      <c r="AW141" s="32">
        <v>-0.04</v>
      </c>
      <c r="AX141" s="32">
        <v>0.03</v>
      </c>
      <c r="AY141" s="32">
        <v>0.14000000000000001</v>
      </c>
      <c r="AZ141" s="32">
        <v>-0.01</v>
      </c>
      <c r="BA141" s="32">
        <v>0.01</v>
      </c>
      <c r="BB141" s="32">
        <v>0.21</v>
      </c>
      <c r="BC141" s="32">
        <v>0.04</v>
      </c>
      <c r="BD141" s="32">
        <v>0.06</v>
      </c>
      <c r="BE141" s="32">
        <v>0.08</v>
      </c>
      <c r="BF141" s="32">
        <v>0</v>
      </c>
      <c r="BG141" s="32">
        <v>0.19</v>
      </c>
      <c r="BH141" s="32">
        <v>0.02</v>
      </c>
      <c r="BI141" s="32">
        <v>-7.0000000000000007E-2</v>
      </c>
      <c r="BJ141" s="32">
        <v>-0.11</v>
      </c>
      <c r="BK141" s="32">
        <v>-0.06</v>
      </c>
      <c r="BL141" s="32">
        <v>0.02</v>
      </c>
      <c r="BM141" s="32">
        <v>0.14000000000000001</v>
      </c>
      <c r="BN141" s="32">
        <v>-0.04</v>
      </c>
      <c r="BO141" s="32">
        <v>0.22</v>
      </c>
      <c r="BP141" s="32">
        <v>0.27</v>
      </c>
      <c r="BQ141" s="32">
        <v>0.02</v>
      </c>
      <c r="BR141" s="32">
        <v>0.22</v>
      </c>
      <c r="BS141" s="32">
        <v>-0.05</v>
      </c>
      <c r="BT141" s="32">
        <v>0.1</v>
      </c>
      <c r="BU141" s="32">
        <v>-0.06</v>
      </c>
      <c r="BV141" s="32">
        <v>0.26</v>
      </c>
      <c r="BW141" s="32">
        <v>0.18</v>
      </c>
      <c r="BX141" s="32">
        <v>0.14000000000000001</v>
      </c>
      <c r="BY141" s="32">
        <v>0.12</v>
      </c>
      <c r="BZ141" s="32">
        <v>0.19</v>
      </c>
      <c r="CA141" s="32">
        <v>-0.11</v>
      </c>
      <c r="CB141" s="32">
        <v>0.01</v>
      </c>
      <c r="CC141" s="32">
        <v>0.12</v>
      </c>
      <c r="CD141" s="32">
        <v>0.25</v>
      </c>
      <c r="CE141" s="32">
        <v>0.02</v>
      </c>
      <c r="CF141" s="32">
        <v>-0.04</v>
      </c>
      <c r="CG141" s="32">
        <v>0.31</v>
      </c>
      <c r="CH141" s="32">
        <v>-7.0000000000000007E-2</v>
      </c>
      <c r="CI141" s="32">
        <v>-0.11</v>
      </c>
      <c r="CJ141" s="32">
        <v>0.31</v>
      </c>
      <c r="CK141" s="32">
        <v>0.18</v>
      </c>
      <c r="CL141" s="32">
        <v>0.14000000000000001</v>
      </c>
      <c r="CM141" s="32">
        <v>0.13</v>
      </c>
      <c r="CN141" s="32">
        <v>-0.08</v>
      </c>
      <c r="CO141" s="32">
        <v>0.09</v>
      </c>
      <c r="CP141" s="32">
        <v>0.16</v>
      </c>
      <c r="CQ141" s="32">
        <v>0.16</v>
      </c>
      <c r="CR141" s="32">
        <v>0.1</v>
      </c>
      <c r="CS141" s="32">
        <v>-0.06</v>
      </c>
      <c r="CT141" s="32">
        <v>0.2</v>
      </c>
      <c r="CU141" s="32">
        <v>0.13</v>
      </c>
      <c r="CV141" s="32">
        <v>0.17</v>
      </c>
      <c r="CW141" s="32">
        <v>0.32</v>
      </c>
      <c r="CX141" s="32">
        <v>0.22</v>
      </c>
      <c r="CY141" s="32">
        <v>0.15</v>
      </c>
      <c r="CZ141" s="32">
        <v>0.28999999999999998</v>
      </c>
      <c r="DA141" s="32">
        <v>0.38</v>
      </c>
      <c r="DB141" s="32">
        <v>0.13</v>
      </c>
      <c r="DC141" s="32">
        <v>0</v>
      </c>
      <c r="DD141" s="32">
        <v>0.35</v>
      </c>
      <c r="DE141" s="32">
        <v>0.02</v>
      </c>
      <c r="DF141" s="32">
        <v>0.32</v>
      </c>
      <c r="DG141" s="32">
        <v>0.01</v>
      </c>
      <c r="DH141" s="32">
        <v>0.11</v>
      </c>
      <c r="DI141" s="32">
        <v>0.16</v>
      </c>
      <c r="DJ141" s="32">
        <v>0.1</v>
      </c>
      <c r="DK141" s="32">
        <v>0.14000000000000001</v>
      </c>
      <c r="DL141" s="32">
        <v>-0.11</v>
      </c>
      <c r="DM141" s="32">
        <v>0.15</v>
      </c>
      <c r="DN141" s="32">
        <v>0.25</v>
      </c>
      <c r="DO141" s="32">
        <v>-0.01</v>
      </c>
      <c r="DP141" s="32">
        <v>0.18</v>
      </c>
      <c r="DQ141" s="32">
        <v>0.08</v>
      </c>
      <c r="DR141" s="32">
        <v>0.03</v>
      </c>
      <c r="DS141" s="32">
        <v>0.22</v>
      </c>
      <c r="DT141" s="32">
        <v>0.18</v>
      </c>
      <c r="DU141" s="32">
        <v>0.28999999999999998</v>
      </c>
      <c r="DV141" s="32">
        <v>0.23</v>
      </c>
      <c r="DW141" s="32">
        <v>0.42</v>
      </c>
      <c r="DX141" s="32">
        <v>0</v>
      </c>
      <c r="DY141" s="32">
        <v>0.36</v>
      </c>
      <c r="DZ141" s="32">
        <v>0.26</v>
      </c>
      <c r="EA141" s="32">
        <v>0.06</v>
      </c>
      <c r="EB141" s="32">
        <v>0.36</v>
      </c>
      <c r="EC141" s="32">
        <v>-0.01</v>
      </c>
      <c r="ED141" s="32">
        <v>0.17</v>
      </c>
      <c r="EE141" s="32">
        <v>0.02</v>
      </c>
      <c r="EF141" s="32">
        <v>0.05</v>
      </c>
      <c r="EG141" s="32">
        <v>0.04</v>
      </c>
      <c r="EH141" s="32">
        <v>1</v>
      </c>
      <c r="EI141" s="32">
        <v>0.05</v>
      </c>
      <c r="EJ141" s="32">
        <v>0.2</v>
      </c>
      <c r="EK141" s="32">
        <v>0.19</v>
      </c>
      <c r="EL141" s="32">
        <v>0.12</v>
      </c>
      <c r="EM141" s="32">
        <v>0.33</v>
      </c>
      <c r="EN141" s="32">
        <v>0.11</v>
      </c>
      <c r="EO141" s="32">
        <v>7.0000000000000007E-2</v>
      </c>
    </row>
    <row r="142" spans="1:145" x14ac:dyDescent="0.25">
      <c r="A142" s="31" t="s">
        <v>221</v>
      </c>
      <c r="B142" s="32">
        <v>-0.2</v>
      </c>
      <c r="C142" s="32">
        <v>0.02</v>
      </c>
      <c r="D142" s="32">
        <v>0.06</v>
      </c>
      <c r="E142" s="32">
        <v>-0.02</v>
      </c>
      <c r="F142" s="32">
        <v>-0.2</v>
      </c>
      <c r="G142" s="32">
        <v>0.01</v>
      </c>
      <c r="H142" s="32">
        <v>0.03</v>
      </c>
      <c r="I142" s="32">
        <v>-0.23</v>
      </c>
      <c r="J142" s="32">
        <v>-0.18</v>
      </c>
      <c r="K142" s="32">
        <v>-0.24</v>
      </c>
      <c r="L142" s="32">
        <v>0.08</v>
      </c>
      <c r="M142" s="32">
        <v>0.18</v>
      </c>
      <c r="N142" s="32">
        <v>-0.04</v>
      </c>
      <c r="O142" s="32">
        <v>0.01</v>
      </c>
      <c r="P142" s="32">
        <v>-0.2</v>
      </c>
      <c r="Q142" s="32">
        <v>0.01</v>
      </c>
      <c r="R142" s="32">
        <v>-0.27</v>
      </c>
      <c r="S142" s="32">
        <v>0</v>
      </c>
      <c r="T142" s="32">
        <v>7.0000000000000007E-2</v>
      </c>
      <c r="U142" s="32">
        <v>0.02</v>
      </c>
      <c r="V142" s="32">
        <v>-0.02</v>
      </c>
      <c r="W142" s="32">
        <v>0.02</v>
      </c>
      <c r="X142" s="32">
        <v>0.09</v>
      </c>
      <c r="Y142" s="32">
        <v>-0.12</v>
      </c>
      <c r="Z142" s="32">
        <v>0.1</v>
      </c>
      <c r="AA142" s="32">
        <v>0.06</v>
      </c>
      <c r="AB142" s="32">
        <v>-0.14000000000000001</v>
      </c>
      <c r="AC142" s="32">
        <v>0.02</v>
      </c>
      <c r="AD142" s="32">
        <v>0.11</v>
      </c>
      <c r="AE142" s="32">
        <v>0.18</v>
      </c>
      <c r="AF142" s="32">
        <v>0.12</v>
      </c>
      <c r="AG142" s="32">
        <v>-0.23</v>
      </c>
      <c r="AH142" s="32">
        <v>-0.21</v>
      </c>
      <c r="AI142" s="32">
        <v>-0.2</v>
      </c>
      <c r="AJ142" s="32">
        <v>7.0000000000000007E-2</v>
      </c>
      <c r="AK142" s="32">
        <v>0.16</v>
      </c>
      <c r="AL142" s="32">
        <v>0</v>
      </c>
      <c r="AM142" s="32">
        <v>0.02</v>
      </c>
      <c r="AN142" s="32">
        <v>0.01</v>
      </c>
      <c r="AO142" s="32">
        <v>-0.1</v>
      </c>
      <c r="AP142" s="32">
        <v>-0.09</v>
      </c>
      <c r="AQ142" s="32">
        <v>-0.15</v>
      </c>
      <c r="AR142" s="32">
        <v>0.03</v>
      </c>
      <c r="AS142" s="32">
        <v>0.11</v>
      </c>
      <c r="AT142" s="32">
        <v>7.0000000000000007E-2</v>
      </c>
      <c r="AU142" s="32">
        <v>-0.16</v>
      </c>
      <c r="AV142" s="32">
        <v>0</v>
      </c>
      <c r="AW142" s="32">
        <v>0.14000000000000001</v>
      </c>
      <c r="AX142" s="32">
        <v>-0.11</v>
      </c>
      <c r="AY142" s="32">
        <v>0.08</v>
      </c>
      <c r="AZ142" s="32">
        <v>0.28000000000000003</v>
      </c>
      <c r="BA142" s="32">
        <v>0.19</v>
      </c>
      <c r="BB142" s="32">
        <v>0.27</v>
      </c>
      <c r="BC142" s="32">
        <v>7.0000000000000007E-2</v>
      </c>
      <c r="BD142" s="32">
        <v>0.09</v>
      </c>
      <c r="BE142" s="32">
        <v>-0.02</v>
      </c>
      <c r="BF142" s="32">
        <v>0.1</v>
      </c>
      <c r="BG142" s="32">
        <v>0.05</v>
      </c>
      <c r="BH142" s="32">
        <v>7.0000000000000007E-2</v>
      </c>
      <c r="BI142" s="32">
        <v>0.01</v>
      </c>
      <c r="BJ142" s="32">
        <v>0.08</v>
      </c>
      <c r="BK142" s="32">
        <v>0.16</v>
      </c>
      <c r="BL142" s="32">
        <v>0.33</v>
      </c>
      <c r="BM142" s="32">
        <v>-7.0000000000000007E-2</v>
      </c>
      <c r="BN142" s="32">
        <v>0.03</v>
      </c>
      <c r="BO142" s="32">
        <v>0.16</v>
      </c>
      <c r="BP142" s="32">
        <v>0.05</v>
      </c>
      <c r="BQ142" s="32">
        <v>0.26</v>
      </c>
      <c r="BR142" s="32">
        <v>0.15</v>
      </c>
      <c r="BS142" s="32">
        <v>-0.02</v>
      </c>
      <c r="BT142" s="32">
        <v>0.27</v>
      </c>
      <c r="BU142" s="32">
        <v>0.06</v>
      </c>
      <c r="BV142" s="32">
        <v>0.17</v>
      </c>
      <c r="BW142" s="32">
        <v>0.12</v>
      </c>
      <c r="BX142" s="32">
        <v>-0.03</v>
      </c>
      <c r="BY142" s="32">
        <v>0.16</v>
      </c>
      <c r="BZ142" s="32">
        <v>0.24</v>
      </c>
      <c r="CA142" s="32">
        <v>0.04</v>
      </c>
      <c r="CB142" s="32">
        <v>-0.02</v>
      </c>
      <c r="CC142" s="32">
        <v>0.02</v>
      </c>
      <c r="CD142" s="32">
        <v>0.11</v>
      </c>
      <c r="CE142" s="32">
        <v>0.24</v>
      </c>
      <c r="CF142" s="32">
        <v>-0.08</v>
      </c>
      <c r="CG142" s="32">
        <v>0.04</v>
      </c>
      <c r="CH142" s="32">
        <v>0.38</v>
      </c>
      <c r="CI142" s="32">
        <v>-0.12</v>
      </c>
      <c r="CJ142" s="32">
        <v>-0.11</v>
      </c>
      <c r="CK142" s="32">
        <v>-0.1</v>
      </c>
      <c r="CL142" s="32">
        <v>0.24</v>
      </c>
      <c r="CM142" s="32">
        <v>0.45</v>
      </c>
      <c r="CN142" s="32">
        <v>0.05</v>
      </c>
      <c r="CO142" s="32">
        <v>0.09</v>
      </c>
      <c r="CP142" s="32">
        <v>7.0000000000000007E-2</v>
      </c>
      <c r="CQ142" s="32">
        <v>0.3</v>
      </c>
      <c r="CR142" s="32">
        <v>0.63</v>
      </c>
      <c r="CS142" s="32">
        <v>0.55000000000000004</v>
      </c>
      <c r="CT142" s="32">
        <v>0.14000000000000001</v>
      </c>
      <c r="CU142" s="32">
        <v>0.17</v>
      </c>
      <c r="CV142" s="32">
        <v>0.1</v>
      </c>
      <c r="CW142" s="32">
        <v>0.03</v>
      </c>
      <c r="CX142" s="32">
        <v>0.23</v>
      </c>
      <c r="CY142" s="32">
        <v>0.23</v>
      </c>
      <c r="CZ142" s="32">
        <v>0</v>
      </c>
      <c r="DA142" s="32">
        <v>-0.01</v>
      </c>
      <c r="DB142" s="32">
        <v>0.34</v>
      </c>
      <c r="DC142" s="32">
        <v>0.26</v>
      </c>
      <c r="DD142" s="32">
        <v>0.17</v>
      </c>
      <c r="DE142" s="32">
        <v>0.49</v>
      </c>
      <c r="DF142" s="32">
        <v>-0.15</v>
      </c>
      <c r="DG142" s="32">
        <v>0.38</v>
      </c>
      <c r="DH142" s="32">
        <v>0.5</v>
      </c>
      <c r="DI142" s="32">
        <v>0.26</v>
      </c>
      <c r="DJ142" s="32">
        <v>0.17</v>
      </c>
      <c r="DK142" s="32">
        <v>0.33</v>
      </c>
      <c r="DL142" s="32">
        <v>0.27</v>
      </c>
      <c r="DM142" s="32">
        <v>0.22</v>
      </c>
      <c r="DN142" s="32">
        <v>0.08</v>
      </c>
      <c r="DO142" s="32">
        <v>0.39</v>
      </c>
      <c r="DP142" s="32">
        <v>0.17</v>
      </c>
      <c r="DQ142" s="32">
        <v>0.36</v>
      </c>
      <c r="DR142" s="32">
        <v>0.36</v>
      </c>
      <c r="DS142" s="32">
        <v>-0.05</v>
      </c>
      <c r="DT142" s="32">
        <v>0.32</v>
      </c>
      <c r="DU142" s="32">
        <v>0.28999999999999998</v>
      </c>
      <c r="DV142" s="32">
        <v>0.13</v>
      </c>
      <c r="DW142" s="32">
        <v>0.05</v>
      </c>
      <c r="DX142" s="32">
        <v>0.73</v>
      </c>
      <c r="DY142" s="32">
        <v>0.22</v>
      </c>
      <c r="DZ142" s="32">
        <v>0.09</v>
      </c>
      <c r="EA142" s="32">
        <v>0.24</v>
      </c>
      <c r="EB142" s="32">
        <v>0.18</v>
      </c>
      <c r="EC142" s="32">
        <v>0.16</v>
      </c>
      <c r="ED142" s="32">
        <v>0.23</v>
      </c>
      <c r="EE142" s="32">
        <v>0.64</v>
      </c>
      <c r="EF142" s="32">
        <v>0.28999999999999998</v>
      </c>
      <c r="EG142" s="32">
        <v>0.6</v>
      </c>
      <c r="EH142" s="32">
        <v>0.05</v>
      </c>
      <c r="EI142" s="32">
        <v>1</v>
      </c>
      <c r="EJ142" s="32">
        <v>0.13</v>
      </c>
      <c r="EK142" s="32">
        <v>0.45</v>
      </c>
      <c r="EL142" s="32">
        <v>0.54</v>
      </c>
      <c r="EM142" s="32">
        <v>0.19</v>
      </c>
      <c r="EN142" s="32">
        <v>0.11</v>
      </c>
      <c r="EO142" s="32">
        <v>7.0000000000000007E-2</v>
      </c>
    </row>
    <row r="143" spans="1:145" x14ac:dyDescent="0.25">
      <c r="A143" s="31" t="s">
        <v>222</v>
      </c>
      <c r="B143" s="32">
        <v>0.06</v>
      </c>
      <c r="C143" s="32">
        <v>-0.02</v>
      </c>
      <c r="D143" s="32">
        <v>0.06</v>
      </c>
      <c r="E143" s="32">
        <v>0.17</v>
      </c>
      <c r="F143" s="32">
        <v>0.02</v>
      </c>
      <c r="G143" s="32">
        <v>0.11</v>
      </c>
      <c r="H143" s="32">
        <v>0.1</v>
      </c>
      <c r="I143" s="32">
        <v>0.03</v>
      </c>
      <c r="J143" s="32">
        <v>-0.04</v>
      </c>
      <c r="K143" s="32">
        <v>0.01</v>
      </c>
      <c r="L143" s="32">
        <v>0.15</v>
      </c>
      <c r="M143" s="32">
        <v>0.32</v>
      </c>
      <c r="N143" s="32">
        <v>0.25</v>
      </c>
      <c r="O143" s="32">
        <v>0.09</v>
      </c>
      <c r="P143" s="32">
        <v>0.01</v>
      </c>
      <c r="Q143" s="32">
        <v>-0.02</v>
      </c>
      <c r="R143" s="32">
        <v>0.06</v>
      </c>
      <c r="S143" s="32">
        <v>7.0000000000000007E-2</v>
      </c>
      <c r="T143" s="32">
        <v>0.2</v>
      </c>
      <c r="U143" s="32">
        <v>0.2</v>
      </c>
      <c r="V143" s="32">
        <v>0.06</v>
      </c>
      <c r="W143" s="32">
        <v>0</v>
      </c>
      <c r="X143" s="32">
        <v>0.19</v>
      </c>
      <c r="Y143" s="32">
        <v>7.0000000000000007E-2</v>
      </c>
      <c r="Z143" s="32">
        <v>0.17</v>
      </c>
      <c r="AA143" s="32">
        <v>0.1</v>
      </c>
      <c r="AB143" s="32">
        <v>0.09</v>
      </c>
      <c r="AC143" s="32">
        <v>0.1</v>
      </c>
      <c r="AD143" s="32">
        <v>0.13</v>
      </c>
      <c r="AE143" s="32">
        <v>0.23</v>
      </c>
      <c r="AF143" s="32">
        <v>0.15</v>
      </c>
      <c r="AG143" s="32">
        <v>-0.03</v>
      </c>
      <c r="AH143" s="32">
        <v>-0.02</v>
      </c>
      <c r="AI143" s="32">
        <v>-0.03</v>
      </c>
      <c r="AJ143" s="32">
        <v>7.0000000000000007E-2</v>
      </c>
      <c r="AK143" s="32">
        <v>0.14000000000000001</v>
      </c>
      <c r="AL143" s="32">
        <v>0.19</v>
      </c>
      <c r="AM143" s="32">
        <v>0.22</v>
      </c>
      <c r="AN143" s="32">
        <v>0.16</v>
      </c>
      <c r="AO143" s="32">
        <v>0.1</v>
      </c>
      <c r="AP143" s="32">
        <v>0.23</v>
      </c>
      <c r="AQ143" s="32">
        <v>-0.06</v>
      </c>
      <c r="AR143" s="32">
        <v>0.23</v>
      </c>
      <c r="AS143" s="32">
        <v>0.15</v>
      </c>
      <c r="AT143" s="32">
        <v>0.3</v>
      </c>
      <c r="AU143" s="32">
        <v>-0.01</v>
      </c>
      <c r="AV143" s="32">
        <v>0.17</v>
      </c>
      <c r="AW143" s="32">
        <v>0.14000000000000001</v>
      </c>
      <c r="AX143" s="32">
        <v>0.23</v>
      </c>
      <c r="AY143" s="32">
        <v>0.14000000000000001</v>
      </c>
      <c r="AZ143" s="32">
        <v>0.21</v>
      </c>
      <c r="BA143" s="32">
        <v>0.16</v>
      </c>
      <c r="BB143" s="32">
        <v>0.27</v>
      </c>
      <c r="BC143" s="32">
        <v>0.14000000000000001</v>
      </c>
      <c r="BD143" s="32">
        <v>0.17</v>
      </c>
      <c r="BE143" s="32">
        <v>0.18</v>
      </c>
      <c r="BF143" s="32">
        <v>0.21</v>
      </c>
      <c r="BG143" s="32">
        <v>0.22</v>
      </c>
      <c r="BH143" s="32">
        <v>0.14000000000000001</v>
      </c>
      <c r="BI143" s="32">
        <v>0.11</v>
      </c>
      <c r="BJ143" s="32">
        <v>-0.01</v>
      </c>
      <c r="BK143" s="32">
        <v>0.19</v>
      </c>
      <c r="BL143" s="32">
        <v>0.15</v>
      </c>
      <c r="BM143" s="32">
        <v>0.13</v>
      </c>
      <c r="BN143" s="32">
        <v>0.02</v>
      </c>
      <c r="BO143" s="32">
        <v>0.24</v>
      </c>
      <c r="BP143" s="32">
        <v>0.18</v>
      </c>
      <c r="BQ143" s="32">
        <v>0.19</v>
      </c>
      <c r="BR143" s="32">
        <v>0.17</v>
      </c>
      <c r="BS143" s="32">
        <v>0.02</v>
      </c>
      <c r="BT143" s="32">
        <v>0.23</v>
      </c>
      <c r="BU143" s="32">
        <v>0.12</v>
      </c>
      <c r="BV143" s="32">
        <v>0.19</v>
      </c>
      <c r="BW143" s="32">
        <v>0.16</v>
      </c>
      <c r="BX143" s="32">
        <v>0.19</v>
      </c>
      <c r="BY143" s="32">
        <v>0.27</v>
      </c>
      <c r="BZ143" s="32">
        <v>0.26</v>
      </c>
      <c r="CA143" s="32">
        <v>0.16</v>
      </c>
      <c r="CB143" s="32">
        <v>0.04</v>
      </c>
      <c r="CC143" s="32">
        <v>0.11</v>
      </c>
      <c r="CD143" s="32">
        <v>0.24</v>
      </c>
      <c r="CE143" s="32">
        <v>0.09</v>
      </c>
      <c r="CF143" s="32">
        <v>-0.01</v>
      </c>
      <c r="CG143" s="32">
        <v>0.2</v>
      </c>
      <c r="CH143" s="32">
        <v>0.22</v>
      </c>
      <c r="CI143" s="32">
        <v>0</v>
      </c>
      <c r="CJ143" s="32">
        <v>0.08</v>
      </c>
      <c r="CK143" s="32">
        <v>0.19</v>
      </c>
      <c r="CL143" s="32">
        <v>0.32</v>
      </c>
      <c r="CM143" s="32">
        <v>0.15</v>
      </c>
      <c r="CN143" s="32">
        <v>0.14000000000000001</v>
      </c>
      <c r="CO143" s="32">
        <v>0.18</v>
      </c>
      <c r="CP143" s="32">
        <v>0.09</v>
      </c>
      <c r="CQ143" s="32">
        <v>0.39</v>
      </c>
      <c r="CR143" s="32">
        <v>0.31</v>
      </c>
      <c r="CS143" s="32">
        <v>0.23</v>
      </c>
      <c r="CT143" s="32">
        <v>0.26</v>
      </c>
      <c r="CU143" s="32">
        <v>0.19</v>
      </c>
      <c r="CV143" s="32">
        <v>0.17</v>
      </c>
      <c r="CW143" s="32">
        <v>0.16</v>
      </c>
      <c r="CX143" s="32">
        <v>0.26</v>
      </c>
      <c r="CY143" s="32">
        <v>0.33</v>
      </c>
      <c r="CZ143" s="32">
        <v>0.2</v>
      </c>
      <c r="DA143" s="32">
        <v>0.32</v>
      </c>
      <c r="DB143" s="32">
        <v>0.32</v>
      </c>
      <c r="DC143" s="32">
        <v>0.26</v>
      </c>
      <c r="DD143" s="32">
        <v>0.31</v>
      </c>
      <c r="DE143" s="32">
        <v>0.19</v>
      </c>
      <c r="DF143" s="32">
        <v>0.16</v>
      </c>
      <c r="DG143" s="32">
        <v>0.13</v>
      </c>
      <c r="DH143" s="32">
        <v>0.21</v>
      </c>
      <c r="DI143" s="32">
        <v>0.32</v>
      </c>
      <c r="DJ143" s="32">
        <v>0.36</v>
      </c>
      <c r="DK143" s="32">
        <v>0.36</v>
      </c>
      <c r="DL143" s="32">
        <v>0.06</v>
      </c>
      <c r="DM143" s="32">
        <v>0.32</v>
      </c>
      <c r="DN143" s="32">
        <v>0.13</v>
      </c>
      <c r="DO143" s="32">
        <v>0.22</v>
      </c>
      <c r="DP143" s="32">
        <v>0.28999999999999998</v>
      </c>
      <c r="DQ143" s="32">
        <v>0.21</v>
      </c>
      <c r="DR143" s="32">
        <v>0.25</v>
      </c>
      <c r="DS143" s="32">
        <v>0.16</v>
      </c>
      <c r="DT143" s="32">
        <v>0.28999999999999998</v>
      </c>
      <c r="DU143" s="32">
        <v>0.34</v>
      </c>
      <c r="DV143" s="32">
        <v>0.19</v>
      </c>
      <c r="DW143" s="32">
        <v>0.23</v>
      </c>
      <c r="DX143" s="32">
        <v>0.19</v>
      </c>
      <c r="DY143" s="32">
        <v>0.22</v>
      </c>
      <c r="DZ143" s="32">
        <v>0.14000000000000001</v>
      </c>
      <c r="EA143" s="32">
        <v>0.32</v>
      </c>
      <c r="EB143" s="32">
        <v>0.34</v>
      </c>
      <c r="EC143" s="32">
        <v>0.12</v>
      </c>
      <c r="ED143" s="32">
        <v>0.4</v>
      </c>
      <c r="EE143" s="32">
        <v>0.24</v>
      </c>
      <c r="EF143" s="32">
        <v>0.09</v>
      </c>
      <c r="EG143" s="32">
        <v>0.21</v>
      </c>
      <c r="EH143" s="32">
        <v>0.2</v>
      </c>
      <c r="EI143" s="32">
        <v>0.13</v>
      </c>
      <c r="EJ143" s="32">
        <v>1</v>
      </c>
      <c r="EK143" s="32">
        <v>0.35</v>
      </c>
      <c r="EL143" s="32">
        <v>0.3</v>
      </c>
      <c r="EM143" s="32">
        <v>0.32</v>
      </c>
      <c r="EN143" s="32">
        <v>0.23</v>
      </c>
      <c r="EO143" s="32">
        <v>0.08</v>
      </c>
    </row>
    <row r="144" spans="1:145" x14ac:dyDescent="0.25">
      <c r="A144" s="31" t="s">
        <v>223</v>
      </c>
      <c r="B144" s="32">
        <v>-0.03</v>
      </c>
      <c r="C144" s="32">
        <v>0.04</v>
      </c>
      <c r="D144" s="32">
        <v>0.04</v>
      </c>
      <c r="E144" s="32">
        <v>0.06</v>
      </c>
      <c r="F144" s="32">
        <v>-0.05</v>
      </c>
      <c r="G144" s="32">
        <v>0.05</v>
      </c>
      <c r="H144" s="32">
        <v>0.06</v>
      </c>
      <c r="I144" s="32">
        <v>-0.01</v>
      </c>
      <c r="J144" s="32">
        <v>-0.08</v>
      </c>
      <c r="K144" s="32">
        <v>-7.0000000000000007E-2</v>
      </c>
      <c r="L144" s="32">
        <v>0.11</v>
      </c>
      <c r="M144" s="32">
        <v>0.28000000000000003</v>
      </c>
      <c r="N144" s="32">
        <v>0.11</v>
      </c>
      <c r="O144" s="32">
        <v>0.08</v>
      </c>
      <c r="P144" s="32">
        <v>-0.04</v>
      </c>
      <c r="Q144" s="32">
        <v>0.01</v>
      </c>
      <c r="R144" s="32">
        <v>-0.02</v>
      </c>
      <c r="S144" s="32">
        <v>-0.05</v>
      </c>
      <c r="T144" s="32">
        <v>0.2</v>
      </c>
      <c r="U144" s="32">
        <v>0.14000000000000001</v>
      </c>
      <c r="V144" s="32">
        <v>0.04</v>
      </c>
      <c r="W144" s="32">
        <v>0.12</v>
      </c>
      <c r="X144" s="32">
        <v>0.3</v>
      </c>
      <c r="Y144" s="32">
        <v>0.01</v>
      </c>
      <c r="Z144" s="32">
        <v>0.13</v>
      </c>
      <c r="AA144" s="32">
        <v>0.05</v>
      </c>
      <c r="AB144" s="32">
        <v>-0.01</v>
      </c>
      <c r="AC144" s="32">
        <v>0.14000000000000001</v>
      </c>
      <c r="AD144" s="32">
        <v>0.11</v>
      </c>
      <c r="AE144" s="32">
        <v>0.1</v>
      </c>
      <c r="AF144" s="32">
        <v>0.1</v>
      </c>
      <c r="AG144" s="32">
        <v>-0.04</v>
      </c>
      <c r="AH144" s="32">
        <v>-0.03</v>
      </c>
      <c r="AI144" s="32">
        <v>0.05</v>
      </c>
      <c r="AJ144" s="32">
        <v>0.12</v>
      </c>
      <c r="AK144" s="32">
        <v>0.14000000000000001</v>
      </c>
      <c r="AL144" s="32">
        <v>0.08</v>
      </c>
      <c r="AM144" s="32">
        <v>0.17</v>
      </c>
      <c r="AN144" s="32">
        <v>0.09</v>
      </c>
      <c r="AO144" s="32">
        <v>0</v>
      </c>
      <c r="AP144" s="32">
        <v>0.15</v>
      </c>
      <c r="AQ144" s="32">
        <v>0.02</v>
      </c>
      <c r="AR144" s="32">
        <v>0.2</v>
      </c>
      <c r="AS144" s="32">
        <v>0.09</v>
      </c>
      <c r="AT144" s="32">
        <v>0.21</v>
      </c>
      <c r="AU144" s="32">
        <v>-0.02</v>
      </c>
      <c r="AV144" s="32">
        <v>0.16</v>
      </c>
      <c r="AW144" s="32">
        <v>0.13</v>
      </c>
      <c r="AX144" s="32">
        <v>0.11</v>
      </c>
      <c r="AY144" s="32">
        <v>0.14000000000000001</v>
      </c>
      <c r="AZ144" s="32">
        <v>0.14000000000000001</v>
      </c>
      <c r="BA144" s="32">
        <v>0.17</v>
      </c>
      <c r="BB144" s="32">
        <v>0.34</v>
      </c>
      <c r="BC144" s="32">
        <v>0.18</v>
      </c>
      <c r="BD144" s="32">
        <v>0.16</v>
      </c>
      <c r="BE144" s="32">
        <v>0.09</v>
      </c>
      <c r="BF144" s="32">
        <v>0.15</v>
      </c>
      <c r="BG144" s="32">
        <v>0.2</v>
      </c>
      <c r="BH144" s="32">
        <v>0.17</v>
      </c>
      <c r="BI144" s="32">
        <v>0.02</v>
      </c>
      <c r="BJ144" s="32">
        <v>0.06</v>
      </c>
      <c r="BK144" s="32">
        <v>0.15</v>
      </c>
      <c r="BL144" s="32">
        <v>0.3</v>
      </c>
      <c r="BM144" s="32">
        <v>0.12</v>
      </c>
      <c r="BN144" s="32">
        <v>0.06</v>
      </c>
      <c r="BO144" s="32">
        <v>0.21</v>
      </c>
      <c r="BP144" s="32">
        <v>0.27</v>
      </c>
      <c r="BQ144" s="32">
        <v>0.28000000000000003</v>
      </c>
      <c r="BR144" s="32">
        <v>0.24</v>
      </c>
      <c r="BS144" s="32">
        <v>0.08</v>
      </c>
      <c r="BT144" s="32">
        <v>0.27</v>
      </c>
      <c r="BU144" s="32">
        <v>0.01</v>
      </c>
      <c r="BV144" s="32">
        <v>0.24</v>
      </c>
      <c r="BW144" s="32">
        <v>0.17</v>
      </c>
      <c r="BX144" s="32">
        <v>7.0000000000000007E-2</v>
      </c>
      <c r="BY144" s="32">
        <v>0.24</v>
      </c>
      <c r="BZ144" s="32">
        <v>0.28000000000000003</v>
      </c>
      <c r="CA144" s="32">
        <v>0.13</v>
      </c>
      <c r="CB144" s="32">
        <v>0.02</v>
      </c>
      <c r="CC144" s="32">
        <v>0.15</v>
      </c>
      <c r="CD144" s="32">
        <v>0.15</v>
      </c>
      <c r="CE144" s="32">
        <v>0.27</v>
      </c>
      <c r="CF144" s="32">
        <v>0.04</v>
      </c>
      <c r="CG144" s="32">
        <v>0.09</v>
      </c>
      <c r="CH144" s="32">
        <v>0.35</v>
      </c>
      <c r="CI144" s="32">
        <v>0.08</v>
      </c>
      <c r="CJ144" s="32">
        <v>0.14000000000000001</v>
      </c>
      <c r="CK144" s="32">
        <v>0.02</v>
      </c>
      <c r="CL144" s="32">
        <v>0.22</v>
      </c>
      <c r="CM144" s="32">
        <v>0.4</v>
      </c>
      <c r="CN144" s="32">
        <v>0.13</v>
      </c>
      <c r="CO144" s="32">
        <v>0.05</v>
      </c>
      <c r="CP144" s="32">
        <v>0.17</v>
      </c>
      <c r="CQ144" s="32">
        <v>0.31</v>
      </c>
      <c r="CR144" s="32">
        <v>0.48</v>
      </c>
      <c r="CS144" s="32">
        <v>0.48</v>
      </c>
      <c r="CT144" s="32">
        <v>0.28000000000000003</v>
      </c>
      <c r="CU144" s="32">
        <v>0.28999999999999998</v>
      </c>
      <c r="CV144" s="32">
        <v>0.1</v>
      </c>
      <c r="CW144" s="32">
        <v>0.2</v>
      </c>
      <c r="CX144" s="32">
        <v>0.32</v>
      </c>
      <c r="CY144" s="32">
        <v>0.21</v>
      </c>
      <c r="CZ144" s="32">
        <v>0.13</v>
      </c>
      <c r="DA144" s="32">
        <v>0.24</v>
      </c>
      <c r="DB144" s="32">
        <v>0.39</v>
      </c>
      <c r="DC144" s="32">
        <v>0.18</v>
      </c>
      <c r="DD144" s="32">
        <v>0.35</v>
      </c>
      <c r="DE144" s="32">
        <v>0.46</v>
      </c>
      <c r="DF144" s="32">
        <v>0.05</v>
      </c>
      <c r="DG144" s="32">
        <v>0.41</v>
      </c>
      <c r="DH144" s="32">
        <v>0.41</v>
      </c>
      <c r="DI144" s="32">
        <v>0.3</v>
      </c>
      <c r="DJ144" s="32">
        <v>0.13</v>
      </c>
      <c r="DK144" s="32">
        <v>0.35</v>
      </c>
      <c r="DL144" s="32">
        <v>0.26</v>
      </c>
      <c r="DM144" s="32">
        <v>0.2</v>
      </c>
      <c r="DN144" s="32">
        <v>0.18</v>
      </c>
      <c r="DO144" s="32">
        <v>0.32</v>
      </c>
      <c r="DP144" s="32">
        <v>0.15</v>
      </c>
      <c r="DQ144" s="32">
        <v>0.24</v>
      </c>
      <c r="DR144" s="32">
        <v>0.32</v>
      </c>
      <c r="DS144" s="32">
        <v>-0.01</v>
      </c>
      <c r="DT144" s="32">
        <v>0.38</v>
      </c>
      <c r="DU144" s="32">
        <v>0.53</v>
      </c>
      <c r="DV144" s="32">
        <v>0.26</v>
      </c>
      <c r="DW144" s="32">
        <v>0.17</v>
      </c>
      <c r="DX144" s="32">
        <v>0.47</v>
      </c>
      <c r="DY144" s="32">
        <v>0.31</v>
      </c>
      <c r="DZ144" s="32">
        <v>0.13</v>
      </c>
      <c r="EA144" s="32">
        <v>0.24</v>
      </c>
      <c r="EB144" s="32">
        <v>0.4</v>
      </c>
      <c r="EC144" s="32">
        <v>0.17</v>
      </c>
      <c r="ED144" s="32">
        <v>0.36</v>
      </c>
      <c r="EE144" s="32">
        <v>0.54</v>
      </c>
      <c r="EF144" s="32">
        <v>0.28000000000000003</v>
      </c>
      <c r="EG144" s="32">
        <v>0.4</v>
      </c>
      <c r="EH144" s="32">
        <v>0.19</v>
      </c>
      <c r="EI144" s="32">
        <v>0.45</v>
      </c>
      <c r="EJ144" s="32">
        <v>0.35</v>
      </c>
      <c r="EK144" s="32">
        <v>1</v>
      </c>
      <c r="EL144" s="32">
        <v>0.78</v>
      </c>
      <c r="EM144" s="32">
        <v>0.25</v>
      </c>
      <c r="EN144" s="32">
        <v>0.2</v>
      </c>
      <c r="EO144" s="32">
        <v>0.19</v>
      </c>
    </row>
    <row r="145" spans="1:145" x14ac:dyDescent="0.25">
      <c r="A145" s="31" t="s">
        <v>224</v>
      </c>
      <c r="B145" s="32">
        <v>-0.11</v>
      </c>
      <c r="C145" s="32">
        <v>0.02</v>
      </c>
      <c r="D145" s="32">
        <v>0.09</v>
      </c>
      <c r="E145" s="32">
        <v>0.08</v>
      </c>
      <c r="F145" s="32">
        <v>-0.16</v>
      </c>
      <c r="G145" s="32">
        <v>0.05</v>
      </c>
      <c r="H145" s="32">
        <v>0.09</v>
      </c>
      <c r="I145" s="32">
        <v>-0.09</v>
      </c>
      <c r="J145" s="32">
        <v>-7.0000000000000007E-2</v>
      </c>
      <c r="K145" s="32">
        <v>-0.1</v>
      </c>
      <c r="L145" s="32">
        <v>0.14000000000000001</v>
      </c>
      <c r="M145" s="32">
        <v>0.32</v>
      </c>
      <c r="N145" s="32">
        <v>0.02</v>
      </c>
      <c r="O145" s="32">
        <v>0.17</v>
      </c>
      <c r="P145" s="32">
        <v>-0.09</v>
      </c>
      <c r="Q145" s="32">
        <v>0.03</v>
      </c>
      <c r="R145" s="32">
        <v>-0.14000000000000001</v>
      </c>
      <c r="S145" s="32">
        <v>0.01</v>
      </c>
      <c r="T145" s="32">
        <v>0.22</v>
      </c>
      <c r="U145" s="32">
        <v>0.21</v>
      </c>
      <c r="V145" s="32">
        <v>0.11</v>
      </c>
      <c r="W145" s="32">
        <v>0.12</v>
      </c>
      <c r="X145" s="32">
        <v>0.27</v>
      </c>
      <c r="Y145" s="32">
        <v>-0.05</v>
      </c>
      <c r="Z145" s="32">
        <v>0.12</v>
      </c>
      <c r="AA145" s="32">
        <v>0.11</v>
      </c>
      <c r="AB145" s="32">
        <v>-0.06</v>
      </c>
      <c r="AC145" s="32">
        <v>0.12</v>
      </c>
      <c r="AD145" s="32">
        <v>0.16</v>
      </c>
      <c r="AE145" s="32">
        <v>0.19</v>
      </c>
      <c r="AF145" s="32">
        <v>0.17</v>
      </c>
      <c r="AG145" s="32">
        <v>-0.18</v>
      </c>
      <c r="AH145" s="32">
        <v>-0.19</v>
      </c>
      <c r="AI145" s="32">
        <v>-0.17</v>
      </c>
      <c r="AJ145" s="32">
        <v>0.17</v>
      </c>
      <c r="AK145" s="32">
        <v>0.26</v>
      </c>
      <c r="AL145" s="32">
        <v>0.1</v>
      </c>
      <c r="AM145" s="32">
        <v>0.22</v>
      </c>
      <c r="AN145" s="32">
        <v>0.13</v>
      </c>
      <c r="AO145" s="32">
        <v>-0.05</v>
      </c>
      <c r="AP145" s="32">
        <v>0.1</v>
      </c>
      <c r="AQ145" s="32">
        <v>-0.14000000000000001</v>
      </c>
      <c r="AR145" s="32">
        <v>0.16</v>
      </c>
      <c r="AS145" s="32">
        <v>0.16</v>
      </c>
      <c r="AT145" s="32">
        <v>0.2</v>
      </c>
      <c r="AU145" s="32">
        <v>-0.02</v>
      </c>
      <c r="AV145" s="32">
        <v>0.17</v>
      </c>
      <c r="AW145" s="32">
        <v>0.16</v>
      </c>
      <c r="AX145" s="32">
        <v>0</v>
      </c>
      <c r="AY145" s="32">
        <v>0.13</v>
      </c>
      <c r="AZ145" s="32">
        <v>0.24</v>
      </c>
      <c r="BA145" s="32">
        <v>0.16</v>
      </c>
      <c r="BB145" s="32">
        <v>0.38</v>
      </c>
      <c r="BC145" s="32">
        <v>0.15</v>
      </c>
      <c r="BD145" s="32">
        <v>0.23</v>
      </c>
      <c r="BE145" s="32">
        <v>0.06</v>
      </c>
      <c r="BF145" s="32">
        <v>0.17</v>
      </c>
      <c r="BG145" s="32">
        <v>0.17</v>
      </c>
      <c r="BH145" s="32">
        <v>0.16</v>
      </c>
      <c r="BI145" s="32">
        <v>0.1</v>
      </c>
      <c r="BJ145" s="32">
        <v>0.11</v>
      </c>
      <c r="BK145" s="32">
        <v>0.21</v>
      </c>
      <c r="BL145" s="32">
        <v>0.35</v>
      </c>
      <c r="BM145" s="32">
        <v>7.0000000000000007E-2</v>
      </c>
      <c r="BN145" s="32">
        <v>-0.02</v>
      </c>
      <c r="BO145" s="32">
        <v>0.2</v>
      </c>
      <c r="BP145" s="32">
        <v>0.23</v>
      </c>
      <c r="BQ145" s="32">
        <v>0.32</v>
      </c>
      <c r="BR145" s="32">
        <v>0.28000000000000003</v>
      </c>
      <c r="BS145" s="32">
        <v>-0.09</v>
      </c>
      <c r="BT145" s="32">
        <v>0.39</v>
      </c>
      <c r="BU145" s="32">
        <v>0.1</v>
      </c>
      <c r="BV145" s="32">
        <v>0.21</v>
      </c>
      <c r="BW145" s="32">
        <v>0.18</v>
      </c>
      <c r="BX145" s="32">
        <v>0.06</v>
      </c>
      <c r="BY145" s="32">
        <v>0.22</v>
      </c>
      <c r="BZ145" s="32">
        <v>0.3</v>
      </c>
      <c r="CA145" s="32">
        <v>0.19</v>
      </c>
      <c r="CB145" s="32">
        <v>-0.08</v>
      </c>
      <c r="CC145" s="32">
        <v>0.05</v>
      </c>
      <c r="CD145" s="32">
        <v>0.17</v>
      </c>
      <c r="CE145" s="32">
        <v>0.21</v>
      </c>
      <c r="CF145" s="32">
        <v>-0.14000000000000001</v>
      </c>
      <c r="CG145" s="32">
        <v>7.0000000000000007E-2</v>
      </c>
      <c r="CH145" s="32">
        <v>0.46</v>
      </c>
      <c r="CI145" s="32">
        <v>-0.13</v>
      </c>
      <c r="CJ145" s="32">
        <v>-0.03</v>
      </c>
      <c r="CK145" s="32">
        <v>-0.03</v>
      </c>
      <c r="CL145" s="32">
        <v>0.21</v>
      </c>
      <c r="CM145" s="32">
        <v>0.43</v>
      </c>
      <c r="CN145" s="32">
        <v>0.16</v>
      </c>
      <c r="CO145" s="32">
        <v>0.08</v>
      </c>
      <c r="CP145" s="32">
        <v>0.13</v>
      </c>
      <c r="CQ145" s="32">
        <v>0.37</v>
      </c>
      <c r="CR145" s="32">
        <v>0.56999999999999995</v>
      </c>
      <c r="CS145" s="32">
        <v>0.51</v>
      </c>
      <c r="CT145" s="32">
        <v>0.25</v>
      </c>
      <c r="CU145" s="32">
        <v>0.28999999999999998</v>
      </c>
      <c r="CV145" s="32">
        <v>0.12</v>
      </c>
      <c r="CW145" s="32">
        <v>0.22</v>
      </c>
      <c r="CX145" s="32">
        <v>0.33</v>
      </c>
      <c r="CY145" s="32">
        <v>0.28000000000000003</v>
      </c>
      <c r="CZ145" s="32">
        <v>7.0000000000000007E-2</v>
      </c>
      <c r="DA145" s="32">
        <v>0.14000000000000001</v>
      </c>
      <c r="DB145" s="32">
        <v>0.35</v>
      </c>
      <c r="DC145" s="32">
        <v>0.3</v>
      </c>
      <c r="DD145" s="32">
        <v>0.28000000000000003</v>
      </c>
      <c r="DE145" s="32">
        <v>0.52</v>
      </c>
      <c r="DF145" s="32">
        <v>-0.06</v>
      </c>
      <c r="DG145" s="32">
        <v>0.47</v>
      </c>
      <c r="DH145" s="32">
        <v>0.43</v>
      </c>
      <c r="DI145" s="32">
        <v>0.32</v>
      </c>
      <c r="DJ145" s="32">
        <v>0.21</v>
      </c>
      <c r="DK145" s="32">
        <v>0.42</v>
      </c>
      <c r="DL145" s="32">
        <v>0.35</v>
      </c>
      <c r="DM145" s="32">
        <v>0.28000000000000003</v>
      </c>
      <c r="DN145" s="32">
        <v>0.09</v>
      </c>
      <c r="DO145" s="32">
        <v>0.32</v>
      </c>
      <c r="DP145" s="32">
        <v>0.24</v>
      </c>
      <c r="DQ145" s="32">
        <v>0.27</v>
      </c>
      <c r="DR145" s="32">
        <v>0.36</v>
      </c>
      <c r="DS145" s="32">
        <v>0.02</v>
      </c>
      <c r="DT145" s="32">
        <v>0.37</v>
      </c>
      <c r="DU145" s="32">
        <v>0.5</v>
      </c>
      <c r="DV145" s="32">
        <v>0.2</v>
      </c>
      <c r="DW145" s="32">
        <v>0.18</v>
      </c>
      <c r="DX145" s="32">
        <v>0.55000000000000004</v>
      </c>
      <c r="DY145" s="32">
        <v>0.31</v>
      </c>
      <c r="DZ145" s="32">
        <v>0.09</v>
      </c>
      <c r="EA145" s="32">
        <v>0.28000000000000003</v>
      </c>
      <c r="EB145" s="32">
        <v>0.36</v>
      </c>
      <c r="EC145" s="32">
        <v>0.2</v>
      </c>
      <c r="ED145" s="32">
        <v>0.28000000000000003</v>
      </c>
      <c r="EE145" s="32">
        <v>0.57999999999999996</v>
      </c>
      <c r="EF145" s="32">
        <v>0.32</v>
      </c>
      <c r="EG145" s="32">
        <v>0.44</v>
      </c>
      <c r="EH145" s="32">
        <v>0.12</v>
      </c>
      <c r="EI145" s="32">
        <v>0.54</v>
      </c>
      <c r="EJ145" s="32">
        <v>0.3</v>
      </c>
      <c r="EK145" s="32">
        <v>0.78</v>
      </c>
      <c r="EL145" s="32">
        <v>1</v>
      </c>
      <c r="EM145" s="32">
        <v>0.28000000000000003</v>
      </c>
      <c r="EN145" s="32">
        <v>0.16</v>
      </c>
      <c r="EO145" s="32">
        <v>0.14000000000000001</v>
      </c>
    </row>
    <row r="146" spans="1:145" x14ac:dyDescent="0.25">
      <c r="A146" s="31" t="s">
        <v>225</v>
      </c>
      <c r="B146" s="32">
        <v>-7.0000000000000007E-2</v>
      </c>
      <c r="C146" s="32">
        <v>-0.06</v>
      </c>
      <c r="D146" s="32">
        <v>0.02</v>
      </c>
      <c r="E146" s="32">
        <v>0.04</v>
      </c>
      <c r="F146" s="32">
        <v>-0.08</v>
      </c>
      <c r="G146" s="32">
        <v>-0.04</v>
      </c>
      <c r="H146" s="32">
        <v>0.02</v>
      </c>
      <c r="I146" s="32">
        <v>0</v>
      </c>
      <c r="J146" s="32">
        <v>-0.08</v>
      </c>
      <c r="K146" s="32">
        <v>-0.09</v>
      </c>
      <c r="L146" s="32">
        <v>0.02</v>
      </c>
      <c r="M146" s="32">
        <v>0.18</v>
      </c>
      <c r="N146" s="32">
        <v>0.08</v>
      </c>
      <c r="O146" s="32">
        <v>0.03</v>
      </c>
      <c r="P146" s="32">
        <v>-0.17</v>
      </c>
      <c r="Q146" s="32">
        <v>0</v>
      </c>
      <c r="R146" s="32">
        <v>-7.0000000000000007E-2</v>
      </c>
      <c r="S146" s="32">
        <v>0.03</v>
      </c>
      <c r="T146" s="32">
        <v>7.0000000000000007E-2</v>
      </c>
      <c r="U146" s="32">
        <v>0.09</v>
      </c>
      <c r="V146" s="32">
        <v>-0.1</v>
      </c>
      <c r="W146" s="32">
        <v>0.01</v>
      </c>
      <c r="X146" s="32">
        <v>0.11</v>
      </c>
      <c r="Y146" s="32">
        <v>-0.02</v>
      </c>
      <c r="Z146" s="32">
        <v>0.08</v>
      </c>
      <c r="AA146" s="32">
        <v>-0.01</v>
      </c>
      <c r="AB146" s="32">
        <v>0.05</v>
      </c>
      <c r="AC146" s="32">
        <v>-0.01</v>
      </c>
      <c r="AD146" s="32">
        <v>0.06</v>
      </c>
      <c r="AE146" s="32">
        <v>-0.06</v>
      </c>
      <c r="AF146" s="32">
        <v>0.01</v>
      </c>
      <c r="AG146" s="32">
        <v>-7.0000000000000007E-2</v>
      </c>
      <c r="AH146" s="32">
        <v>-0.03</v>
      </c>
      <c r="AI146" s="32">
        <v>-7.0000000000000007E-2</v>
      </c>
      <c r="AJ146" s="32">
        <v>0.02</v>
      </c>
      <c r="AK146" s="32">
        <v>0.01</v>
      </c>
      <c r="AL146" s="32">
        <v>0.08</v>
      </c>
      <c r="AM146" s="32">
        <v>0.11</v>
      </c>
      <c r="AN146" s="32">
        <v>0.04</v>
      </c>
      <c r="AO146" s="32">
        <v>-0.04</v>
      </c>
      <c r="AP146" s="32">
        <v>0.16</v>
      </c>
      <c r="AQ146" s="32">
        <v>-0.05</v>
      </c>
      <c r="AR146" s="32">
        <v>0.08</v>
      </c>
      <c r="AS146" s="32">
        <v>-0.03</v>
      </c>
      <c r="AT146" s="32">
        <v>0.11</v>
      </c>
      <c r="AU146" s="32">
        <v>-0.05</v>
      </c>
      <c r="AV146" s="32">
        <v>0.04</v>
      </c>
      <c r="AW146" s="32">
        <v>0.05</v>
      </c>
      <c r="AX146" s="32">
        <v>0.03</v>
      </c>
      <c r="AY146" s="32">
        <v>0.08</v>
      </c>
      <c r="AZ146" s="32">
        <v>-0.04</v>
      </c>
      <c r="BA146" s="32">
        <v>0.18</v>
      </c>
      <c r="BB146" s="32">
        <v>0.13</v>
      </c>
      <c r="BC146" s="32">
        <v>0.06</v>
      </c>
      <c r="BD146" s="32">
        <v>0.08</v>
      </c>
      <c r="BE146" s="32">
        <v>0.06</v>
      </c>
      <c r="BF146" s="32">
        <v>-0.03</v>
      </c>
      <c r="BG146" s="32">
        <v>0.15</v>
      </c>
      <c r="BH146" s="32">
        <v>0.1</v>
      </c>
      <c r="BI146" s="32">
        <v>0.08</v>
      </c>
      <c r="BJ146" s="32">
        <v>0.03</v>
      </c>
      <c r="BK146" s="32">
        <v>-0.06</v>
      </c>
      <c r="BL146" s="32">
        <v>0.09</v>
      </c>
      <c r="BM146" s="32">
        <v>7.0000000000000007E-2</v>
      </c>
      <c r="BN146" s="32">
        <v>0</v>
      </c>
      <c r="BO146" s="32">
        <v>0.15</v>
      </c>
      <c r="BP146" s="32">
        <v>0.3</v>
      </c>
      <c r="BQ146" s="32">
        <v>0.13</v>
      </c>
      <c r="BR146" s="32">
        <v>0.19</v>
      </c>
      <c r="BS146" s="32">
        <v>-0.02</v>
      </c>
      <c r="BT146" s="32">
        <v>0.18</v>
      </c>
      <c r="BU146" s="32">
        <v>0.08</v>
      </c>
      <c r="BV146" s="32">
        <v>0.18</v>
      </c>
      <c r="BW146" s="32">
        <v>0.18</v>
      </c>
      <c r="BX146" s="32">
        <v>0.1</v>
      </c>
      <c r="BY146" s="32">
        <v>0.08</v>
      </c>
      <c r="BZ146" s="32">
        <v>0.25</v>
      </c>
      <c r="CA146" s="32">
        <v>-0.04</v>
      </c>
      <c r="CB146" s="32">
        <v>0</v>
      </c>
      <c r="CC146" s="32">
        <v>0.05</v>
      </c>
      <c r="CD146" s="32">
        <v>0.22</v>
      </c>
      <c r="CE146" s="32">
        <v>7.0000000000000007E-2</v>
      </c>
      <c r="CF146" s="32">
        <v>0</v>
      </c>
      <c r="CG146" s="32">
        <v>0.12</v>
      </c>
      <c r="CH146" s="32">
        <v>0.18</v>
      </c>
      <c r="CI146" s="32">
        <v>-0.01</v>
      </c>
      <c r="CJ146" s="32">
        <v>0.09</v>
      </c>
      <c r="CK146" s="32">
        <v>0.14000000000000001</v>
      </c>
      <c r="CL146" s="32">
        <v>0.22</v>
      </c>
      <c r="CM146" s="32">
        <v>0.21</v>
      </c>
      <c r="CN146" s="32">
        <v>0.11</v>
      </c>
      <c r="CO146" s="32">
        <v>0.05</v>
      </c>
      <c r="CP146" s="32">
        <v>0.14000000000000001</v>
      </c>
      <c r="CQ146" s="32">
        <v>0.19</v>
      </c>
      <c r="CR146" s="32">
        <v>0.2</v>
      </c>
      <c r="CS146" s="32">
        <v>7.0000000000000007E-2</v>
      </c>
      <c r="CT146" s="32">
        <v>0.02</v>
      </c>
      <c r="CU146" s="32">
        <v>0.09</v>
      </c>
      <c r="CV146" s="32">
        <v>0.1</v>
      </c>
      <c r="CW146" s="32">
        <v>0.15</v>
      </c>
      <c r="CX146" s="32">
        <v>0.28999999999999998</v>
      </c>
      <c r="CY146" s="32">
        <v>0.11</v>
      </c>
      <c r="CZ146" s="32">
        <v>0.15</v>
      </c>
      <c r="DA146" s="32">
        <v>0.11</v>
      </c>
      <c r="DB146" s="32">
        <v>0.14000000000000001</v>
      </c>
      <c r="DC146" s="32">
        <v>7.0000000000000007E-2</v>
      </c>
      <c r="DD146" s="32">
        <v>0.21</v>
      </c>
      <c r="DE146" s="32">
        <v>0.16</v>
      </c>
      <c r="DF146" s="32">
        <v>0.19</v>
      </c>
      <c r="DG146" s="32">
        <v>0.14000000000000001</v>
      </c>
      <c r="DH146" s="32">
        <v>0.18</v>
      </c>
      <c r="DI146" s="32">
        <v>0.16</v>
      </c>
      <c r="DJ146" s="32">
        <v>0.12</v>
      </c>
      <c r="DK146" s="32">
        <v>0.2</v>
      </c>
      <c r="DL146" s="32">
        <v>0</v>
      </c>
      <c r="DM146" s="32">
        <v>0.13</v>
      </c>
      <c r="DN146" s="32">
        <v>0.14000000000000001</v>
      </c>
      <c r="DO146" s="32">
        <v>0.11</v>
      </c>
      <c r="DP146" s="32">
        <v>0.15</v>
      </c>
      <c r="DQ146" s="32">
        <v>0.22</v>
      </c>
      <c r="DR146" s="32">
        <v>0.23</v>
      </c>
      <c r="DS146" s="32">
        <v>0.16</v>
      </c>
      <c r="DT146" s="32">
        <v>0.36</v>
      </c>
      <c r="DU146" s="32">
        <v>0.35</v>
      </c>
      <c r="DV146" s="32">
        <v>0.31</v>
      </c>
      <c r="DW146" s="32">
        <v>0.23</v>
      </c>
      <c r="DX146" s="32">
        <v>0.13</v>
      </c>
      <c r="DY146" s="32">
        <v>0.21</v>
      </c>
      <c r="DZ146" s="32">
        <v>0.23</v>
      </c>
      <c r="EA146" s="32">
        <v>0.27</v>
      </c>
      <c r="EB146" s="32">
        <v>0.3</v>
      </c>
      <c r="EC146" s="32">
        <v>0</v>
      </c>
      <c r="ED146" s="32">
        <v>0.16</v>
      </c>
      <c r="EE146" s="32">
        <v>0.22</v>
      </c>
      <c r="EF146" s="32">
        <v>0.14000000000000001</v>
      </c>
      <c r="EG146" s="32">
        <v>0.13</v>
      </c>
      <c r="EH146" s="32">
        <v>0.33</v>
      </c>
      <c r="EI146" s="32">
        <v>0.19</v>
      </c>
      <c r="EJ146" s="32">
        <v>0.32</v>
      </c>
      <c r="EK146" s="32">
        <v>0.25</v>
      </c>
      <c r="EL146" s="32">
        <v>0.28000000000000003</v>
      </c>
      <c r="EM146" s="32">
        <v>1</v>
      </c>
      <c r="EN146" s="32">
        <v>0.13</v>
      </c>
      <c r="EO146" s="32">
        <v>0.06</v>
      </c>
    </row>
    <row r="147" spans="1:145" x14ac:dyDescent="0.25">
      <c r="A147" s="31" t="s">
        <v>226</v>
      </c>
      <c r="B147" s="32">
        <v>0.02</v>
      </c>
      <c r="C147" s="32">
        <v>-0.01</v>
      </c>
      <c r="D147" s="32">
        <v>0.01</v>
      </c>
      <c r="E147" s="32">
        <v>0.03</v>
      </c>
      <c r="F147" s="32">
        <v>0.08</v>
      </c>
      <c r="G147" s="32">
        <v>0.03</v>
      </c>
      <c r="H147" s="32">
        <v>0.03</v>
      </c>
      <c r="I147" s="32">
        <v>0.09</v>
      </c>
      <c r="J147" s="32">
        <v>0.14000000000000001</v>
      </c>
      <c r="K147" s="32">
        <v>0.1</v>
      </c>
      <c r="L147" s="32">
        <v>0</v>
      </c>
      <c r="M147" s="32">
        <v>0.21</v>
      </c>
      <c r="N147" s="32">
        <v>0.28999999999999998</v>
      </c>
      <c r="O147" s="32">
        <v>-0.01</v>
      </c>
      <c r="P147" s="32">
        <v>0.02</v>
      </c>
      <c r="Q147" s="32">
        <v>-7.0000000000000007E-2</v>
      </c>
      <c r="R147" s="32">
        <v>0.1</v>
      </c>
      <c r="S147" s="32">
        <v>7.0000000000000007E-2</v>
      </c>
      <c r="T147" s="32">
        <v>7.0000000000000007E-2</v>
      </c>
      <c r="U147" s="32">
        <v>0.19</v>
      </c>
      <c r="V147" s="32">
        <v>-0.01</v>
      </c>
      <c r="W147" s="32">
        <v>0.11</v>
      </c>
      <c r="X147" s="32">
        <v>0.08</v>
      </c>
      <c r="Y147" s="32">
        <v>0.09</v>
      </c>
      <c r="Z147" s="32">
        <v>0.1</v>
      </c>
      <c r="AA147" s="32">
        <v>0.16</v>
      </c>
      <c r="AB147" s="32">
        <v>0.08</v>
      </c>
      <c r="AC147" s="32">
        <v>0.03</v>
      </c>
      <c r="AD147" s="32">
        <v>0.04</v>
      </c>
      <c r="AE147" s="32">
        <v>7.0000000000000007E-2</v>
      </c>
      <c r="AF147" s="32">
        <v>0.04</v>
      </c>
      <c r="AG147" s="32">
        <v>-0.05</v>
      </c>
      <c r="AH147" s="32">
        <v>-0.02</v>
      </c>
      <c r="AI147" s="32">
        <v>-0.06</v>
      </c>
      <c r="AJ147" s="32">
        <v>0.11</v>
      </c>
      <c r="AK147" s="32">
        <v>0.03</v>
      </c>
      <c r="AL147" s="32">
        <v>0.18</v>
      </c>
      <c r="AM147" s="32">
        <v>0.12</v>
      </c>
      <c r="AN147" s="32">
        <v>0.19</v>
      </c>
      <c r="AO147" s="32">
        <v>0.22</v>
      </c>
      <c r="AP147" s="32">
        <v>0.24</v>
      </c>
      <c r="AQ147" s="32">
        <v>-0.08</v>
      </c>
      <c r="AR147" s="32">
        <v>0.04</v>
      </c>
      <c r="AS147" s="32">
        <v>7.0000000000000007E-2</v>
      </c>
      <c r="AT147" s="32">
        <v>0.18</v>
      </c>
      <c r="AU147" s="32">
        <v>7.0000000000000007E-2</v>
      </c>
      <c r="AV147" s="32">
        <v>0.02</v>
      </c>
      <c r="AW147" s="32">
        <v>0.08</v>
      </c>
      <c r="AX147" s="32">
        <v>0.23</v>
      </c>
      <c r="AY147" s="32">
        <v>0.09</v>
      </c>
      <c r="AZ147" s="32">
        <v>0.11</v>
      </c>
      <c r="BA147" s="32">
        <v>0.06</v>
      </c>
      <c r="BB147" s="32">
        <v>0.08</v>
      </c>
      <c r="BC147" s="32">
        <v>0.03</v>
      </c>
      <c r="BD147" s="32">
        <v>0.06</v>
      </c>
      <c r="BE147" s="32">
        <v>0.46</v>
      </c>
      <c r="BF147" s="32">
        <v>0.09</v>
      </c>
      <c r="BG147" s="32">
        <v>0.24</v>
      </c>
      <c r="BH147" s="32">
        <v>0.06</v>
      </c>
      <c r="BI147" s="32">
        <v>0.03</v>
      </c>
      <c r="BJ147" s="32">
        <v>0.03</v>
      </c>
      <c r="BK147" s="32">
        <v>7.0000000000000007E-2</v>
      </c>
      <c r="BL147" s="32">
        <v>0.12</v>
      </c>
      <c r="BM147" s="32">
        <v>0.12</v>
      </c>
      <c r="BN147" s="32">
        <v>0.02</v>
      </c>
      <c r="BO147" s="32">
        <v>0.14000000000000001</v>
      </c>
      <c r="BP147" s="32">
        <v>7.0000000000000007E-2</v>
      </c>
      <c r="BQ147" s="32">
        <v>0.06</v>
      </c>
      <c r="BR147" s="32">
        <v>0.04</v>
      </c>
      <c r="BS147" s="32">
        <v>-0.05</v>
      </c>
      <c r="BT147" s="32">
        <v>0.06</v>
      </c>
      <c r="BU147" s="32">
        <v>0.1</v>
      </c>
      <c r="BV147" s="32">
        <v>0.15</v>
      </c>
      <c r="BW147" s="32">
        <v>0.12</v>
      </c>
      <c r="BX147" s="32">
        <v>0.24</v>
      </c>
      <c r="BY147" s="32">
        <v>0.13</v>
      </c>
      <c r="BZ147" s="32">
        <v>0.15</v>
      </c>
      <c r="CA147" s="32">
        <v>0.09</v>
      </c>
      <c r="CB147" s="32">
        <v>-0.08</v>
      </c>
      <c r="CC147" s="32">
        <v>0.1</v>
      </c>
      <c r="CD147" s="32">
        <v>0.25</v>
      </c>
      <c r="CE147" s="32">
        <v>0.05</v>
      </c>
      <c r="CF147" s="32">
        <v>-0.04</v>
      </c>
      <c r="CG147" s="32">
        <v>0.24</v>
      </c>
      <c r="CH147" s="32">
        <v>0.16</v>
      </c>
      <c r="CI147" s="32">
        <v>-0.03</v>
      </c>
      <c r="CJ147" s="32">
        <v>0.16</v>
      </c>
      <c r="CK147" s="32">
        <v>0.15</v>
      </c>
      <c r="CL147" s="32">
        <v>0.18</v>
      </c>
      <c r="CM147" s="32">
        <v>0.04</v>
      </c>
      <c r="CN147" s="32">
        <v>0.01</v>
      </c>
      <c r="CO147" s="32">
        <v>7.0000000000000007E-2</v>
      </c>
      <c r="CP147" s="32">
        <v>0.14000000000000001</v>
      </c>
      <c r="CQ147" s="32">
        <v>0.1</v>
      </c>
      <c r="CR147" s="32">
        <v>0.12</v>
      </c>
      <c r="CS147" s="32">
        <v>0.05</v>
      </c>
      <c r="CT147" s="32">
        <v>0.15</v>
      </c>
      <c r="CU147" s="32">
        <v>0.03</v>
      </c>
      <c r="CV147" s="32">
        <v>0.09</v>
      </c>
      <c r="CW147" s="32">
        <v>0.24</v>
      </c>
      <c r="CX147" s="32">
        <v>0.18</v>
      </c>
      <c r="CY147" s="32">
        <v>0.13</v>
      </c>
      <c r="CZ147" s="32">
        <v>0.1</v>
      </c>
      <c r="DA147" s="32">
        <v>0.12</v>
      </c>
      <c r="DB147" s="32">
        <v>0.2</v>
      </c>
      <c r="DC147" s="32">
        <v>0.1</v>
      </c>
      <c r="DD147" s="32">
        <v>0.2</v>
      </c>
      <c r="DE147" s="32">
        <v>0.22</v>
      </c>
      <c r="DF147" s="32">
        <v>0.09</v>
      </c>
      <c r="DG147" s="32">
        <v>0.28000000000000003</v>
      </c>
      <c r="DH147" s="32">
        <v>0.02</v>
      </c>
      <c r="DI147" s="32">
        <v>0.13</v>
      </c>
      <c r="DJ147" s="32">
        <v>0.14000000000000001</v>
      </c>
      <c r="DK147" s="32">
        <v>0.12</v>
      </c>
      <c r="DL147" s="32">
        <v>0.12</v>
      </c>
      <c r="DM147" s="32">
        <v>0.15</v>
      </c>
      <c r="DN147" s="32">
        <v>0.12</v>
      </c>
      <c r="DO147" s="32">
        <v>0.13</v>
      </c>
      <c r="DP147" s="32">
        <v>0.14000000000000001</v>
      </c>
      <c r="DQ147" s="32">
        <v>0.1</v>
      </c>
      <c r="DR147" s="32">
        <v>0.16</v>
      </c>
      <c r="DS147" s="32">
        <v>0.13</v>
      </c>
      <c r="DT147" s="32">
        <v>0.11</v>
      </c>
      <c r="DU147" s="32">
        <v>0.22</v>
      </c>
      <c r="DV147" s="32">
        <v>0.16</v>
      </c>
      <c r="DW147" s="32">
        <v>0.13</v>
      </c>
      <c r="DX147" s="32">
        <v>7.0000000000000007E-2</v>
      </c>
      <c r="DY147" s="32">
        <v>0.22</v>
      </c>
      <c r="DZ147" s="32">
        <v>0.03</v>
      </c>
      <c r="EA147" s="32">
        <v>0.45</v>
      </c>
      <c r="EB147" s="32">
        <v>0.25</v>
      </c>
      <c r="EC147" s="32">
        <v>0.04</v>
      </c>
      <c r="ED147" s="32">
        <v>0.23</v>
      </c>
      <c r="EE147" s="32">
        <v>0.11</v>
      </c>
      <c r="EF147" s="32">
        <v>0</v>
      </c>
      <c r="EG147" s="32">
        <v>0.11</v>
      </c>
      <c r="EH147" s="32">
        <v>0.11</v>
      </c>
      <c r="EI147" s="32">
        <v>0.11</v>
      </c>
      <c r="EJ147" s="32">
        <v>0.23</v>
      </c>
      <c r="EK147" s="32">
        <v>0.2</v>
      </c>
      <c r="EL147" s="32">
        <v>0.16</v>
      </c>
      <c r="EM147" s="32">
        <v>0.13</v>
      </c>
      <c r="EN147" s="32">
        <v>1</v>
      </c>
      <c r="EO147" s="32">
        <v>0.11</v>
      </c>
    </row>
    <row r="148" spans="1:145" x14ac:dyDescent="0.25">
      <c r="A148" s="31" t="s">
        <v>227</v>
      </c>
      <c r="B148" s="32">
        <v>0</v>
      </c>
      <c r="C148" s="32">
        <v>0.04</v>
      </c>
      <c r="D148" s="32">
        <v>-0.08</v>
      </c>
      <c r="E148" s="32">
        <v>0.02</v>
      </c>
      <c r="F148" s="32">
        <v>0.09</v>
      </c>
      <c r="G148" s="32">
        <v>0.08</v>
      </c>
      <c r="H148" s="32">
        <v>0.02</v>
      </c>
      <c r="I148" s="32">
        <v>0.03</v>
      </c>
      <c r="J148" s="32">
        <v>-0.03</v>
      </c>
      <c r="K148" s="32">
        <v>0.02</v>
      </c>
      <c r="L148" s="32">
        <v>0.04</v>
      </c>
      <c r="M148" s="32">
        <v>0.11</v>
      </c>
      <c r="N148" s="32">
        <v>0.03</v>
      </c>
      <c r="O148" s="32">
        <v>0.02</v>
      </c>
      <c r="P148" s="32">
        <v>0.02</v>
      </c>
      <c r="Q148" s="32">
        <v>0.02</v>
      </c>
      <c r="R148" s="32">
        <v>0.03</v>
      </c>
      <c r="S148" s="32">
        <v>-0.06</v>
      </c>
      <c r="T148" s="32">
        <v>0.06</v>
      </c>
      <c r="U148" s="32">
        <v>0.08</v>
      </c>
      <c r="V148" s="32">
        <v>0</v>
      </c>
      <c r="W148" s="32">
        <v>-0.01</v>
      </c>
      <c r="X148" s="32">
        <v>0.08</v>
      </c>
      <c r="Y148" s="32">
        <v>0.04</v>
      </c>
      <c r="Z148" s="32">
        <v>0.06</v>
      </c>
      <c r="AA148" s="32">
        <v>-0.02</v>
      </c>
      <c r="AB148" s="32">
        <v>0.04</v>
      </c>
      <c r="AC148" s="32">
        <v>0.02</v>
      </c>
      <c r="AD148" s="32">
        <v>-0.03</v>
      </c>
      <c r="AE148" s="32">
        <v>0.05</v>
      </c>
      <c r="AF148" s="32">
        <v>-0.06</v>
      </c>
      <c r="AG148" s="32">
        <v>-0.1</v>
      </c>
      <c r="AH148" s="32">
        <v>-0.04</v>
      </c>
      <c r="AI148" s="32">
        <v>-0.02</v>
      </c>
      <c r="AJ148" s="32">
        <v>0.02</v>
      </c>
      <c r="AK148" s="32">
        <v>7.0000000000000007E-2</v>
      </c>
      <c r="AL148" s="32">
        <v>0.12</v>
      </c>
      <c r="AM148" s="32">
        <v>0.05</v>
      </c>
      <c r="AN148" s="32">
        <v>0.14000000000000001</v>
      </c>
      <c r="AO148" s="32">
        <v>0.03</v>
      </c>
      <c r="AP148" s="32">
        <v>0.19</v>
      </c>
      <c r="AQ148" s="32">
        <v>-0.01</v>
      </c>
      <c r="AR148" s="32">
        <v>0.06</v>
      </c>
      <c r="AS148" s="32">
        <v>0.12</v>
      </c>
      <c r="AT148" s="32">
        <v>0.16</v>
      </c>
      <c r="AU148" s="32">
        <v>0</v>
      </c>
      <c r="AV148" s="32">
        <v>0.09</v>
      </c>
      <c r="AW148" s="32">
        <v>0.03</v>
      </c>
      <c r="AX148" s="32">
        <v>7.0000000000000007E-2</v>
      </c>
      <c r="AY148" s="32">
        <v>0.04</v>
      </c>
      <c r="AZ148" s="32">
        <v>-0.04</v>
      </c>
      <c r="BA148" s="32">
        <v>0.11</v>
      </c>
      <c r="BB148" s="32">
        <v>0.11</v>
      </c>
      <c r="BC148" s="32">
        <v>-7.0000000000000007E-2</v>
      </c>
      <c r="BD148" s="32">
        <v>0.13</v>
      </c>
      <c r="BE148" s="32">
        <v>7.0000000000000007E-2</v>
      </c>
      <c r="BF148" s="32">
        <v>0.14000000000000001</v>
      </c>
      <c r="BG148" s="32">
        <v>0.16</v>
      </c>
      <c r="BH148" s="32">
        <v>0.06</v>
      </c>
      <c r="BI148" s="32">
        <v>-0.06</v>
      </c>
      <c r="BJ148" s="32">
        <v>-0.05</v>
      </c>
      <c r="BK148" s="32">
        <v>-0.11</v>
      </c>
      <c r="BL148" s="32">
        <v>0.15</v>
      </c>
      <c r="BM148" s="32">
        <v>0.18</v>
      </c>
      <c r="BN148" s="32">
        <v>0.05</v>
      </c>
      <c r="BO148" s="32">
        <v>0.1</v>
      </c>
      <c r="BP148" s="32">
        <v>0.11</v>
      </c>
      <c r="BQ148" s="32">
        <v>-0.01</v>
      </c>
      <c r="BR148" s="32">
        <v>0.12</v>
      </c>
      <c r="BS148" s="32">
        <v>0</v>
      </c>
      <c r="BT148" s="32">
        <v>0.12</v>
      </c>
      <c r="BU148" s="32">
        <v>0.06</v>
      </c>
      <c r="BV148" s="32">
        <v>0.17</v>
      </c>
      <c r="BW148" s="32">
        <v>0.11</v>
      </c>
      <c r="BX148" s="32">
        <v>0.03</v>
      </c>
      <c r="BY148" s="32">
        <v>0.3</v>
      </c>
      <c r="BZ148" s="32">
        <v>0.15</v>
      </c>
      <c r="CA148" s="32">
        <v>-0.04</v>
      </c>
      <c r="CB148" s="32">
        <v>-0.09</v>
      </c>
      <c r="CC148" s="32">
        <v>0.09</v>
      </c>
      <c r="CD148" s="32">
        <v>0.11</v>
      </c>
      <c r="CE148" s="32">
        <v>0.1</v>
      </c>
      <c r="CF148" s="32">
        <v>-0.05</v>
      </c>
      <c r="CG148" s="32">
        <v>0.17</v>
      </c>
      <c r="CH148" s="32">
        <v>0.1</v>
      </c>
      <c r="CI148" s="32">
        <v>-0.03</v>
      </c>
      <c r="CJ148" s="32">
        <v>0.16</v>
      </c>
      <c r="CK148" s="32">
        <v>0.14000000000000001</v>
      </c>
      <c r="CL148" s="32">
        <v>0.15</v>
      </c>
      <c r="CM148" s="32">
        <v>0.11</v>
      </c>
      <c r="CN148" s="32">
        <v>0.03</v>
      </c>
      <c r="CO148" s="32">
        <v>0.02</v>
      </c>
      <c r="CP148" s="32">
        <v>0.09</v>
      </c>
      <c r="CQ148" s="32">
        <v>0.14000000000000001</v>
      </c>
      <c r="CR148" s="32">
        <v>0.13</v>
      </c>
      <c r="CS148" s="32">
        <v>0.09</v>
      </c>
      <c r="CT148" s="32">
        <v>0.19</v>
      </c>
      <c r="CU148" s="32">
        <v>0.13</v>
      </c>
      <c r="CV148" s="32">
        <v>0.08</v>
      </c>
      <c r="CW148" s="32">
        <v>0.15</v>
      </c>
      <c r="CX148" s="32">
        <v>0.13</v>
      </c>
      <c r="CY148" s="32">
        <v>0.13</v>
      </c>
      <c r="CZ148" s="32">
        <v>0.08</v>
      </c>
      <c r="DA148" s="32">
        <v>0.12</v>
      </c>
      <c r="DB148" s="32">
        <v>0.17</v>
      </c>
      <c r="DC148" s="32">
        <v>0.1</v>
      </c>
      <c r="DD148" s="32">
        <v>0.21</v>
      </c>
      <c r="DE148" s="32">
        <v>0.16</v>
      </c>
      <c r="DF148" s="32">
        <v>0.15</v>
      </c>
      <c r="DG148" s="32">
        <v>0.04</v>
      </c>
      <c r="DH148" s="32">
        <v>7.0000000000000007E-2</v>
      </c>
      <c r="DI148" s="32">
        <v>0.11</v>
      </c>
      <c r="DJ148" s="32">
        <v>0.17</v>
      </c>
      <c r="DK148" s="32">
        <v>0.11</v>
      </c>
      <c r="DL148" s="32">
        <v>0.02</v>
      </c>
      <c r="DM148" s="32">
        <v>0.19</v>
      </c>
      <c r="DN148" s="32">
        <v>0.17</v>
      </c>
      <c r="DO148" s="32">
        <v>0.1</v>
      </c>
      <c r="DP148" s="32">
        <v>0.17</v>
      </c>
      <c r="DQ148" s="32">
        <v>0.03</v>
      </c>
      <c r="DR148" s="32">
        <v>0.06</v>
      </c>
      <c r="DS148" s="32">
        <v>0.14000000000000001</v>
      </c>
      <c r="DT148" s="32">
        <v>0.15</v>
      </c>
      <c r="DU148" s="32">
        <v>0.23</v>
      </c>
      <c r="DV148" s="32">
        <v>0.14000000000000001</v>
      </c>
      <c r="DW148" s="32">
        <v>0.1</v>
      </c>
      <c r="DX148" s="32">
        <v>0.1</v>
      </c>
      <c r="DY148" s="32">
        <v>0.25</v>
      </c>
      <c r="DZ148" s="32">
        <v>0.1</v>
      </c>
      <c r="EA148" s="32">
        <v>0.1</v>
      </c>
      <c r="EB148" s="32">
        <v>0.28000000000000003</v>
      </c>
      <c r="EC148" s="32">
        <v>0.03</v>
      </c>
      <c r="ED148" s="32">
        <v>0.13</v>
      </c>
      <c r="EE148" s="32">
        <v>0.14000000000000001</v>
      </c>
      <c r="EF148" s="32">
        <v>0.02</v>
      </c>
      <c r="EG148" s="32">
        <v>0.09</v>
      </c>
      <c r="EH148" s="32">
        <v>7.0000000000000007E-2</v>
      </c>
      <c r="EI148" s="32">
        <v>7.0000000000000007E-2</v>
      </c>
      <c r="EJ148" s="32">
        <v>0.08</v>
      </c>
      <c r="EK148" s="32">
        <v>0.19</v>
      </c>
      <c r="EL148" s="32">
        <v>0.14000000000000001</v>
      </c>
      <c r="EM148" s="32">
        <v>0.06</v>
      </c>
      <c r="EN148" s="32">
        <v>0.11</v>
      </c>
      <c r="EO148" s="32">
        <v>1</v>
      </c>
    </row>
  </sheetData>
  <conditionalFormatting sqref="B5:EO148">
    <cfRule type="colorScale" priority="1">
      <colorScale>
        <cfvo type="num" val="0"/>
        <cfvo type="num" val="0.4"/>
        <cfvo type="num" val="1"/>
        <color rgb="FFFFFFFF"/>
        <color rgb="FFFFE699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Q149"/>
  <sheetViews>
    <sheetView workbookViewId="0"/>
  </sheetViews>
  <sheetFormatPr baseColWidth="10" defaultColWidth="9.140625" defaultRowHeight="15" x14ac:dyDescent="0.25"/>
  <sheetData>
    <row r="1" spans="1:147" x14ac:dyDescent="0.25">
      <c r="A1" s="6" t="s">
        <v>232</v>
      </c>
    </row>
    <row r="2" spans="1:147" x14ac:dyDescent="0.25">
      <c r="A2" t="s">
        <v>233</v>
      </c>
      <c r="B2" s="33">
        <f>SUMPRODUCT(EP6:EP149,EQ6:EQ149)</f>
        <v>0</v>
      </c>
    </row>
    <row r="4" spans="1:147" x14ac:dyDescent="0.25">
      <c r="B4" s="34" t="s">
        <v>77</v>
      </c>
      <c r="C4" s="34" t="s">
        <v>81</v>
      </c>
      <c r="D4" s="34" t="s">
        <v>83</v>
      </c>
      <c r="E4" s="34" t="s">
        <v>84</v>
      </c>
      <c r="F4" s="34" t="s">
        <v>85</v>
      </c>
      <c r="G4" s="34" t="s">
        <v>86</v>
      </c>
      <c r="H4" s="34" t="s">
        <v>87</v>
      </c>
      <c r="I4" s="34" t="s">
        <v>88</v>
      </c>
      <c r="J4" s="34" t="s">
        <v>89</v>
      </c>
      <c r="K4" s="34" t="s">
        <v>90</v>
      </c>
      <c r="L4" s="34" t="s">
        <v>91</v>
      </c>
      <c r="M4" s="34" t="s">
        <v>92</v>
      </c>
      <c r="N4" s="34" t="s">
        <v>93</v>
      </c>
      <c r="O4" s="34" t="s">
        <v>94</v>
      </c>
      <c r="P4" s="34" t="s">
        <v>95</v>
      </c>
      <c r="Q4" s="34" t="s">
        <v>96</v>
      </c>
      <c r="R4" s="34" t="s">
        <v>97</v>
      </c>
      <c r="S4" s="34" t="s">
        <v>98</v>
      </c>
      <c r="T4" s="34" t="s">
        <v>99</v>
      </c>
      <c r="U4" s="34" t="s">
        <v>100</v>
      </c>
      <c r="V4" s="34" t="s">
        <v>101</v>
      </c>
      <c r="W4" s="34" t="s">
        <v>102</v>
      </c>
      <c r="X4" s="34" t="s">
        <v>103</v>
      </c>
      <c r="Y4" s="34" t="s">
        <v>104</v>
      </c>
      <c r="Z4" s="34" t="s">
        <v>105</v>
      </c>
      <c r="AA4" s="34" t="s">
        <v>106</v>
      </c>
      <c r="AB4" s="34" t="s">
        <v>107</v>
      </c>
      <c r="AC4" s="34" t="s">
        <v>108</v>
      </c>
      <c r="AD4" s="34" t="s">
        <v>109</v>
      </c>
      <c r="AE4" s="34" t="s">
        <v>110</v>
      </c>
      <c r="AF4" s="34" t="s">
        <v>111</v>
      </c>
      <c r="AG4" s="34" t="s">
        <v>112</v>
      </c>
      <c r="AH4" s="34" t="s">
        <v>113</v>
      </c>
      <c r="AI4" s="34" t="s">
        <v>114</v>
      </c>
      <c r="AJ4" s="34" t="s">
        <v>115</v>
      </c>
      <c r="AK4" s="34" t="s">
        <v>116</v>
      </c>
      <c r="AL4" s="34" t="s">
        <v>117</v>
      </c>
      <c r="AM4" s="34" t="s">
        <v>118</v>
      </c>
      <c r="AN4" s="34" t="s">
        <v>119</v>
      </c>
      <c r="AO4" s="34" t="s">
        <v>120</v>
      </c>
      <c r="AP4" s="34" t="s">
        <v>121</v>
      </c>
      <c r="AQ4" s="34" t="s">
        <v>122</v>
      </c>
      <c r="AR4" s="34" t="s">
        <v>123</v>
      </c>
      <c r="AS4" s="34" t="s">
        <v>124</v>
      </c>
      <c r="AT4" s="34" t="s">
        <v>125</v>
      </c>
      <c r="AU4" s="34" t="s">
        <v>126</v>
      </c>
      <c r="AV4" s="34" t="s">
        <v>127</v>
      </c>
      <c r="AW4" s="34" t="s">
        <v>128</v>
      </c>
      <c r="AX4" s="34" t="s">
        <v>129</v>
      </c>
      <c r="AY4" s="34" t="s">
        <v>131</v>
      </c>
      <c r="AZ4" s="34" t="s">
        <v>132</v>
      </c>
      <c r="BA4" s="34" t="s">
        <v>133</v>
      </c>
      <c r="BB4" s="34" t="s">
        <v>134</v>
      </c>
      <c r="BC4" s="34" t="s">
        <v>135</v>
      </c>
      <c r="BD4" s="34" t="s">
        <v>136</v>
      </c>
      <c r="BE4" s="34" t="s">
        <v>137</v>
      </c>
      <c r="BF4" s="34" t="s">
        <v>138</v>
      </c>
      <c r="BG4" s="34" t="s">
        <v>139</v>
      </c>
      <c r="BH4" s="34" t="s">
        <v>140</v>
      </c>
      <c r="BI4" s="34" t="s">
        <v>141</v>
      </c>
      <c r="BJ4" s="34" t="s">
        <v>142</v>
      </c>
      <c r="BK4" s="34" t="s">
        <v>143</v>
      </c>
      <c r="BL4" s="34" t="s">
        <v>144</v>
      </c>
      <c r="BM4" s="34" t="s">
        <v>145</v>
      </c>
      <c r="BN4" s="34" t="s">
        <v>146</v>
      </c>
      <c r="BO4" s="34" t="s">
        <v>147</v>
      </c>
      <c r="BP4" s="34" t="s">
        <v>148</v>
      </c>
      <c r="BQ4" s="34" t="s">
        <v>149</v>
      </c>
      <c r="BR4" s="34" t="s">
        <v>150</v>
      </c>
      <c r="BS4" s="34" t="s">
        <v>151</v>
      </c>
      <c r="BT4" s="34" t="s">
        <v>153</v>
      </c>
      <c r="BU4" s="34" t="s">
        <v>154</v>
      </c>
      <c r="BV4" s="34" t="s">
        <v>155</v>
      </c>
      <c r="BW4" s="34" t="s">
        <v>156</v>
      </c>
      <c r="BX4" s="34" t="s">
        <v>157</v>
      </c>
      <c r="BY4" s="34" t="s">
        <v>158</v>
      </c>
      <c r="BZ4" s="34" t="s">
        <v>159</v>
      </c>
      <c r="CA4" s="34" t="s">
        <v>160</v>
      </c>
      <c r="CB4" s="34" t="s">
        <v>161</v>
      </c>
      <c r="CC4" s="34" t="s">
        <v>162</v>
      </c>
      <c r="CD4" s="34" t="s">
        <v>163</v>
      </c>
      <c r="CE4" s="34" t="s">
        <v>164</v>
      </c>
      <c r="CF4" s="34" t="s">
        <v>165</v>
      </c>
      <c r="CG4" s="34" t="s">
        <v>166</v>
      </c>
      <c r="CH4" s="34" t="s">
        <v>167</v>
      </c>
      <c r="CI4" s="34" t="s">
        <v>168</v>
      </c>
      <c r="CJ4" s="34" t="s">
        <v>169</v>
      </c>
      <c r="CK4" s="34" t="s">
        <v>170</v>
      </c>
      <c r="CL4" s="34" t="s">
        <v>171</v>
      </c>
      <c r="CM4" s="34" t="s">
        <v>172</v>
      </c>
      <c r="CN4" s="34" t="s">
        <v>173</v>
      </c>
      <c r="CO4" s="34" t="s">
        <v>174</v>
      </c>
      <c r="CP4" s="34" t="s">
        <v>175</v>
      </c>
      <c r="CQ4" s="34" t="s">
        <v>176</v>
      </c>
      <c r="CR4" s="34" t="s">
        <v>177</v>
      </c>
      <c r="CS4" s="34" t="s">
        <v>178</v>
      </c>
      <c r="CT4" s="34" t="s">
        <v>179</v>
      </c>
      <c r="CU4" s="34" t="s">
        <v>181</v>
      </c>
      <c r="CV4" s="34" t="s">
        <v>182</v>
      </c>
      <c r="CW4" s="34" t="s">
        <v>183</v>
      </c>
      <c r="CX4" s="34" t="s">
        <v>184</v>
      </c>
      <c r="CY4" s="34" t="s">
        <v>185</v>
      </c>
      <c r="CZ4" s="34" t="s">
        <v>186</v>
      </c>
      <c r="DA4" s="34" t="s">
        <v>187</v>
      </c>
      <c r="DB4" s="34" t="s">
        <v>188</v>
      </c>
      <c r="DC4" s="34" t="s">
        <v>189</v>
      </c>
      <c r="DD4" s="34" t="s">
        <v>190</v>
      </c>
      <c r="DE4" s="34" t="s">
        <v>191</v>
      </c>
      <c r="DF4" s="34" t="s">
        <v>192</v>
      </c>
      <c r="DG4" s="34" t="s">
        <v>193</v>
      </c>
      <c r="DH4" s="34" t="s">
        <v>194</v>
      </c>
      <c r="DI4" s="34" t="s">
        <v>195</v>
      </c>
      <c r="DJ4" s="34" t="s">
        <v>196</v>
      </c>
      <c r="DK4" s="34" t="s">
        <v>197</v>
      </c>
      <c r="DL4" s="34" t="s">
        <v>198</v>
      </c>
      <c r="DM4" s="34" t="s">
        <v>199</v>
      </c>
      <c r="DN4" s="34" t="s">
        <v>200</v>
      </c>
      <c r="DO4" s="34" t="s">
        <v>201</v>
      </c>
      <c r="DP4" s="34" t="s">
        <v>202</v>
      </c>
      <c r="DQ4" s="34" t="s">
        <v>203</v>
      </c>
      <c r="DR4" s="34" t="s">
        <v>204</v>
      </c>
      <c r="DS4" s="34" t="s">
        <v>205</v>
      </c>
      <c r="DT4" s="34" t="s">
        <v>206</v>
      </c>
      <c r="DU4" s="34" t="s">
        <v>207</v>
      </c>
      <c r="DV4" s="34" t="s">
        <v>208</v>
      </c>
      <c r="DW4" s="34" t="s">
        <v>209</v>
      </c>
      <c r="DX4" s="34" t="s">
        <v>210</v>
      </c>
      <c r="DY4" s="34" t="s">
        <v>211</v>
      </c>
      <c r="DZ4" s="34" t="s">
        <v>212</v>
      </c>
      <c r="EA4" s="34" t="s">
        <v>213</v>
      </c>
      <c r="EB4" s="34" t="s">
        <v>214</v>
      </c>
      <c r="EC4" s="34" t="s">
        <v>215</v>
      </c>
      <c r="ED4" s="34" t="s">
        <v>216</v>
      </c>
      <c r="EE4" s="34" t="s">
        <v>217</v>
      </c>
      <c r="EF4" s="34" t="s">
        <v>218</v>
      </c>
      <c r="EG4" s="34" t="s">
        <v>219</v>
      </c>
      <c r="EH4" s="34" t="s">
        <v>220</v>
      </c>
      <c r="EI4" s="34" t="s">
        <v>221</v>
      </c>
      <c r="EJ4" s="34" t="s">
        <v>222</v>
      </c>
      <c r="EK4" s="34" t="s">
        <v>223</v>
      </c>
      <c r="EL4" s="34" t="s">
        <v>224</v>
      </c>
      <c r="EM4" s="34" t="s">
        <v>225</v>
      </c>
      <c r="EN4" s="34" t="s">
        <v>226</v>
      </c>
      <c r="EO4" s="34" t="s">
        <v>227</v>
      </c>
      <c r="EP4" s="6" t="s">
        <v>234</v>
      </c>
      <c r="EQ4" s="6" t="s">
        <v>235</v>
      </c>
    </row>
    <row r="5" spans="1:147" x14ac:dyDescent="0.25">
      <c r="A5" s="6" t="s">
        <v>236</v>
      </c>
      <c r="B5">
        <f>SUMIF('Mi portafolio'!$A$8:$A$19,B$4,'Mi portafolio'!$B$8:$B$19)</f>
        <v>0</v>
      </c>
      <c r="C5">
        <f>SUMIF('Mi portafolio'!$A$8:$A$19,C$4,'Mi portafolio'!$B$8:$B$19)</f>
        <v>0</v>
      </c>
      <c r="D5">
        <f>SUMIF('Mi portafolio'!$A$8:$A$19,D$4,'Mi portafolio'!$B$8:$B$19)</f>
        <v>0</v>
      </c>
      <c r="E5">
        <f>SUMIF('Mi portafolio'!$A$8:$A$19,E$4,'Mi portafolio'!$B$8:$B$19)</f>
        <v>0</v>
      </c>
      <c r="F5">
        <f>SUMIF('Mi portafolio'!$A$8:$A$19,F$4,'Mi portafolio'!$B$8:$B$19)</f>
        <v>0</v>
      </c>
      <c r="G5">
        <f>SUMIF('Mi portafolio'!$A$8:$A$19,G$4,'Mi portafolio'!$B$8:$B$19)</f>
        <v>0</v>
      </c>
      <c r="H5">
        <f>SUMIF('Mi portafolio'!$A$8:$A$19,H$4,'Mi portafolio'!$B$8:$B$19)</f>
        <v>0</v>
      </c>
      <c r="I5">
        <f>SUMIF('Mi portafolio'!$A$8:$A$19,I$4,'Mi portafolio'!$B$8:$B$19)</f>
        <v>0</v>
      </c>
      <c r="J5">
        <f>SUMIF('Mi portafolio'!$A$8:$A$19,J$4,'Mi portafolio'!$B$8:$B$19)</f>
        <v>0</v>
      </c>
      <c r="K5">
        <f>SUMIF('Mi portafolio'!$A$8:$A$19,K$4,'Mi portafolio'!$B$8:$B$19)</f>
        <v>0</v>
      </c>
      <c r="L5">
        <f>SUMIF('Mi portafolio'!$A$8:$A$19,L$4,'Mi portafolio'!$B$8:$B$19)</f>
        <v>0</v>
      </c>
      <c r="M5">
        <f>SUMIF('Mi portafolio'!$A$8:$A$19,M$4,'Mi portafolio'!$B$8:$B$19)</f>
        <v>0</v>
      </c>
      <c r="N5">
        <f>SUMIF('Mi portafolio'!$A$8:$A$19,N$4,'Mi portafolio'!$B$8:$B$19)</f>
        <v>0</v>
      </c>
      <c r="O5">
        <f>SUMIF('Mi portafolio'!$A$8:$A$19,O$4,'Mi portafolio'!$B$8:$B$19)</f>
        <v>0</v>
      </c>
      <c r="P5">
        <f>SUMIF('Mi portafolio'!$A$8:$A$19,P$4,'Mi portafolio'!$B$8:$B$19)</f>
        <v>0</v>
      </c>
      <c r="Q5">
        <f>SUMIF('Mi portafolio'!$A$8:$A$19,Q$4,'Mi portafolio'!$B$8:$B$19)</f>
        <v>0</v>
      </c>
      <c r="R5">
        <f>SUMIF('Mi portafolio'!$A$8:$A$19,R$4,'Mi portafolio'!$B$8:$B$19)</f>
        <v>0</v>
      </c>
      <c r="S5">
        <f>SUMIF('Mi portafolio'!$A$8:$A$19,S$4,'Mi portafolio'!$B$8:$B$19)</f>
        <v>0</v>
      </c>
      <c r="T5">
        <f>SUMIF('Mi portafolio'!$A$8:$A$19,T$4,'Mi portafolio'!$B$8:$B$19)</f>
        <v>0</v>
      </c>
      <c r="U5">
        <f>SUMIF('Mi portafolio'!$A$8:$A$19,U$4,'Mi portafolio'!$B$8:$B$19)</f>
        <v>0</v>
      </c>
      <c r="V5">
        <f>SUMIF('Mi portafolio'!$A$8:$A$19,V$4,'Mi portafolio'!$B$8:$B$19)</f>
        <v>0</v>
      </c>
      <c r="W5">
        <f>SUMIF('Mi portafolio'!$A$8:$A$19,W$4,'Mi portafolio'!$B$8:$B$19)</f>
        <v>0</v>
      </c>
      <c r="X5">
        <f>SUMIF('Mi portafolio'!$A$8:$A$19,X$4,'Mi portafolio'!$B$8:$B$19)</f>
        <v>0</v>
      </c>
      <c r="Y5">
        <f>SUMIF('Mi portafolio'!$A$8:$A$19,Y$4,'Mi portafolio'!$B$8:$B$19)</f>
        <v>0</v>
      </c>
      <c r="Z5">
        <f>SUMIF('Mi portafolio'!$A$8:$A$19,Z$4,'Mi portafolio'!$B$8:$B$19)</f>
        <v>0</v>
      </c>
      <c r="AA5">
        <f>SUMIF('Mi portafolio'!$A$8:$A$19,AA$4,'Mi portafolio'!$B$8:$B$19)</f>
        <v>0</v>
      </c>
      <c r="AB5">
        <f>SUMIF('Mi portafolio'!$A$8:$A$19,AB$4,'Mi portafolio'!$B$8:$B$19)</f>
        <v>0</v>
      </c>
      <c r="AC5">
        <f>SUMIF('Mi portafolio'!$A$8:$A$19,AC$4,'Mi portafolio'!$B$8:$B$19)</f>
        <v>0</v>
      </c>
      <c r="AD5">
        <f>SUMIF('Mi portafolio'!$A$8:$A$19,AD$4,'Mi portafolio'!$B$8:$B$19)</f>
        <v>0</v>
      </c>
      <c r="AE5">
        <f>SUMIF('Mi portafolio'!$A$8:$A$19,AE$4,'Mi portafolio'!$B$8:$B$19)</f>
        <v>0</v>
      </c>
      <c r="AF5">
        <f>SUMIF('Mi portafolio'!$A$8:$A$19,AF$4,'Mi portafolio'!$B$8:$B$19)</f>
        <v>0</v>
      </c>
      <c r="AG5">
        <f>SUMIF('Mi portafolio'!$A$8:$A$19,AG$4,'Mi portafolio'!$B$8:$B$19)</f>
        <v>0</v>
      </c>
      <c r="AH5">
        <f>SUMIF('Mi portafolio'!$A$8:$A$19,AH$4,'Mi portafolio'!$B$8:$B$19)</f>
        <v>0</v>
      </c>
      <c r="AI5">
        <f>SUMIF('Mi portafolio'!$A$8:$A$19,AI$4,'Mi portafolio'!$B$8:$B$19)</f>
        <v>0</v>
      </c>
      <c r="AJ5">
        <f>SUMIF('Mi portafolio'!$A$8:$A$19,AJ$4,'Mi portafolio'!$B$8:$B$19)</f>
        <v>0</v>
      </c>
      <c r="AK5">
        <f>SUMIF('Mi portafolio'!$A$8:$A$19,AK$4,'Mi portafolio'!$B$8:$B$19)</f>
        <v>0</v>
      </c>
      <c r="AL5">
        <f>SUMIF('Mi portafolio'!$A$8:$A$19,AL$4,'Mi portafolio'!$B$8:$B$19)</f>
        <v>0</v>
      </c>
      <c r="AM5">
        <f>SUMIF('Mi portafolio'!$A$8:$A$19,AM$4,'Mi portafolio'!$B$8:$B$19)</f>
        <v>0</v>
      </c>
      <c r="AN5">
        <f>SUMIF('Mi portafolio'!$A$8:$A$19,AN$4,'Mi portafolio'!$B$8:$B$19)</f>
        <v>0</v>
      </c>
      <c r="AO5">
        <f>SUMIF('Mi portafolio'!$A$8:$A$19,AO$4,'Mi portafolio'!$B$8:$B$19)</f>
        <v>0</v>
      </c>
      <c r="AP5">
        <f>SUMIF('Mi portafolio'!$A$8:$A$19,AP$4,'Mi portafolio'!$B$8:$B$19)</f>
        <v>0</v>
      </c>
      <c r="AQ5">
        <f>SUMIF('Mi portafolio'!$A$8:$A$19,AQ$4,'Mi portafolio'!$B$8:$B$19)</f>
        <v>0</v>
      </c>
      <c r="AR5">
        <f>SUMIF('Mi portafolio'!$A$8:$A$19,AR$4,'Mi portafolio'!$B$8:$B$19)</f>
        <v>0</v>
      </c>
      <c r="AS5">
        <f>SUMIF('Mi portafolio'!$A$8:$A$19,AS$4,'Mi portafolio'!$B$8:$B$19)</f>
        <v>0</v>
      </c>
      <c r="AT5">
        <f>SUMIF('Mi portafolio'!$A$8:$A$19,AT$4,'Mi portafolio'!$B$8:$B$19)</f>
        <v>0</v>
      </c>
      <c r="AU5">
        <f>SUMIF('Mi portafolio'!$A$8:$A$19,AU$4,'Mi portafolio'!$B$8:$B$19)</f>
        <v>0</v>
      </c>
      <c r="AV5">
        <f>SUMIF('Mi portafolio'!$A$8:$A$19,AV$4,'Mi portafolio'!$B$8:$B$19)</f>
        <v>0</v>
      </c>
      <c r="AW5">
        <f>SUMIF('Mi portafolio'!$A$8:$A$19,AW$4,'Mi portafolio'!$B$8:$B$19)</f>
        <v>0</v>
      </c>
      <c r="AX5">
        <f>SUMIF('Mi portafolio'!$A$8:$A$19,AX$4,'Mi portafolio'!$B$8:$B$19)</f>
        <v>0</v>
      </c>
      <c r="AY5">
        <f>SUMIF('Mi portafolio'!$A$8:$A$19,AY$4,'Mi portafolio'!$B$8:$B$19)</f>
        <v>0</v>
      </c>
      <c r="AZ5">
        <f>SUMIF('Mi portafolio'!$A$8:$A$19,AZ$4,'Mi portafolio'!$B$8:$B$19)</f>
        <v>0</v>
      </c>
      <c r="BA5">
        <f>SUMIF('Mi portafolio'!$A$8:$A$19,BA$4,'Mi portafolio'!$B$8:$B$19)</f>
        <v>0</v>
      </c>
      <c r="BB5">
        <f>SUMIF('Mi portafolio'!$A$8:$A$19,BB$4,'Mi portafolio'!$B$8:$B$19)</f>
        <v>0</v>
      </c>
      <c r="BC5">
        <f>SUMIF('Mi portafolio'!$A$8:$A$19,BC$4,'Mi portafolio'!$B$8:$B$19)</f>
        <v>0</v>
      </c>
      <c r="BD5">
        <f>SUMIF('Mi portafolio'!$A$8:$A$19,BD$4,'Mi portafolio'!$B$8:$B$19)</f>
        <v>0</v>
      </c>
      <c r="BE5">
        <f>SUMIF('Mi portafolio'!$A$8:$A$19,BE$4,'Mi portafolio'!$B$8:$B$19)</f>
        <v>0</v>
      </c>
      <c r="BF5">
        <f>SUMIF('Mi portafolio'!$A$8:$A$19,BF$4,'Mi portafolio'!$B$8:$B$19)</f>
        <v>0</v>
      </c>
      <c r="BG5">
        <f>SUMIF('Mi portafolio'!$A$8:$A$19,BG$4,'Mi portafolio'!$B$8:$B$19)</f>
        <v>0</v>
      </c>
      <c r="BH5">
        <f>SUMIF('Mi portafolio'!$A$8:$A$19,BH$4,'Mi portafolio'!$B$8:$B$19)</f>
        <v>0</v>
      </c>
      <c r="BI5">
        <f>SUMIF('Mi portafolio'!$A$8:$A$19,BI$4,'Mi portafolio'!$B$8:$B$19)</f>
        <v>0</v>
      </c>
      <c r="BJ5">
        <f>SUMIF('Mi portafolio'!$A$8:$A$19,BJ$4,'Mi portafolio'!$B$8:$B$19)</f>
        <v>0</v>
      </c>
      <c r="BK5">
        <f>SUMIF('Mi portafolio'!$A$8:$A$19,BK$4,'Mi portafolio'!$B$8:$B$19)</f>
        <v>0</v>
      </c>
      <c r="BL5">
        <f>SUMIF('Mi portafolio'!$A$8:$A$19,BL$4,'Mi portafolio'!$B$8:$B$19)</f>
        <v>0</v>
      </c>
      <c r="BM5">
        <f>SUMIF('Mi portafolio'!$A$8:$A$19,BM$4,'Mi portafolio'!$B$8:$B$19)</f>
        <v>0</v>
      </c>
      <c r="BN5">
        <f>SUMIF('Mi portafolio'!$A$8:$A$19,BN$4,'Mi portafolio'!$B$8:$B$19)</f>
        <v>0</v>
      </c>
      <c r="BO5">
        <f>SUMIF('Mi portafolio'!$A$8:$A$19,BO$4,'Mi portafolio'!$B$8:$B$19)</f>
        <v>0</v>
      </c>
      <c r="BP5">
        <f>SUMIF('Mi portafolio'!$A$8:$A$19,BP$4,'Mi portafolio'!$B$8:$B$19)</f>
        <v>0</v>
      </c>
      <c r="BQ5">
        <f>SUMIF('Mi portafolio'!$A$8:$A$19,BQ$4,'Mi portafolio'!$B$8:$B$19)</f>
        <v>0</v>
      </c>
      <c r="BR5">
        <f>SUMIF('Mi portafolio'!$A$8:$A$19,BR$4,'Mi portafolio'!$B$8:$B$19)</f>
        <v>0</v>
      </c>
      <c r="BS5">
        <f>SUMIF('Mi portafolio'!$A$8:$A$19,BS$4,'Mi portafolio'!$B$8:$B$19)</f>
        <v>0</v>
      </c>
      <c r="BT5">
        <f>SUMIF('Mi portafolio'!$A$8:$A$19,BT$4,'Mi portafolio'!$B$8:$B$19)</f>
        <v>0</v>
      </c>
      <c r="BU5">
        <f>SUMIF('Mi portafolio'!$A$8:$A$19,BU$4,'Mi portafolio'!$B$8:$B$19)</f>
        <v>0</v>
      </c>
      <c r="BV5">
        <f>SUMIF('Mi portafolio'!$A$8:$A$19,BV$4,'Mi portafolio'!$B$8:$B$19)</f>
        <v>0</v>
      </c>
      <c r="BW5">
        <f>SUMIF('Mi portafolio'!$A$8:$A$19,BW$4,'Mi portafolio'!$B$8:$B$19)</f>
        <v>0</v>
      </c>
      <c r="BX5">
        <f>SUMIF('Mi portafolio'!$A$8:$A$19,BX$4,'Mi portafolio'!$B$8:$B$19)</f>
        <v>0</v>
      </c>
      <c r="BY5">
        <f>SUMIF('Mi portafolio'!$A$8:$A$19,BY$4,'Mi portafolio'!$B$8:$B$19)</f>
        <v>0</v>
      </c>
      <c r="BZ5">
        <f>SUMIF('Mi portafolio'!$A$8:$A$19,BZ$4,'Mi portafolio'!$B$8:$B$19)</f>
        <v>0</v>
      </c>
      <c r="CA5">
        <f>SUMIF('Mi portafolio'!$A$8:$A$19,CA$4,'Mi portafolio'!$B$8:$B$19)</f>
        <v>0</v>
      </c>
      <c r="CB5">
        <f>SUMIF('Mi portafolio'!$A$8:$A$19,CB$4,'Mi portafolio'!$B$8:$B$19)</f>
        <v>0</v>
      </c>
      <c r="CC5">
        <f>SUMIF('Mi portafolio'!$A$8:$A$19,CC$4,'Mi portafolio'!$B$8:$B$19)</f>
        <v>0</v>
      </c>
      <c r="CD5">
        <f>SUMIF('Mi portafolio'!$A$8:$A$19,CD$4,'Mi portafolio'!$B$8:$B$19)</f>
        <v>0</v>
      </c>
      <c r="CE5">
        <f>SUMIF('Mi portafolio'!$A$8:$A$19,CE$4,'Mi portafolio'!$B$8:$B$19)</f>
        <v>0</v>
      </c>
      <c r="CF5">
        <f>SUMIF('Mi portafolio'!$A$8:$A$19,CF$4,'Mi portafolio'!$B$8:$B$19)</f>
        <v>0</v>
      </c>
      <c r="CG5">
        <f>SUMIF('Mi portafolio'!$A$8:$A$19,CG$4,'Mi portafolio'!$B$8:$B$19)</f>
        <v>0</v>
      </c>
      <c r="CH5">
        <f>SUMIF('Mi portafolio'!$A$8:$A$19,CH$4,'Mi portafolio'!$B$8:$B$19)</f>
        <v>0</v>
      </c>
      <c r="CI5">
        <f>SUMIF('Mi portafolio'!$A$8:$A$19,CI$4,'Mi portafolio'!$B$8:$B$19)</f>
        <v>0</v>
      </c>
      <c r="CJ5">
        <f>SUMIF('Mi portafolio'!$A$8:$A$19,CJ$4,'Mi portafolio'!$B$8:$B$19)</f>
        <v>0</v>
      </c>
      <c r="CK5">
        <f>SUMIF('Mi portafolio'!$A$8:$A$19,CK$4,'Mi portafolio'!$B$8:$B$19)</f>
        <v>0</v>
      </c>
      <c r="CL5">
        <f>SUMIF('Mi portafolio'!$A$8:$A$19,CL$4,'Mi portafolio'!$B$8:$B$19)</f>
        <v>0</v>
      </c>
      <c r="CM5">
        <f>SUMIF('Mi portafolio'!$A$8:$A$19,CM$4,'Mi portafolio'!$B$8:$B$19)</f>
        <v>0</v>
      </c>
      <c r="CN5">
        <f>SUMIF('Mi portafolio'!$A$8:$A$19,CN$4,'Mi portafolio'!$B$8:$B$19)</f>
        <v>0</v>
      </c>
      <c r="CO5">
        <f>SUMIF('Mi portafolio'!$A$8:$A$19,CO$4,'Mi portafolio'!$B$8:$B$19)</f>
        <v>0</v>
      </c>
      <c r="CP5">
        <f>SUMIF('Mi portafolio'!$A$8:$A$19,CP$4,'Mi portafolio'!$B$8:$B$19)</f>
        <v>0</v>
      </c>
      <c r="CQ5">
        <f>SUMIF('Mi portafolio'!$A$8:$A$19,CQ$4,'Mi portafolio'!$B$8:$B$19)</f>
        <v>0</v>
      </c>
      <c r="CR5">
        <f>SUMIF('Mi portafolio'!$A$8:$A$19,CR$4,'Mi portafolio'!$B$8:$B$19)</f>
        <v>0</v>
      </c>
      <c r="CS5">
        <f>SUMIF('Mi portafolio'!$A$8:$A$19,CS$4,'Mi portafolio'!$B$8:$B$19)</f>
        <v>0</v>
      </c>
      <c r="CT5">
        <f>SUMIF('Mi portafolio'!$A$8:$A$19,CT$4,'Mi portafolio'!$B$8:$B$19)</f>
        <v>0</v>
      </c>
      <c r="CU5">
        <f>SUMIF('Mi portafolio'!$A$8:$A$19,CU$4,'Mi portafolio'!$B$8:$B$19)</f>
        <v>0</v>
      </c>
      <c r="CV5">
        <f>SUMIF('Mi portafolio'!$A$8:$A$19,CV$4,'Mi portafolio'!$B$8:$B$19)</f>
        <v>0</v>
      </c>
      <c r="CW5">
        <f>SUMIF('Mi portafolio'!$A$8:$A$19,CW$4,'Mi portafolio'!$B$8:$B$19)</f>
        <v>0</v>
      </c>
      <c r="CX5">
        <f>SUMIF('Mi portafolio'!$A$8:$A$19,CX$4,'Mi portafolio'!$B$8:$B$19)</f>
        <v>0</v>
      </c>
      <c r="CY5">
        <f>SUMIF('Mi portafolio'!$A$8:$A$19,CY$4,'Mi portafolio'!$B$8:$B$19)</f>
        <v>0</v>
      </c>
      <c r="CZ5">
        <f>SUMIF('Mi portafolio'!$A$8:$A$19,CZ$4,'Mi portafolio'!$B$8:$B$19)</f>
        <v>0</v>
      </c>
      <c r="DA5">
        <f>SUMIF('Mi portafolio'!$A$8:$A$19,DA$4,'Mi portafolio'!$B$8:$B$19)</f>
        <v>0</v>
      </c>
      <c r="DB5">
        <f>SUMIF('Mi portafolio'!$A$8:$A$19,DB$4,'Mi portafolio'!$B$8:$B$19)</f>
        <v>0</v>
      </c>
      <c r="DC5">
        <f>SUMIF('Mi portafolio'!$A$8:$A$19,DC$4,'Mi portafolio'!$B$8:$B$19)</f>
        <v>0</v>
      </c>
      <c r="DD5">
        <f>SUMIF('Mi portafolio'!$A$8:$A$19,DD$4,'Mi portafolio'!$B$8:$B$19)</f>
        <v>0</v>
      </c>
      <c r="DE5">
        <f>SUMIF('Mi portafolio'!$A$8:$A$19,DE$4,'Mi portafolio'!$B$8:$B$19)</f>
        <v>0</v>
      </c>
      <c r="DF5">
        <f>SUMIF('Mi portafolio'!$A$8:$A$19,DF$4,'Mi portafolio'!$B$8:$B$19)</f>
        <v>0</v>
      </c>
      <c r="DG5">
        <f>SUMIF('Mi portafolio'!$A$8:$A$19,DG$4,'Mi portafolio'!$B$8:$B$19)</f>
        <v>0</v>
      </c>
      <c r="DH5">
        <f>SUMIF('Mi portafolio'!$A$8:$A$19,DH$4,'Mi portafolio'!$B$8:$B$19)</f>
        <v>0</v>
      </c>
      <c r="DI5">
        <f>SUMIF('Mi portafolio'!$A$8:$A$19,DI$4,'Mi portafolio'!$B$8:$B$19)</f>
        <v>0</v>
      </c>
      <c r="DJ5">
        <f>SUMIF('Mi portafolio'!$A$8:$A$19,DJ$4,'Mi portafolio'!$B$8:$B$19)</f>
        <v>0</v>
      </c>
      <c r="DK5">
        <f>SUMIF('Mi portafolio'!$A$8:$A$19,DK$4,'Mi portafolio'!$B$8:$B$19)</f>
        <v>0</v>
      </c>
      <c r="DL5">
        <f>SUMIF('Mi portafolio'!$A$8:$A$19,DL$4,'Mi portafolio'!$B$8:$B$19)</f>
        <v>0</v>
      </c>
      <c r="DM5">
        <f>SUMIF('Mi portafolio'!$A$8:$A$19,DM$4,'Mi portafolio'!$B$8:$B$19)</f>
        <v>0</v>
      </c>
      <c r="DN5">
        <f>SUMIF('Mi portafolio'!$A$8:$A$19,DN$4,'Mi portafolio'!$B$8:$B$19)</f>
        <v>0</v>
      </c>
      <c r="DO5">
        <f>SUMIF('Mi portafolio'!$A$8:$A$19,DO$4,'Mi portafolio'!$B$8:$B$19)</f>
        <v>0</v>
      </c>
      <c r="DP5">
        <f>SUMIF('Mi portafolio'!$A$8:$A$19,DP$4,'Mi portafolio'!$B$8:$B$19)</f>
        <v>0</v>
      </c>
      <c r="DQ5">
        <f>SUMIF('Mi portafolio'!$A$8:$A$19,DQ$4,'Mi portafolio'!$B$8:$B$19)</f>
        <v>0</v>
      </c>
      <c r="DR5">
        <f>SUMIF('Mi portafolio'!$A$8:$A$19,DR$4,'Mi portafolio'!$B$8:$B$19)</f>
        <v>0</v>
      </c>
      <c r="DS5">
        <f>SUMIF('Mi portafolio'!$A$8:$A$19,DS$4,'Mi portafolio'!$B$8:$B$19)</f>
        <v>0</v>
      </c>
      <c r="DT5">
        <f>SUMIF('Mi portafolio'!$A$8:$A$19,DT$4,'Mi portafolio'!$B$8:$B$19)</f>
        <v>0</v>
      </c>
      <c r="DU5">
        <f>SUMIF('Mi portafolio'!$A$8:$A$19,DU$4,'Mi portafolio'!$B$8:$B$19)</f>
        <v>0</v>
      </c>
      <c r="DV5">
        <f>SUMIF('Mi portafolio'!$A$8:$A$19,DV$4,'Mi portafolio'!$B$8:$B$19)</f>
        <v>0</v>
      </c>
      <c r="DW5">
        <f>SUMIF('Mi portafolio'!$A$8:$A$19,DW$4,'Mi portafolio'!$B$8:$B$19)</f>
        <v>0</v>
      </c>
      <c r="DX5">
        <f>SUMIF('Mi portafolio'!$A$8:$A$19,DX$4,'Mi portafolio'!$B$8:$B$19)</f>
        <v>0</v>
      </c>
      <c r="DY5">
        <f>SUMIF('Mi portafolio'!$A$8:$A$19,DY$4,'Mi portafolio'!$B$8:$B$19)</f>
        <v>0</v>
      </c>
      <c r="DZ5">
        <f>SUMIF('Mi portafolio'!$A$8:$A$19,DZ$4,'Mi portafolio'!$B$8:$B$19)</f>
        <v>0</v>
      </c>
      <c r="EA5">
        <f>SUMIF('Mi portafolio'!$A$8:$A$19,EA$4,'Mi portafolio'!$B$8:$B$19)</f>
        <v>0</v>
      </c>
      <c r="EB5">
        <f>SUMIF('Mi portafolio'!$A$8:$A$19,EB$4,'Mi portafolio'!$B$8:$B$19)</f>
        <v>0</v>
      </c>
      <c r="EC5">
        <f>SUMIF('Mi portafolio'!$A$8:$A$19,EC$4,'Mi portafolio'!$B$8:$B$19)</f>
        <v>0</v>
      </c>
      <c r="ED5">
        <f>SUMIF('Mi portafolio'!$A$8:$A$19,ED$4,'Mi portafolio'!$B$8:$B$19)</f>
        <v>0</v>
      </c>
      <c r="EE5">
        <f>SUMIF('Mi portafolio'!$A$8:$A$19,EE$4,'Mi portafolio'!$B$8:$B$19)</f>
        <v>0</v>
      </c>
      <c r="EF5">
        <f>SUMIF('Mi portafolio'!$A$8:$A$19,EF$4,'Mi portafolio'!$B$8:$B$19)</f>
        <v>0</v>
      </c>
      <c r="EG5">
        <f>SUMIF('Mi portafolio'!$A$8:$A$19,EG$4,'Mi portafolio'!$B$8:$B$19)</f>
        <v>0</v>
      </c>
      <c r="EH5">
        <f>SUMIF('Mi portafolio'!$A$8:$A$19,EH$4,'Mi portafolio'!$B$8:$B$19)</f>
        <v>0</v>
      </c>
      <c r="EI5">
        <f>SUMIF('Mi portafolio'!$A$8:$A$19,EI$4,'Mi portafolio'!$B$8:$B$19)</f>
        <v>0</v>
      </c>
      <c r="EJ5">
        <f>SUMIF('Mi portafolio'!$A$8:$A$19,EJ$4,'Mi portafolio'!$B$8:$B$19)</f>
        <v>0</v>
      </c>
      <c r="EK5">
        <f>SUMIF('Mi portafolio'!$A$8:$A$19,EK$4,'Mi portafolio'!$B$8:$B$19)</f>
        <v>0</v>
      </c>
      <c r="EL5">
        <f>SUMIF('Mi portafolio'!$A$8:$A$19,EL$4,'Mi portafolio'!$B$8:$B$19)</f>
        <v>0</v>
      </c>
      <c r="EM5">
        <f>SUMIF('Mi portafolio'!$A$8:$A$19,EM$4,'Mi portafolio'!$B$8:$B$19)</f>
        <v>0</v>
      </c>
      <c r="EN5">
        <f>SUMIF('Mi portafolio'!$A$8:$A$19,EN$4,'Mi portafolio'!$B$8:$B$19)</f>
        <v>0</v>
      </c>
      <c r="EO5">
        <f>SUMIF('Mi portafolio'!$A$8:$A$19,EO$4,'Mi portafolio'!$B$8:$B$19)</f>
        <v>0</v>
      </c>
    </row>
    <row r="6" spans="1:147" x14ac:dyDescent="0.25">
      <c r="A6" s="34" t="s">
        <v>77</v>
      </c>
      <c r="B6">
        <v>2.7270920000000001E-2</v>
      </c>
      <c r="C6">
        <v>-1.2252299999999999E-3</v>
      </c>
      <c r="D6">
        <v>-3.4501200000000001E-3</v>
      </c>
      <c r="E6">
        <v>2.0838900000000001E-3</v>
      </c>
      <c r="F6">
        <v>1.435937E-2</v>
      </c>
      <c r="G6">
        <v>-3.7771200000000001E-3</v>
      </c>
      <c r="H6">
        <v>-6.5853000000000005E-4</v>
      </c>
      <c r="I6">
        <v>1.596738E-2</v>
      </c>
      <c r="J6">
        <v>1.11789E-2</v>
      </c>
      <c r="K6">
        <v>1.5102529999999999E-2</v>
      </c>
      <c r="L6">
        <v>2.2270300000000001E-3</v>
      </c>
      <c r="M6">
        <v>9.04954E-3</v>
      </c>
      <c r="N6">
        <v>1.1870810000000001E-2</v>
      </c>
      <c r="O6">
        <v>5.20829E-3</v>
      </c>
      <c r="P6">
        <v>1.3945590000000001E-2</v>
      </c>
      <c r="Q6">
        <v>1.0422599999999999E-3</v>
      </c>
      <c r="R6">
        <v>1.3460089999999999E-2</v>
      </c>
      <c r="S6">
        <v>-7.47E-5</v>
      </c>
      <c r="T6">
        <v>9.3148399999999996E-3</v>
      </c>
      <c r="U6">
        <v>2.6008899999999998E-3</v>
      </c>
      <c r="V6">
        <v>1.04324E-3</v>
      </c>
      <c r="W6">
        <v>6.9693000000000001E-4</v>
      </c>
      <c r="X6">
        <v>1.272944E-2</v>
      </c>
      <c r="Y6">
        <v>1.7753720000000001E-2</v>
      </c>
      <c r="Z6">
        <v>1.6108299999999999E-3</v>
      </c>
      <c r="AA6">
        <v>2.1379099999999998E-3</v>
      </c>
      <c r="AB6">
        <v>1.9524759999999999E-2</v>
      </c>
      <c r="AC6">
        <v>1.4050499999999999E-3</v>
      </c>
      <c r="AD6">
        <v>2.5251000000000002E-3</v>
      </c>
      <c r="AE6">
        <v>2.1880000000000001E-5</v>
      </c>
      <c r="AF6">
        <v>-6.0646199999999997E-3</v>
      </c>
      <c r="AG6">
        <v>1.1331269999999999E-2</v>
      </c>
      <c r="AH6">
        <v>1.336448E-2</v>
      </c>
      <c r="AI6">
        <v>7.4306700000000003E-3</v>
      </c>
      <c r="AJ6">
        <v>1.3282000000000001E-3</v>
      </c>
      <c r="AK6">
        <v>-1.2109200000000001E-3</v>
      </c>
      <c r="AL6">
        <v>1.2296069999999999E-2</v>
      </c>
      <c r="AM6">
        <v>1.6102099999999999E-3</v>
      </c>
      <c r="AN6">
        <v>1.6045139999999999E-2</v>
      </c>
      <c r="AO6">
        <v>1.16548E-2</v>
      </c>
      <c r="AP6">
        <v>1.05343E-2</v>
      </c>
      <c r="AQ6">
        <v>5.64818E-3</v>
      </c>
      <c r="AR6">
        <v>1.0152980000000001E-2</v>
      </c>
      <c r="AS6">
        <v>-6.0500700000000003E-3</v>
      </c>
      <c r="AT6">
        <v>1.3209230000000001E-2</v>
      </c>
      <c r="AU6">
        <v>1.388286E-2</v>
      </c>
      <c r="AV6">
        <v>3.32249E-3</v>
      </c>
      <c r="AW6">
        <v>-3.4858000000000003E-4</v>
      </c>
      <c r="AX6">
        <v>1.6534500000000001E-2</v>
      </c>
      <c r="AY6">
        <v>1.283902E-2</v>
      </c>
      <c r="AZ6">
        <v>1.3104499999999999E-3</v>
      </c>
      <c r="BA6">
        <v>9.3066699999999995E-3</v>
      </c>
      <c r="BB6">
        <v>7.7216200000000002E-3</v>
      </c>
      <c r="BC6">
        <v>5.14125E-3</v>
      </c>
      <c r="BD6">
        <v>2.9551000000000002E-4</v>
      </c>
      <c r="BE6">
        <v>1.498739E-2</v>
      </c>
      <c r="BF6">
        <v>2.049E-3</v>
      </c>
      <c r="BG6">
        <v>1.070841E-2</v>
      </c>
      <c r="BH6">
        <v>2.2869600000000002E-3</v>
      </c>
      <c r="BI6">
        <v>4.8938699999999998E-3</v>
      </c>
      <c r="BJ6">
        <v>-1.3313400000000001E-3</v>
      </c>
      <c r="BK6">
        <v>1.29733E-3</v>
      </c>
      <c r="BL6">
        <v>4.4216500000000001E-3</v>
      </c>
      <c r="BM6">
        <v>8.9044699999999994E-3</v>
      </c>
      <c r="BN6">
        <v>1.5467E-2</v>
      </c>
      <c r="BO6">
        <v>7.7044399999999999E-3</v>
      </c>
      <c r="BP6">
        <v>6.7268700000000002E-3</v>
      </c>
      <c r="BQ6">
        <v>-2.63818E-3</v>
      </c>
      <c r="BR6">
        <v>1.2005689999999999E-2</v>
      </c>
      <c r="BS6">
        <v>1.1314700000000001E-3</v>
      </c>
      <c r="BT6">
        <v>1.0420840000000001E-2</v>
      </c>
      <c r="BU6">
        <v>-4.2138699999999998E-3</v>
      </c>
      <c r="BV6">
        <v>7.7107E-3</v>
      </c>
      <c r="BW6">
        <v>9.2991500000000008E-3</v>
      </c>
      <c r="BX6">
        <v>1.652023E-2</v>
      </c>
      <c r="BY6">
        <v>9.4536299999999993E-3</v>
      </c>
      <c r="BZ6">
        <v>1.2516309999999999E-2</v>
      </c>
      <c r="CA6">
        <v>2.16271E-3</v>
      </c>
      <c r="CB6">
        <v>2.78956E-3</v>
      </c>
      <c r="CC6">
        <v>1.3296509999999999E-2</v>
      </c>
      <c r="CD6">
        <v>1.0652969999999999E-2</v>
      </c>
      <c r="CE6">
        <v>4.1514500000000001E-3</v>
      </c>
      <c r="CF6">
        <v>4.6657199999999999E-3</v>
      </c>
      <c r="CG6">
        <v>1.482064E-2</v>
      </c>
      <c r="CH6">
        <v>-4.6959699999999998E-3</v>
      </c>
      <c r="CI6">
        <v>5.77993E-3</v>
      </c>
      <c r="CJ6">
        <v>1.6293390000000001E-2</v>
      </c>
      <c r="CK6">
        <v>2.0214619999999999E-2</v>
      </c>
      <c r="CL6">
        <v>6.7683300000000004E-3</v>
      </c>
      <c r="CM6">
        <v>-8.6422800000000004E-3</v>
      </c>
      <c r="CN6">
        <v>-1.9532799999999999E-3</v>
      </c>
      <c r="CO6">
        <v>8.5059999999999997E-4</v>
      </c>
      <c r="CP6">
        <v>1.1158120000000001E-2</v>
      </c>
      <c r="CQ6">
        <v>1.7956300000000001E-2</v>
      </c>
      <c r="CR6">
        <v>-3.7236700000000001E-3</v>
      </c>
      <c r="CS6">
        <v>2.0566000000000001E-4</v>
      </c>
      <c r="CT6">
        <v>6.6959699999999999E-3</v>
      </c>
      <c r="CU6">
        <v>-2.1047000000000001E-4</v>
      </c>
      <c r="CV6">
        <v>4.5595499999999999E-3</v>
      </c>
      <c r="CW6">
        <v>7.4461299999999996E-3</v>
      </c>
      <c r="CX6">
        <v>4.6930799999999996E-3</v>
      </c>
      <c r="CY6">
        <v>1.5885710000000001E-2</v>
      </c>
      <c r="CZ6">
        <v>7.5981699999999996E-3</v>
      </c>
      <c r="DA6">
        <v>8.6499200000000002E-3</v>
      </c>
      <c r="DB6">
        <v>-7.5519999999999995E-5</v>
      </c>
      <c r="DC6">
        <v>-1.4991E-3</v>
      </c>
      <c r="DD6">
        <v>1.1052599999999999E-2</v>
      </c>
      <c r="DE6">
        <v>-7.01858E-3</v>
      </c>
      <c r="DF6">
        <v>1.3469450000000001E-2</v>
      </c>
      <c r="DG6">
        <v>6.9811000000000005E-4</v>
      </c>
      <c r="DH6">
        <v>-3.7674700000000002E-3</v>
      </c>
      <c r="DI6">
        <v>2.1661320000000001E-2</v>
      </c>
      <c r="DJ6">
        <v>1.8050630000000002E-2</v>
      </c>
      <c r="DK6">
        <v>1.90478E-2</v>
      </c>
      <c r="DL6">
        <v>-1.004149E-2</v>
      </c>
      <c r="DM6">
        <v>2.2453569999999999E-2</v>
      </c>
      <c r="DN6">
        <v>1.629239E-2</v>
      </c>
      <c r="DO6">
        <v>5.6833500000000002E-3</v>
      </c>
      <c r="DP6">
        <v>2.3365960000000002E-2</v>
      </c>
      <c r="DQ6">
        <v>7.1706000000000005E-4</v>
      </c>
      <c r="DR6">
        <v>-5.4521500000000002E-3</v>
      </c>
      <c r="DS6">
        <v>9.7736899999999998E-3</v>
      </c>
      <c r="DT6">
        <v>-1.180086E-2</v>
      </c>
      <c r="DU6">
        <v>-9.4386999999999997E-4</v>
      </c>
      <c r="DV6">
        <v>-1.7277799999999999E-3</v>
      </c>
      <c r="DW6">
        <v>1.0187440000000001E-2</v>
      </c>
      <c r="DX6">
        <v>-1.485884E-2</v>
      </c>
      <c r="DY6">
        <v>1.4695089999999999E-2</v>
      </c>
      <c r="DZ6">
        <v>2.0980500000000002E-3</v>
      </c>
      <c r="EA6">
        <v>1.9128E-4</v>
      </c>
      <c r="EB6">
        <v>5.53558E-3</v>
      </c>
      <c r="EC6">
        <v>-1.2829790000000001E-2</v>
      </c>
      <c r="ED6">
        <v>6.0394799999999998E-3</v>
      </c>
      <c r="EE6">
        <v>-1.0421059999999999E-2</v>
      </c>
      <c r="EF6">
        <v>6.3518400000000001E-3</v>
      </c>
      <c r="EG6">
        <v>-8.2623200000000001E-3</v>
      </c>
      <c r="EH6">
        <v>8.54188E-3</v>
      </c>
      <c r="EI6">
        <v>-2.6351670000000001E-2</v>
      </c>
      <c r="EJ6">
        <v>8.4089899999999999E-3</v>
      </c>
      <c r="EK6">
        <v>-4.2043999999999996E-3</v>
      </c>
      <c r="EL6">
        <v>-1.566089E-2</v>
      </c>
      <c r="EM6">
        <v>-1.3793079999999999E-2</v>
      </c>
      <c r="EN6">
        <v>3.7576300000000001E-3</v>
      </c>
      <c r="EO6">
        <v>-9.5233000000000004E-4</v>
      </c>
      <c r="EP6">
        <f t="shared" ref="EP6:EP37" si="0">SUMPRODUCT(B6:EO6,$B$5:$EO$5)</f>
        <v>0</v>
      </c>
      <c r="EQ6">
        <f>SUMIF('Mi portafolio'!$A$8:$A$19,$A6,'Mi portafolio'!$B$8:$B$19)</f>
        <v>0</v>
      </c>
    </row>
    <row r="7" spans="1:147" x14ac:dyDescent="0.25">
      <c r="A7" s="34" t="s">
        <v>81</v>
      </c>
      <c r="B7">
        <v>-1.2252299999999999E-3</v>
      </c>
      <c r="C7">
        <v>3.0321290000000001E-2</v>
      </c>
      <c r="D7">
        <v>2.8040999999999999E-3</v>
      </c>
      <c r="E7">
        <v>3.1925500000000002E-3</v>
      </c>
      <c r="F7">
        <v>4.0298999999999999E-4</v>
      </c>
      <c r="G7">
        <v>8.3876000000000003E-4</v>
      </c>
      <c r="H7">
        <v>5.1104000000000002E-3</v>
      </c>
      <c r="I7">
        <v>2.7316100000000002E-3</v>
      </c>
      <c r="J7">
        <v>1.51001E-3</v>
      </c>
      <c r="K7">
        <v>-2.9312600000000002E-3</v>
      </c>
      <c r="L7">
        <v>1.1127400000000001E-2</v>
      </c>
      <c r="M7">
        <v>2.5473599999999998E-3</v>
      </c>
      <c r="N7">
        <v>-2.9033999999999999E-4</v>
      </c>
      <c r="O7">
        <v>6.9673599999999997E-3</v>
      </c>
      <c r="P7">
        <v>2.58493E-3</v>
      </c>
      <c r="Q7">
        <v>-5.5519999999999997E-5</v>
      </c>
      <c r="R7">
        <v>9.9835000000000006E-4</v>
      </c>
      <c r="S7">
        <v>2.5064000000000002E-3</v>
      </c>
      <c r="T7">
        <v>-3.3097999999999998E-4</v>
      </c>
      <c r="U7">
        <v>4.9559599999999997E-3</v>
      </c>
      <c r="V7">
        <v>6.2494999999999998E-3</v>
      </c>
      <c r="W7">
        <v>5.5247999999999998E-3</v>
      </c>
      <c r="X7">
        <v>1.3091000000000001E-3</v>
      </c>
      <c r="Y7">
        <v>4.2257700000000002E-3</v>
      </c>
      <c r="Z7">
        <v>8.6161599999999994E-3</v>
      </c>
      <c r="AA7">
        <v>3.6592500000000002E-3</v>
      </c>
      <c r="AB7">
        <v>1.38272E-3</v>
      </c>
      <c r="AC7">
        <v>1.86414E-3</v>
      </c>
      <c r="AD7">
        <v>8.4078499999999997E-3</v>
      </c>
      <c r="AE7">
        <v>8.6914799999999997E-3</v>
      </c>
      <c r="AF7">
        <v>1.049109E-2</v>
      </c>
      <c r="AG7">
        <v>-7.9843999999999998E-4</v>
      </c>
      <c r="AH7">
        <v>-1.1662E-4</v>
      </c>
      <c r="AI7">
        <v>-8.5767999999999999E-4</v>
      </c>
      <c r="AJ7">
        <v>4.7988500000000003E-3</v>
      </c>
      <c r="AK7">
        <v>1.0168490000000001E-2</v>
      </c>
      <c r="AL7">
        <v>-4.9695000000000002E-4</v>
      </c>
      <c r="AM7">
        <v>3.9793399999999996E-3</v>
      </c>
      <c r="AN7">
        <v>6.3756000000000001E-4</v>
      </c>
      <c r="AO7">
        <v>1.3731500000000001E-3</v>
      </c>
      <c r="AP7">
        <v>-2.8975400000000001E-3</v>
      </c>
      <c r="AQ7">
        <v>5.4644999999999997E-4</v>
      </c>
      <c r="AR7">
        <v>-1.8835999999999999E-4</v>
      </c>
      <c r="AS7">
        <v>6.0344300000000003E-3</v>
      </c>
      <c r="AT7">
        <v>-1.7084000000000001E-4</v>
      </c>
      <c r="AU7">
        <v>2.3557600000000001E-3</v>
      </c>
      <c r="AV7">
        <v>1.377895E-2</v>
      </c>
      <c r="AW7">
        <v>9.5383299999999994E-3</v>
      </c>
      <c r="AX7">
        <v>-3.8885999999999999E-4</v>
      </c>
      <c r="AY7">
        <v>5.9708900000000004E-3</v>
      </c>
      <c r="AZ7">
        <v>4.2827899999999999E-3</v>
      </c>
      <c r="BA7">
        <v>3.1147100000000001E-3</v>
      </c>
      <c r="BB7">
        <v>-3.8750899999999999E-3</v>
      </c>
      <c r="BC7">
        <v>1.3779E-3</v>
      </c>
      <c r="BD7">
        <v>8.8567000000000003E-3</v>
      </c>
      <c r="BE7">
        <v>3.7727699999999999E-3</v>
      </c>
      <c r="BF7">
        <v>-2.0252000000000001E-4</v>
      </c>
      <c r="BG7">
        <v>4.8505999999999999E-4</v>
      </c>
      <c r="BH7">
        <v>2.9318E-3</v>
      </c>
      <c r="BI7">
        <v>-7.8299999999999995E-4</v>
      </c>
      <c r="BJ7">
        <v>1.4544E-3</v>
      </c>
      <c r="BK7">
        <v>3.1842099999999998E-3</v>
      </c>
      <c r="BL7">
        <v>-3.7766999999999998E-4</v>
      </c>
      <c r="BM7">
        <v>1.7370700000000001E-3</v>
      </c>
      <c r="BN7">
        <v>1.51278E-3</v>
      </c>
      <c r="BO7">
        <v>-1.27893E-3</v>
      </c>
      <c r="BP7">
        <v>-4.1190200000000001E-3</v>
      </c>
      <c r="BQ7">
        <v>1.1142900000000001E-2</v>
      </c>
      <c r="BR7">
        <v>-4.3126700000000002E-3</v>
      </c>
      <c r="BS7">
        <v>-1.7506900000000001E-3</v>
      </c>
      <c r="BT7">
        <v>2.1749500000000001E-3</v>
      </c>
      <c r="BU7">
        <v>3.7502899999999999E-3</v>
      </c>
      <c r="BV7">
        <v>-1.3737599999999999E-3</v>
      </c>
      <c r="BW7">
        <v>-2.3815799999999999E-3</v>
      </c>
      <c r="BX7">
        <v>-4.1171899999999997E-3</v>
      </c>
      <c r="BY7">
        <v>-1.84464E-3</v>
      </c>
      <c r="BZ7">
        <v>7.1509399999999997E-3</v>
      </c>
      <c r="CA7">
        <v>9.7830299999999999E-3</v>
      </c>
      <c r="CB7">
        <v>6.2449799999999998E-3</v>
      </c>
      <c r="CC7">
        <v>-1.51424E-3</v>
      </c>
      <c r="CD7">
        <v>-2.7799999999999999E-3</v>
      </c>
      <c r="CE7">
        <v>-2.1765299999999999E-3</v>
      </c>
      <c r="CF7">
        <v>-2.7255999999999999E-3</v>
      </c>
      <c r="CG7">
        <v>-1.69831E-3</v>
      </c>
      <c r="CH7">
        <v>8.1722400000000008E-3</v>
      </c>
      <c r="CI7">
        <v>-3.59012E-3</v>
      </c>
      <c r="CJ7">
        <v>-9.0145999999999998E-4</v>
      </c>
      <c r="CK7">
        <v>-4.8124099999999996E-3</v>
      </c>
      <c r="CL7">
        <v>3.2232000000000002E-4</v>
      </c>
      <c r="CM7">
        <v>-4.9771199999999998E-3</v>
      </c>
      <c r="CN7">
        <v>1.0879099999999999E-2</v>
      </c>
      <c r="CO7">
        <v>4.8841600000000002E-3</v>
      </c>
      <c r="CP7">
        <v>1.2103999999999999E-3</v>
      </c>
      <c r="CQ7">
        <v>-1.7955899999999999E-3</v>
      </c>
      <c r="CR7">
        <v>-4.1614299999999998E-3</v>
      </c>
      <c r="CS7">
        <v>3.4466100000000001E-3</v>
      </c>
      <c r="CT7">
        <v>2.0984799999999998E-3</v>
      </c>
      <c r="CU7">
        <v>2.1929E-4</v>
      </c>
      <c r="CV7">
        <v>-4.7769400000000004E-3</v>
      </c>
      <c r="CW7">
        <v>1.5719600000000001E-3</v>
      </c>
      <c r="CX7">
        <v>1.05104E-3</v>
      </c>
      <c r="CY7">
        <v>-5.2125999999999995E-4</v>
      </c>
      <c r="CZ7">
        <v>-1.084357E-2</v>
      </c>
      <c r="DA7">
        <v>-1.1513300000000001E-3</v>
      </c>
      <c r="DB7">
        <v>3.7139E-3</v>
      </c>
      <c r="DC7">
        <v>3.4574800000000002E-3</v>
      </c>
      <c r="DD7">
        <v>-3.57027E-3</v>
      </c>
      <c r="DE7">
        <v>5.79657E-3</v>
      </c>
      <c r="DF7">
        <v>-7.2314600000000003E-3</v>
      </c>
      <c r="DG7">
        <v>5.3980399999999998E-3</v>
      </c>
      <c r="DH7">
        <v>4.6065999999999998E-3</v>
      </c>
      <c r="DI7">
        <v>-2.93393E-3</v>
      </c>
      <c r="DJ7">
        <v>-5.1743199999999996E-3</v>
      </c>
      <c r="DK7">
        <v>-1.148E-4</v>
      </c>
      <c r="DL7">
        <v>1.5403979999999999E-2</v>
      </c>
      <c r="DM7">
        <v>-1.1851100000000001E-3</v>
      </c>
      <c r="DN7">
        <v>8.4574200000000002E-3</v>
      </c>
      <c r="DO7">
        <v>1.505694E-2</v>
      </c>
      <c r="DP7">
        <v>-1.92691E-3</v>
      </c>
      <c r="DQ7">
        <v>2.09114E-3</v>
      </c>
      <c r="DR7">
        <v>5.8027799999999996E-3</v>
      </c>
      <c r="DS7">
        <v>-7.0360700000000002E-3</v>
      </c>
      <c r="DT7">
        <v>-3.1930399999999999E-3</v>
      </c>
      <c r="DU7">
        <v>-6.1412000000000003E-3</v>
      </c>
      <c r="DV7">
        <v>-5.9482800000000002E-3</v>
      </c>
      <c r="DW7">
        <v>-1.236489E-2</v>
      </c>
      <c r="DX7">
        <v>3.1151E-3</v>
      </c>
      <c r="DY7">
        <v>9.9008999999999989E-4</v>
      </c>
      <c r="DZ7">
        <v>-1.166729E-2</v>
      </c>
      <c r="EA7">
        <v>2.4817799999999998E-3</v>
      </c>
      <c r="EB7">
        <v>-9.0180699999999996E-3</v>
      </c>
      <c r="EC7">
        <v>4.0420999999999999E-3</v>
      </c>
      <c r="ED7">
        <v>1.5776620000000002E-2</v>
      </c>
      <c r="EE7">
        <v>3.7962E-3</v>
      </c>
      <c r="EF7">
        <v>1.376206E-2</v>
      </c>
      <c r="EG7">
        <v>9.8704099999999996E-3</v>
      </c>
      <c r="EH7">
        <v>-2.9546999999999999E-4</v>
      </c>
      <c r="EI7">
        <v>2.71397E-3</v>
      </c>
      <c r="EJ7">
        <v>-3.0343200000000001E-3</v>
      </c>
      <c r="EK7">
        <v>5.9463299999999997E-3</v>
      </c>
      <c r="EL7">
        <v>2.4552799999999998E-3</v>
      </c>
      <c r="EM7">
        <v>-1.1070699999999999E-2</v>
      </c>
      <c r="EN7">
        <v>-3.1549799999999999E-3</v>
      </c>
      <c r="EO7">
        <v>1.2462630000000001E-2</v>
      </c>
      <c r="EP7">
        <f t="shared" si="0"/>
        <v>0</v>
      </c>
      <c r="EQ7">
        <f>SUMIF('Mi portafolio'!$A$8:$A$19,$A7,'Mi portafolio'!$B$8:$B$19)</f>
        <v>0</v>
      </c>
    </row>
    <row r="8" spans="1:147" x14ac:dyDescent="0.25">
      <c r="A8" s="34" t="s">
        <v>83</v>
      </c>
      <c r="B8">
        <v>-3.4501200000000001E-3</v>
      </c>
      <c r="C8">
        <v>2.8040999999999999E-3</v>
      </c>
      <c r="D8">
        <v>3.8181720000000002E-2</v>
      </c>
      <c r="E8">
        <v>4.8697899999999997E-3</v>
      </c>
      <c r="F8">
        <v>-3.44298E-3</v>
      </c>
      <c r="G8">
        <v>4.83089E-3</v>
      </c>
      <c r="H8">
        <v>5.90904E-3</v>
      </c>
      <c r="I8">
        <v>-8.363E-4</v>
      </c>
      <c r="J8">
        <v>-1.38601E-3</v>
      </c>
      <c r="K8">
        <v>-2.2564500000000001E-3</v>
      </c>
      <c r="L8">
        <v>4.24757E-3</v>
      </c>
      <c r="M8">
        <v>-3.00205E-3</v>
      </c>
      <c r="N8">
        <v>7.9137200000000008E-3</v>
      </c>
      <c r="O8">
        <v>1.50504E-3</v>
      </c>
      <c r="P8">
        <v>1.6419999999999999E-5</v>
      </c>
      <c r="Q8">
        <v>8.3880000000000001E-4</v>
      </c>
      <c r="R8">
        <v>-7.1003400000000001E-3</v>
      </c>
      <c r="S8">
        <v>4.6972899999999998E-3</v>
      </c>
      <c r="T8">
        <v>2.6054400000000001E-3</v>
      </c>
      <c r="U8">
        <v>5.3969600000000001E-3</v>
      </c>
      <c r="V8">
        <v>1.63058E-3</v>
      </c>
      <c r="W8">
        <v>-1.7075300000000001E-3</v>
      </c>
      <c r="X8">
        <v>7.6785000000000004E-4</v>
      </c>
      <c r="Y8">
        <v>2.1880000000000001E-5</v>
      </c>
      <c r="Z8">
        <v>4.3224300000000004E-3</v>
      </c>
      <c r="AA8">
        <v>4.1253599999999998E-3</v>
      </c>
      <c r="AB8">
        <v>1.4982699999999999E-3</v>
      </c>
      <c r="AC8">
        <v>3.7257100000000001E-3</v>
      </c>
      <c r="AD8">
        <v>8.6386999999999998E-4</v>
      </c>
      <c r="AE8">
        <v>9.0071300000000003E-3</v>
      </c>
      <c r="AF8">
        <v>8.6347500000000001E-3</v>
      </c>
      <c r="AG8">
        <v>-9.5644000000000002E-4</v>
      </c>
      <c r="AH8">
        <v>-1.55692E-3</v>
      </c>
      <c r="AI8">
        <v>-5.4905800000000001E-3</v>
      </c>
      <c r="AJ8">
        <v>1.052179E-2</v>
      </c>
      <c r="AK8">
        <v>1.30726E-3</v>
      </c>
      <c r="AL8">
        <v>2.3602300000000001E-3</v>
      </c>
      <c r="AM8">
        <v>4.6753999999999997E-3</v>
      </c>
      <c r="AN8">
        <v>-2.56398E-3</v>
      </c>
      <c r="AO8">
        <v>1.1342399999999999E-3</v>
      </c>
      <c r="AP8">
        <v>1.5430699999999999E-3</v>
      </c>
      <c r="AQ8">
        <v>-5.3656199999999998E-3</v>
      </c>
      <c r="AR8">
        <v>3.4116099999999998E-3</v>
      </c>
      <c r="AS8">
        <v>6.8255099999999999E-3</v>
      </c>
      <c r="AT8">
        <v>5.9433999999999995E-4</v>
      </c>
      <c r="AU8">
        <v>-1.9981E-3</v>
      </c>
      <c r="AV8">
        <v>5.2399300000000003E-3</v>
      </c>
      <c r="AW8">
        <v>2.3821200000000002E-3</v>
      </c>
      <c r="AX8">
        <v>5.5288999999999998E-3</v>
      </c>
      <c r="AY8">
        <v>-1.4916599999999999E-3</v>
      </c>
      <c r="AZ8">
        <v>1.181537E-2</v>
      </c>
      <c r="BA8">
        <v>-1.5517700000000001E-3</v>
      </c>
      <c r="BB8">
        <v>2.85483E-3</v>
      </c>
      <c r="BC8">
        <v>3.5163299999999998E-3</v>
      </c>
      <c r="BD8">
        <v>9.5131199999999999E-3</v>
      </c>
      <c r="BE8">
        <v>-9.7628999999999999E-4</v>
      </c>
      <c r="BF8">
        <v>8.0180400000000006E-3</v>
      </c>
      <c r="BG8">
        <v>2.60399E-3</v>
      </c>
      <c r="BH8">
        <v>6.5488600000000001E-3</v>
      </c>
      <c r="BI8">
        <v>6.8786899999999998E-3</v>
      </c>
      <c r="BJ8">
        <v>4.1372400000000004E-3</v>
      </c>
      <c r="BK8">
        <v>1.36883E-2</v>
      </c>
      <c r="BL8">
        <v>-3.3059299999999999E-3</v>
      </c>
      <c r="BM8">
        <v>3.2041700000000001E-3</v>
      </c>
      <c r="BN8">
        <v>-7.5429099999999999E-3</v>
      </c>
      <c r="BO8">
        <v>5.4213000000000004E-3</v>
      </c>
      <c r="BP8">
        <v>5.3665400000000004E-3</v>
      </c>
      <c r="BQ8">
        <v>6.5212600000000001E-3</v>
      </c>
      <c r="BR8">
        <v>2.3243000000000001E-3</v>
      </c>
      <c r="BS8">
        <v>-4.1638400000000002E-3</v>
      </c>
      <c r="BT8">
        <v>3.4275600000000001E-3</v>
      </c>
      <c r="BU8">
        <v>6.7914899999999999E-3</v>
      </c>
      <c r="BV8">
        <v>2.6593599999999999E-3</v>
      </c>
      <c r="BW8">
        <v>2.1702800000000001E-3</v>
      </c>
      <c r="BX8">
        <v>6.1590400000000002E-3</v>
      </c>
      <c r="BY8">
        <v>-3.3383900000000001E-3</v>
      </c>
      <c r="BZ8">
        <v>-5.8199E-4</v>
      </c>
      <c r="CA8">
        <v>1.037798E-2</v>
      </c>
      <c r="CB8">
        <v>-4.2799800000000001E-3</v>
      </c>
      <c r="CC8">
        <v>-5.2021999999999995E-4</v>
      </c>
      <c r="CD8">
        <v>3.24413E-3</v>
      </c>
      <c r="CE8">
        <v>3.5095500000000002E-3</v>
      </c>
      <c r="CF8">
        <v>-2.86491E-3</v>
      </c>
      <c r="CG8">
        <v>7.8709799999999996E-3</v>
      </c>
      <c r="CH8">
        <v>3.03513E-3</v>
      </c>
      <c r="CI8">
        <v>-5.1436600000000004E-3</v>
      </c>
      <c r="CJ8">
        <v>3.5740199999999998E-3</v>
      </c>
      <c r="CK8">
        <v>8.0287999999999996E-4</v>
      </c>
      <c r="CL8">
        <v>-3.1590000000000001E-5</v>
      </c>
      <c r="CM8">
        <v>4.1712900000000002E-3</v>
      </c>
      <c r="CN8">
        <v>1.3003020000000001E-2</v>
      </c>
      <c r="CO8">
        <v>-2.0570000000000001E-5</v>
      </c>
      <c r="CP8">
        <v>3.97387E-3</v>
      </c>
      <c r="CQ8">
        <v>3.5636800000000001E-3</v>
      </c>
      <c r="CR8">
        <v>-3.8902000000000001E-4</v>
      </c>
      <c r="CS8">
        <v>2.2313900000000002E-3</v>
      </c>
      <c r="CT8">
        <v>5.9789700000000001E-3</v>
      </c>
      <c r="CU8">
        <v>6.2983800000000001E-3</v>
      </c>
      <c r="CV8">
        <v>1.5E-3</v>
      </c>
      <c r="CW8">
        <v>-7.8702000000000004E-4</v>
      </c>
      <c r="CX8">
        <v>-3.3433999999999997E-4</v>
      </c>
      <c r="CY8">
        <v>1.8425200000000001E-3</v>
      </c>
      <c r="CZ8">
        <v>1.064417E-2</v>
      </c>
      <c r="DA8">
        <v>1.554343E-2</v>
      </c>
      <c r="DB8">
        <v>8.7203599999999999E-3</v>
      </c>
      <c r="DC8">
        <v>1.6575960000000001E-2</v>
      </c>
      <c r="DD8">
        <v>1.7590430000000001E-2</v>
      </c>
      <c r="DE8">
        <v>4.4292000000000003E-3</v>
      </c>
      <c r="DF8">
        <v>7.6394699999999998E-3</v>
      </c>
      <c r="DG8">
        <v>8.0432500000000001E-3</v>
      </c>
      <c r="DH8">
        <v>4.4453699999999997E-3</v>
      </c>
      <c r="DI8">
        <v>2.7113699999999998E-3</v>
      </c>
      <c r="DJ8">
        <v>1.9447E-4</v>
      </c>
      <c r="DK8">
        <v>2.0727100000000002E-3</v>
      </c>
      <c r="DL8">
        <v>1.968375E-2</v>
      </c>
      <c r="DM8">
        <v>2.1439499999999999E-3</v>
      </c>
      <c r="DN8">
        <v>-6.2431400000000003E-3</v>
      </c>
      <c r="DO8">
        <v>8.0072800000000003E-3</v>
      </c>
      <c r="DP8">
        <v>1.8950499999999999E-3</v>
      </c>
      <c r="DQ8">
        <v>-6.7900999999999997E-4</v>
      </c>
      <c r="DR8">
        <v>-1.81712E-3</v>
      </c>
      <c r="DS8">
        <v>3.8607099999999998E-3</v>
      </c>
      <c r="DT8">
        <v>4.57224E-3</v>
      </c>
      <c r="DU8">
        <v>1.255917E-2</v>
      </c>
      <c r="DV8">
        <v>6.8531800000000004E-3</v>
      </c>
      <c r="DW8">
        <v>8.9423599999999999E-3</v>
      </c>
      <c r="DX8">
        <v>7.6550000000000003E-3</v>
      </c>
      <c r="DY8">
        <v>4.1593400000000001E-3</v>
      </c>
      <c r="DZ8">
        <v>1.5991100000000001E-2</v>
      </c>
      <c r="EA8">
        <v>6.0671400000000004E-3</v>
      </c>
      <c r="EB8">
        <v>6.9053600000000001E-3</v>
      </c>
      <c r="EC8">
        <v>-2.6083999999999998E-4</v>
      </c>
      <c r="ED8">
        <v>1.353387E-2</v>
      </c>
      <c r="EE8">
        <v>5.58363E-3</v>
      </c>
      <c r="EF8">
        <v>1.21654E-2</v>
      </c>
      <c r="EG8">
        <v>-1.6450799999999999E-3</v>
      </c>
      <c r="EH8">
        <v>1.0786799999999999E-2</v>
      </c>
      <c r="EI8">
        <v>9.2971700000000004E-3</v>
      </c>
      <c r="EJ8">
        <v>9.4436899999999994E-3</v>
      </c>
      <c r="EK8">
        <v>6.6701699999999996E-3</v>
      </c>
      <c r="EL8">
        <v>1.5168640000000001E-2</v>
      </c>
      <c r="EM8">
        <v>4.7182999999999999E-3</v>
      </c>
      <c r="EN8">
        <v>2.4907800000000002E-3</v>
      </c>
      <c r="EO8">
        <v>-2.7737319999999999E-2</v>
      </c>
      <c r="EP8">
        <f t="shared" si="0"/>
        <v>0</v>
      </c>
      <c r="EQ8">
        <f>SUMIF('Mi portafolio'!$A$8:$A$19,$A8,'Mi portafolio'!$B$8:$B$19)</f>
        <v>0</v>
      </c>
    </row>
    <row r="9" spans="1:147" x14ac:dyDescent="0.25">
      <c r="A9" s="34" t="s">
        <v>84</v>
      </c>
      <c r="B9">
        <v>2.0838900000000001E-3</v>
      </c>
      <c r="C9">
        <v>3.1925500000000002E-3</v>
      </c>
      <c r="D9">
        <v>4.8697899999999997E-3</v>
      </c>
      <c r="E9">
        <v>3.9548079999999999E-2</v>
      </c>
      <c r="F9">
        <v>5.2536299999999996E-3</v>
      </c>
      <c r="G9">
        <v>1.9957199999999999E-3</v>
      </c>
      <c r="H9">
        <v>9.1222000000000004E-3</v>
      </c>
      <c r="I9">
        <v>6.4398499999999996E-3</v>
      </c>
      <c r="J9">
        <v>2.2082899999999999E-3</v>
      </c>
      <c r="K9">
        <v>3.2923599999999998E-3</v>
      </c>
      <c r="L9">
        <v>1.255593E-2</v>
      </c>
      <c r="M9">
        <v>8.3147199999999994E-3</v>
      </c>
      <c r="N9">
        <v>7.8547200000000008E-3</v>
      </c>
      <c r="O9">
        <v>1.565921E-2</v>
      </c>
      <c r="P9">
        <v>6.7591600000000002E-3</v>
      </c>
      <c r="Q9">
        <v>3.2850000000000002E-3</v>
      </c>
      <c r="R9">
        <v>3.8282400000000001E-3</v>
      </c>
      <c r="S9">
        <v>1.0882009999999999E-2</v>
      </c>
      <c r="T9">
        <v>5.7930999999999998E-3</v>
      </c>
      <c r="U9">
        <v>1.4209650000000001E-2</v>
      </c>
      <c r="V9">
        <v>1.434758E-2</v>
      </c>
      <c r="W9">
        <v>1.2479229999999999E-2</v>
      </c>
      <c r="X9">
        <v>6.5588499999999997E-3</v>
      </c>
      <c r="Y9">
        <v>1.8774900000000001E-3</v>
      </c>
      <c r="Z9">
        <v>8.5955800000000002E-3</v>
      </c>
      <c r="AA9">
        <v>9.6992699999999994E-3</v>
      </c>
      <c r="AB9">
        <v>2.5729400000000001E-3</v>
      </c>
      <c r="AC9">
        <v>1.484684E-2</v>
      </c>
      <c r="AD9">
        <v>1.17208E-2</v>
      </c>
      <c r="AE9">
        <v>9.32528E-3</v>
      </c>
      <c r="AF9">
        <v>1.7051409999999999E-2</v>
      </c>
      <c r="AG9">
        <v>3.9439100000000001E-3</v>
      </c>
      <c r="AH9">
        <v>4.3075199999999996E-3</v>
      </c>
      <c r="AI9">
        <v>3.3233899999999999E-3</v>
      </c>
      <c r="AJ9">
        <v>5.1101899999999997E-3</v>
      </c>
      <c r="AK9">
        <v>1.5762100000000001E-2</v>
      </c>
      <c r="AL9">
        <v>7.3359499999999999E-3</v>
      </c>
      <c r="AM9">
        <v>8.5647499999999994E-3</v>
      </c>
      <c r="AN9">
        <v>6.5742400000000003E-3</v>
      </c>
      <c r="AO9">
        <v>5.3080499999999999E-3</v>
      </c>
      <c r="AP9">
        <v>7.3099599999999999E-3</v>
      </c>
      <c r="AQ9">
        <v>5.8088200000000001E-3</v>
      </c>
      <c r="AR9">
        <v>4.0389700000000002E-3</v>
      </c>
      <c r="AS9">
        <v>1.044574E-2</v>
      </c>
      <c r="AT9">
        <v>6.6262200000000004E-3</v>
      </c>
      <c r="AU9">
        <v>4.6458200000000002E-3</v>
      </c>
      <c r="AV9">
        <v>2.495021E-2</v>
      </c>
      <c r="AW9">
        <v>9.3577E-3</v>
      </c>
      <c r="AX9">
        <v>7.3233999999999999E-3</v>
      </c>
      <c r="AY9">
        <v>5.6424200000000004E-3</v>
      </c>
      <c r="AZ9">
        <v>1.368433E-2</v>
      </c>
      <c r="BA9">
        <v>1.035729E-2</v>
      </c>
      <c r="BB9">
        <v>7.0609799999999997E-3</v>
      </c>
      <c r="BC9">
        <v>1.322894E-2</v>
      </c>
      <c r="BD9">
        <v>1.3431169999999999E-2</v>
      </c>
      <c r="BE9">
        <v>5.0432599999999999E-3</v>
      </c>
      <c r="BF9">
        <v>1.970007E-2</v>
      </c>
      <c r="BG9">
        <v>-6.1454000000000001E-4</v>
      </c>
      <c r="BH9">
        <v>1.3283339999999999E-2</v>
      </c>
      <c r="BI9">
        <v>1.238584E-2</v>
      </c>
      <c r="BJ9">
        <v>3.9018899999999999E-3</v>
      </c>
      <c r="BK9">
        <v>1.1568999999999999E-2</v>
      </c>
      <c r="BL9">
        <v>6.56173E-3</v>
      </c>
      <c r="BM9">
        <v>1.4288779999999999E-2</v>
      </c>
      <c r="BN9">
        <v>5.1610199999999997E-3</v>
      </c>
      <c r="BO9">
        <v>4.9760999999999998E-3</v>
      </c>
      <c r="BP9">
        <v>4.9553100000000001E-3</v>
      </c>
      <c r="BQ9">
        <v>9.6352199999999999E-3</v>
      </c>
      <c r="BR9">
        <v>4.5732300000000002E-3</v>
      </c>
      <c r="BS9">
        <v>2.1058399999999999E-3</v>
      </c>
      <c r="BT9">
        <v>3.6026500000000002E-3</v>
      </c>
      <c r="BU9">
        <v>1.1849989999999999E-2</v>
      </c>
      <c r="BV9">
        <v>-2.1653200000000001E-3</v>
      </c>
      <c r="BW9">
        <v>8.6934400000000002E-3</v>
      </c>
      <c r="BX9">
        <v>1.20393E-3</v>
      </c>
      <c r="BY9">
        <v>3.86879E-3</v>
      </c>
      <c r="BZ9">
        <v>8.9456099999999997E-3</v>
      </c>
      <c r="CA9">
        <v>1.8475559999999999E-2</v>
      </c>
      <c r="CB9">
        <v>1.3799400000000001E-3</v>
      </c>
      <c r="CC9">
        <v>4.33987E-3</v>
      </c>
      <c r="CD9">
        <v>3.8573100000000001E-3</v>
      </c>
      <c r="CE9">
        <v>3.0032000000000002E-4</v>
      </c>
      <c r="CF9">
        <v>2.1739799999999998E-3</v>
      </c>
      <c r="CG9">
        <v>2.0184199999999999E-3</v>
      </c>
      <c r="CH9">
        <v>1.362353E-2</v>
      </c>
      <c r="CI9">
        <v>-3.9493699999999998E-3</v>
      </c>
      <c r="CJ9">
        <v>4.5542400000000002E-3</v>
      </c>
      <c r="CK9">
        <v>9.20464E-3</v>
      </c>
      <c r="CL9">
        <v>-3.7437000000000001E-4</v>
      </c>
      <c r="CM9">
        <v>-2.6443999999999999E-3</v>
      </c>
      <c r="CN9">
        <v>1.041868E-2</v>
      </c>
      <c r="CO9">
        <v>1.1170329999999999E-2</v>
      </c>
      <c r="CP9">
        <v>2.0329499999999999E-3</v>
      </c>
      <c r="CQ9">
        <v>1.398693E-2</v>
      </c>
      <c r="CR9">
        <v>6.1675000000000002E-3</v>
      </c>
      <c r="CS9">
        <v>6.0573500000000004E-3</v>
      </c>
      <c r="CT9">
        <v>1.240931E-2</v>
      </c>
      <c r="CU9">
        <v>6.3741000000000004E-4</v>
      </c>
      <c r="CV9">
        <v>-7.7304999999999995E-4</v>
      </c>
      <c r="CW9">
        <v>8.3973599999999995E-3</v>
      </c>
      <c r="CX9">
        <v>5.3172599999999999E-3</v>
      </c>
      <c r="CY9">
        <v>1.7190299999999999E-2</v>
      </c>
      <c r="CZ9">
        <v>4.6717900000000003E-3</v>
      </c>
      <c r="DA9">
        <v>-2.6258100000000001E-3</v>
      </c>
      <c r="DB9">
        <v>1.7844800000000001E-2</v>
      </c>
      <c r="DC9">
        <v>1.641426E-2</v>
      </c>
      <c r="DD9">
        <v>1.1776419999999999E-2</v>
      </c>
      <c r="DE9">
        <v>1.3903499999999999E-2</v>
      </c>
      <c r="DF9">
        <v>3.76027E-3</v>
      </c>
      <c r="DG9">
        <v>8.5527799999999994E-3</v>
      </c>
      <c r="DH9">
        <v>9.2258700000000006E-3</v>
      </c>
      <c r="DI9">
        <v>1.9747279999999999E-2</v>
      </c>
      <c r="DJ9">
        <v>7.5652599999999999E-3</v>
      </c>
      <c r="DK9">
        <v>1.314835E-2</v>
      </c>
      <c r="DL9">
        <v>1.0743020000000001E-2</v>
      </c>
      <c r="DM9">
        <v>1.263659E-2</v>
      </c>
      <c r="DN9">
        <v>-1.8644499999999999E-3</v>
      </c>
      <c r="DO9">
        <v>1.5726879999999999E-2</v>
      </c>
      <c r="DP9">
        <v>5.8571500000000002E-3</v>
      </c>
      <c r="DQ9">
        <v>9.2311000000000008E-3</v>
      </c>
      <c r="DR9">
        <v>1.3125339999999999E-2</v>
      </c>
      <c r="DS9">
        <v>-1.77684E-3</v>
      </c>
      <c r="DT9">
        <v>5.4967799999999997E-3</v>
      </c>
      <c r="DU9">
        <v>1.5589189999999999E-2</v>
      </c>
      <c r="DV9">
        <v>1.137692E-2</v>
      </c>
      <c r="DW9">
        <v>2.2873199999999998E-3</v>
      </c>
      <c r="DX9">
        <v>5.6599600000000003E-3</v>
      </c>
      <c r="DY9">
        <v>1.132972E-2</v>
      </c>
      <c r="DZ9">
        <v>3.3465299999999999E-3</v>
      </c>
      <c r="EA9">
        <v>6.1208399999999998E-3</v>
      </c>
      <c r="EB9">
        <v>1.546898E-2</v>
      </c>
      <c r="EC9">
        <v>1.150355E-2</v>
      </c>
      <c r="ED9">
        <v>2.591968E-2</v>
      </c>
      <c r="EE9">
        <v>1.000647E-2</v>
      </c>
      <c r="EF9">
        <v>9.4322000000000004E-4</v>
      </c>
      <c r="EG9">
        <v>7.8836400000000008E-3</v>
      </c>
      <c r="EH9">
        <v>-3.5125600000000001E-3</v>
      </c>
      <c r="EI9">
        <v>-3.3923E-3</v>
      </c>
      <c r="EJ9">
        <v>2.9259469999999999E-2</v>
      </c>
      <c r="EK9">
        <v>9.8461E-3</v>
      </c>
      <c r="EL9">
        <v>1.4793239999999999E-2</v>
      </c>
      <c r="EM9">
        <v>8.7273300000000002E-3</v>
      </c>
      <c r="EN9">
        <v>8.0595900000000002E-3</v>
      </c>
      <c r="EO9">
        <v>8.3510200000000007E-3</v>
      </c>
      <c r="EP9">
        <f t="shared" si="0"/>
        <v>0</v>
      </c>
      <c r="EQ9">
        <f>SUMIF('Mi portafolio'!$A$8:$A$19,$A9,'Mi portafolio'!$B$8:$B$19)</f>
        <v>0</v>
      </c>
    </row>
    <row r="10" spans="1:147" x14ac:dyDescent="0.25">
      <c r="A10" s="34" t="s">
        <v>85</v>
      </c>
      <c r="B10">
        <v>1.435937E-2</v>
      </c>
      <c r="C10">
        <v>4.0298999999999999E-4</v>
      </c>
      <c r="D10">
        <v>-3.44298E-3</v>
      </c>
      <c r="E10">
        <v>5.2536299999999996E-3</v>
      </c>
      <c r="F10">
        <v>4.1597410000000001E-2</v>
      </c>
      <c r="G10">
        <v>-1.12116E-3</v>
      </c>
      <c r="H10">
        <v>3.3654100000000001E-3</v>
      </c>
      <c r="I10">
        <v>2.4226919999999999E-2</v>
      </c>
      <c r="J10">
        <v>1.9824939999999999E-2</v>
      </c>
      <c r="K10">
        <v>2.480373E-2</v>
      </c>
      <c r="L10">
        <v>6.7344500000000003E-3</v>
      </c>
      <c r="M10">
        <v>1.2740039999999999E-2</v>
      </c>
      <c r="N10">
        <v>1.3570759999999999E-2</v>
      </c>
      <c r="O10">
        <v>3.4121799999999999E-3</v>
      </c>
      <c r="P10">
        <v>2.16253E-2</v>
      </c>
      <c r="Q10">
        <v>-4.8367899999999997E-3</v>
      </c>
      <c r="R10">
        <v>2.910072E-2</v>
      </c>
      <c r="S10">
        <v>4.7420199999999996E-3</v>
      </c>
      <c r="T10">
        <v>2.3467800000000001E-3</v>
      </c>
      <c r="U10">
        <v>2.7130800000000001E-3</v>
      </c>
      <c r="V10">
        <v>1.9628800000000002E-3</v>
      </c>
      <c r="W10">
        <v>6.04588E-3</v>
      </c>
      <c r="X10">
        <v>1.2738700000000001E-3</v>
      </c>
      <c r="Y10">
        <v>1.47335E-2</v>
      </c>
      <c r="Z10">
        <v>4.7111599999999998E-3</v>
      </c>
      <c r="AA10">
        <v>1.314017E-2</v>
      </c>
      <c r="AB10">
        <v>1.5871039999999999E-2</v>
      </c>
      <c r="AC10">
        <v>-1.41898E-3</v>
      </c>
      <c r="AD10">
        <v>6.7176500000000004E-3</v>
      </c>
      <c r="AE10">
        <v>-3.6952E-3</v>
      </c>
      <c r="AF10">
        <v>-5.0852900000000001E-3</v>
      </c>
      <c r="AG10">
        <v>2.087926E-2</v>
      </c>
      <c r="AH10">
        <v>2.1898560000000001E-2</v>
      </c>
      <c r="AI10">
        <v>1.207886E-2</v>
      </c>
      <c r="AJ10">
        <v>-1.72554E-3</v>
      </c>
      <c r="AK10">
        <v>-2.0096300000000001E-3</v>
      </c>
      <c r="AL10">
        <v>1.404468E-2</v>
      </c>
      <c r="AM10">
        <v>-2.0037000000000001E-4</v>
      </c>
      <c r="AN10">
        <v>2.137466E-2</v>
      </c>
      <c r="AO10">
        <v>2.178134E-2</v>
      </c>
      <c r="AP10">
        <v>1.5707829999999999E-2</v>
      </c>
      <c r="AQ10">
        <v>1.39507E-2</v>
      </c>
      <c r="AR10">
        <v>2.7240300000000001E-3</v>
      </c>
      <c r="AS10">
        <v>1.3546000000000001E-4</v>
      </c>
      <c r="AT10">
        <v>4.7020999999999999E-3</v>
      </c>
      <c r="AU10">
        <v>2.3051169999999999E-2</v>
      </c>
      <c r="AV10">
        <v>4.5400700000000002E-3</v>
      </c>
      <c r="AW10">
        <v>-2.2112799999999999E-3</v>
      </c>
      <c r="AX10">
        <v>2.1364419999999999E-2</v>
      </c>
      <c r="AY10">
        <v>1.982331E-2</v>
      </c>
      <c r="AZ10">
        <v>-1.2024500000000001E-3</v>
      </c>
      <c r="BA10">
        <v>1.2675189999999999E-2</v>
      </c>
      <c r="BB10">
        <v>-4.8513300000000001E-3</v>
      </c>
      <c r="BC10">
        <v>4.2565900000000002E-3</v>
      </c>
      <c r="BD10">
        <v>3.6671000000000002E-4</v>
      </c>
      <c r="BE10">
        <v>2.5624310000000001E-2</v>
      </c>
      <c r="BF10">
        <v>2.15993E-3</v>
      </c>
      <c r="BG10">
        <v>6.5749900000000002E-3</v>
      </c>
      <c r="BH10">
        <v>-5.0960000000000003E-4</v>
      </c>
      <c r="BI10">
        <v>-4.7496200000000004E-3</v>
      </c>
      <c r="BJ10">
        <v>-5.60393E-3</v>
      </c>
      <c r="BK10">
        <v>-3.2269400000000002E-3</v>
      </c>
      <c r="BL10">
        <v>6.8588E-3</v>
      </c>
      <c r="BM10">
        <v>2.335831E-2</v>
      </c>
      <c r="BN10">
        <v>1.37495E-2</v>
      </c>
      <c r="BO10">
        <v>5.0466599999999997E-3</v>
      </c>
      <c r="BP10">
        <v>-9.4121000000000005E-4</v>
      </c>
      <c r="BQ10">
        <v>-2.7845299999999999E-3</v>
      </c>
      <c r="BR10">
        <v>9.7785300000000006E-3</v>
      </c>
      <c r="BS10">
        <v>9.6803299999999991E-3</v>
      </c>
      <c r="BT10">
        <v>5.4317599999999999E-3</v>
      </c>
      <c r="BU10">
        <v>-4.4259299999999998E-3</v>
      </c>
      <c r="BV10">
        <v>1.35227E-3</v>
      </c>
      <c r="BW10">
        <v>1.125965E-2</v>
      </c>
      <c r="BX10">
        <v>1.603075E-2</v>
      </c>
      <c r="BY10">
        <v>1.7906189999999999E-2</v>
      </c>
      <c r="BZ10">
        <v>6.0330699999999998E-3</v>
      </c>
      <c r="CA10">
        <v>2.2388999999999998E-3</v>
      </c>
      <c r="CB10">
        <v>5.1692500000000002E-3</v>
      </c>
      <c r="CC10">
        <v>5.4457300000000002E-3</v>
      </c>
      <c r="CD10">
        <v>1.2111759999999999E-2</v>
      </c>
      <c r="CE10">
        <v>-5.7373399999999996E-3</v>
      </c>
      <c r="CF10">
        <v>1.694872E-2</v>
      </c>
      <c r="CG10">
        <v>1.2423709999999999E-2</v>
      </c>
      <c r="CH10">
        <v>-5.4460799999999998E-3</v>
      </c>
      <c r="CI10">
        <v>1.387304E-2</v>
      </c>
      <c r="CJ10">
        <v>2.2806239999999998E-2</v>
      </c>
      <c r="CK10">
        <v>2.0082860000000001E-2</v>
      </c>
      <c r="CL10">
        <v>1.072329E-2</v>
      </c>
      <c r="CM10">
        <v>-1.415489E-2</v>
      </c>
      <c r="CN10">
        <v>-6.4776900000000004E-3</v>
      </c>
      <c r="CO10">
        <v>-1.6162699999999999E-3</v>
      </c>
      <c r="CP10">
        <v>9.0722300000000006E-3</v>
      </c>
      <c r="CQ10">
        <v>8.4283199999999996E-3</v>
      </c>
      <c r="CR10">
        <v>-1.0763429999999999E-2</v>
      </c>
      <c r="CS10">
        <v>-1.1626539999999999E-2</v>
      </c>
      <c r="CT10">
        <v>-1.50391E-3</v>
      </c>
      <c r="CU10">
        <v>-1.2399000000000001E-4</v>
      </c>
      <c r="CV10">
        <v>-5.3334200000000002E-3</v>
      </c>
      <c r="CW10">
        <v>8.0125000000000005E-3</v>
      </c>
      <c r="CX10">
        <v>4.4385600000000002E-3</v>
      </c>
      <c r="CY10">
        <v>1.241834E-2</v>
      </c>
      <c r="CZ10">
        <v>1.98541E-3</v>
      </c>
      <c r="DA10">
        <v>5.8132899999999996E-3</v>
      </c>
      <c r="DB10">
        <v>-7.3662600000000003E-3</v>
      </c>
      <c r="DC10">
        <v>-9.08898E-3</v>
      </c>
      <c r="DD10">
        <v>2.6983699999999998E-3</v>
      </c>
      <c r="DE10">
        <v>-1.1037699999999999E-2</v>
      </c>
      <c r="DF10">
        <v>7.1811399999999999E-3</v>
      </c>
      <c r="DG10">
        <v>-7.2301500000000003E-3</v>
      </c>
      <c r="DH10">
        <v>-1.556222E-2</v>
      </c>
      <c r="DI10">
        <v>1.033509E-2</v>
      </c>
      <c r="DJ10">
        <v>1.446685E-2</v>
      </c>
      <c r="DK10">
        <v>7.1360499999999997E-3</v>
      </c>
      <c r="DL10">
        <v>-1.1848040000000001E-2</v>
      </c>
      <c r="DM10">
        <v>1.62758E-2</v>
      </c>
      <c r="DN10">
        <v>1.6583629999999999E-2</v>
      </c>
      <c r="DO10">
        <v>-1.3914009999999999E-2</v>
      </c>
      <c r="DP10">
        <v>1.4338760000000001E-2</v>
      </c>
      <c r="DQ10">
        <v>-1.221845E-2</v>
      </c>
      <c r="DR10">
        <v>-1.036639E-2</v>
      </c>
      <c r="DS10">
        <v>4.2006300000000003E-3</v>
      </c>
      <c r="DT10">
        <v>-2.9693199999999999E-2</v>
      </c>
      <c r="DU10">
        <v>-1.427731E-2</v>
      </c>
      <c r="DV10">
        <v>-1.08048E-2</v>
      </c>
      <c r="DW10">
        <v>-4.9746399999999998E-3</v>
      </c>
      <c r="DX10">
        <v>-2.365387E-2</v>
      </c>
      <c r="DY10">
        <v>3.6560000000000002E-5</v>
      </c>
      <c r="DZ10">
        <v>-6.9718499999999999E-3</v>
      </c>
      <c r="EA10">
        <v>1.69816E-3</v>
      </c>
      <c r="EB10">
        <v>-7.6295599999999996E-3</v>
      </c>
      <c r="EC10">
        <v>-1.731597E-2</v>
      </c>
      <c r="ED10">
        <v>-3.8890499999999998E-3</v>
      </c>
      <c r="EE10">
        <v>-2.505806E-2</v>
      </c>
      <c r="EF10">
        <v>-9.7587400000000001E-3</v>
      </c>
      <c r="EG10">
        <v>-1.4710920000000001E-2</v>
      </c>
      <c r="EH10">
        <v>9.1148500000000007E-3</v>
      </c>
      <c r="EI10">
        <v>-3.352807E-2</v>
      </c>
      <c r="EJ10">
        <v>3.5180400000000001E-3</v>
      </c>
      <c r="EK10">
        <v>-8.3944899999999992E-3</v>
      </c>
      <c r="EL10">
        <v>-2.8382870000000001E-2</v>
      </c>
      <c r="EM10">
        <v>-1.905225E-2</v>
      </c>
      <c r="EN10">
        <v>2.1244829999999999E-2</v>
      </c>
      <c r="EO10">
        <v>3.1865270000000001E-2</v>
      </c>
      <c r="EP10">
        <f t="shared" si="0"/>
        <v>0</v>
      </c>
      <c r="EQ10">
        <f>SUMIF('Mi portafolio'!$A$8:$A$19,$A10,'Mi portafolio'!$B$8:$B$19)</f>
        <v>0</v>
      </c>
    </row>
    <row r="11" spans="1:147" x14ac:dyDescent="0.25">
      <c r="A11" s="34" t="s">
        <v>86</v>
      </c>
      <c r="B11">
        <v>-3.7771200000000001E-3</v>
      </c>
      <c r="C11">
        <v>8.3876000000000003E-4</v>
      </c>
      <c r="D11">
        <v>4.83089E-3</v>
      </c>
      <c r="E11">
        <v>1.9957199999999999E-3</v>
      </c>
      <c r="F11">
        <v>-1.12116E-3</v>
      </c>
      <c r="G11">
        <v>4.2384860000000003E-2</v>
      </c>
      <c r="H11">
        <v>7.7230399999999996E-3</v>
      </c>
      <c r="I11">
        <v>5.3496999999999996E-4</v>
      </c>
      <c r="J11">
        <v>-5.2101999999999997E-4</v>
      </c>
      <c r="K11">
        <v>3.5694999999999998E-4</v>
      </c>
      <c r="L11">
        <v>-3.8852E-4</v>
      </c>
      <c r="M11">
        <v>2.52403E-3</v>
      </c>
      <c r="N11">
        <v>2.1728899999999998E-3</v>
      </c>
      <c r="O11">
        <v>5.4403899999999998E-3</v>
      </c>
      <c r="P11">
        <v>-4.8199499999999999E-3</v>
      </c>
      <c r="Q11">
        <v>2.2429099999999999E-3</v>
      </c>
      <c r="R11">
        <v>-1.20195E-3</v>
      </c>
      <c r="S11">
        <v>-2.0997199999999998E-3</v>
      </c>
      <c r="T11">
        <v>6.3411000000000001E-4</v>
      </c>
      <c r="U11">
        <v>3.9287699999999998E-3</v>
      </c>
      <c r="V11">
        <v>6.8400900000000001E-3</v>
      </c>
      <c r="W11">
        <v>2.05237E-3</v>
      </c>
      <c r="X11">
        <v>-1.29375E-3</v>
      </c>
      <c r="Y11">
        <v>-2.5939499999999998E-3</v>
      </c>
      <c r="Z11">
        <v>1.0803979999999999E-2</v>
      </c>
      <c r="AA11">
        <v>4.0591100000000003E-3</v>
      </c>
      <c r="AB11">
        <v>-6.7086999999999995E-4</v>
      </c>
      <c r="AC11">
        <v>7.8424399999999991E-3</v>
      </c>
      <c r="AD11">
        <v>1.9474E-3</v>
      </c>
      <c r="AE11">
        <v>1.1111950000000001E-2</v>
      </c>
      <c r="AF11">
        <v>1.01251E-2</v>
      </c>
      <c r="AG11">
        <v>-4.5873600000000004E-3</v>
      </c>
      <c r="AH11">
        <v>-4.6732199999999996E-3</v>
      </c>
      <c r="AI11">
        <v>-3.4911600000000001E-3</v>
      </c>
      <c r="AJ11">
        <v>4.5125299999999998E-3</v>
      </c>
      <c r="AK11">
        <v>7.4140300000000003E-3</v>
      </c>
      <c r="AL11">
        <v>-3.5066199999999998E-3</v>
      </c>
      <c r="AM11">
        <v>9.5459800000000008E-3</v>
      </c>
      <c r="AN11">
        <v>-1.55489E-3</v>
      </c>
      <c r="AO11">
        <v>1.3748199999999999E-3</v>
      </c>
      <c r="AP11">
        <v>2.69024E-3</v>
      </c>
      <c r="AQ11">
        <v>-1.08836E-3</v>
      </c>
      <c r="AR11">
        <v>-7.9779999999999998E-5</v>
      </c>
      <c r="AS11">
        <v>9.0424600000000004E-3</v>
      </c>
      <c r="AT11">
        <v>-2.6341899999999998E-3</v>
      </c>
      <c r="AU11">
        <v>-1.20312E-3</v>
      </c>
      <c r="AV11">
        <v>3.1241099999999998E-3</v>
      </c>
      <c r="AW11">
        <v>6.62541E-3</v>
      </c>
      <c r="AX11">
        <v>2.9562E-3</v>
      </c>
      <c r="AY11">
        <v>2.0027000000000001E-3</v>
      </c>
      <c r="AZ11">
        <v>6.7279100000000001E-3</v>
      </c>
      <c r="BA11">
        <v>6.7000999999999996E-4</v>
      </c>
      <c r="BB11">
        <v>5.0184299999999999E-3</v>
      </c>
      <c r="BC11">
        <v>2.3718300000000001E-3</v>
      </c>
      <c r="BD11">
        <v>1.0131579999999999E-2</v>
      </c>
      <c r="BE11">
        <v>-1.53582E-3</v>
      </c>
      <c r="BF11">
        <v>1.407899E-2</v>
      </c>
      <c r="BG11">
        <v>-1.0913699999999999E-3</v>
      </c>
      <c r="BH11">
        <v>2.1392899999999999E-3</v>
      </c>
      <c r="BI11">
        <v>6.0902700000000001E-3</v>
      </c>
      <c r="BJ11">
        <v>4.1590500000000001E-3</v>
      </c>
      <c r="BK11">
        <v>1.1051729999999999E-2</v>
      </c>
      <c r="BL11">
        <v>5.3574299999999998E-3</v>
      </c>
      <c r="BM11">
        <v>-5.1192599999999996E-3</v>
      </c>
      <c r="BN11">
        <v>9.5609000000000004E-4</v>
      </c>
      <c r="BO11">
        <v>5.0400799999999997E-3</v>
      </c>
      <c r="BP11">
        <v>-1.9839699999999998E-3</v>
      </c>
      <c r="BQ11">
        <v>6.4305899999999999E-3</v>
      </c>
      <c r="BR11">
        <v>-4.4360000000000002E-5</v>
      </c>
      <c r="BS11">
        <v>-1.3294000000000001E-4</v>
      </c>
      <c r="BT11">
        <v>9.2060999999999998E-4</v>
      </c>
      <c r="BU11">
        <v>-5.8940999999999996E-4</v>
      </c>
      <c r="BV11">
        <v>1.4749400000000001E-3</v>
      </c>
      <c r="BW11">
        <v>6.3328999999999998E-3</v>
      </c>
      <c r="BX11">
        <v>-8.0270000000000002E-5</v>
      </c>
      <c r="BY11">
        <v>2.1343500000000001E-3</v>
      </c>
      <c r="BZ11">
        <v>-6.3448799999999998E-3</v>
      </c>
      <c r="CA11">
        <v>9.30746E-3</v>
      </c>
      <c r="CB11">
        <v>-8.4261999999999998E-4</v>
      </c>
      <c r="CC11">
        <v>2.6017599999999998E-3</v>
      </c>
      <c r="CD11">
        <v>1.7132899999999999E-3</v>
      </c>
      <c r="CE11">
        <v>-1.1513599999999999E-3</v>
      </c>
      <c r="CF11">
        <v>1.4192300000000001E-3</v>
      </c>
      <c r="CG11">
        <v>4.2248800000000003E-3</v>
      </c>
      <c r="CH11">
        <v>1.3155719999999999E-2</v>
      </c>
      <c r="CI11">
        <v>-1.7067E-3</v>
      </c>
      <c r="CJ11">
        <v>5.37917E-3</v>
      </c>
      <c r="CK11">
        <v>-7.9362200000000008E-3</v>
      </c>
      <c r="CL11">
        <v>5.6795099999999996E-3</v>
      </c>
      <c r="CM11">
        <v>-1.3574699999999999E-3</v>
      </c>
      <c r="CN11">
        <v>9.0018500000000005E-3</v>
      </c>
      <c r="CO11">
        <v>-3.3474400000000001E-3</v>
      </c>
      <c r="CP11">
        <v>4.7192400000000004E-3</v>
      </c>
      <c r="CQ11">
        <v>-4.19865E-3</v>
      </c>
      <c r="CR11">
        <v>-5.2388000000000001E-4</v>
      </c>
      <c r="CS11">
        <v>3.7314999999999999E-4</v>
      </c>
      <c r="CT11">
        <v>1.2867689999999999E-2</v>
      </c>
      <c r="CU11">
        <v>-2.5706499999999998E-3</v>
      </c>
      <c r="CV11">
        <v>1.0991799999999999E-3</v>
      </c>
      <c r="CW11">
        <v>-2.1363100000000002E-3</v>
      </c>
      <c r="CX11">
        <v>7.1626800000000003E-3</v>
      </c>
      <c r="CY11">
        <v>3.5742E-4</v>
      </c>
      <c r="CZ11">
        <v>-1.040935E-2</v>
      </c>
      <c r="DA11">
        <v>-9.0830600000000004E-3</v>
      </c>
      <c r="DB11">
        <v>7.4929200000000001E-3</v>
      </c>
      <c r="DC11">
        <v>9.6285699999999995E-3</v>
      </c>
      <c r="DD11">
        <v>5.0228399999999998E-3</v>
      </c>
      <c r="DE11">
        <v>2.94371E-3</v>
      </c>
      <c r="DF11">
        <v>7.0898000000000001E-4</v>
      </c>
      <c r="DG11">
        <v>3.68666E-3</v>
      </c>
      <c r="DH11">
        <v>-2.4841899999999998E-3</v>
      </c>
      <c r="DI11">
        <v>-3.4220000000000002E-4</v>
      </c>
      <c r="DJ11">
        <v>-4.2122499999999998E-3</v>
      </c>
      <c r="DK11">
        <v>-5.6020699999999998E-3</v>
      </c>
      <c r="DL11">
        <v>1.6996799999999999E-2</v>
      </c>
      <c r="DM11">
        <v>4.37931E-3</v>
      </c>
      <c r="DN11">
        <v>3.0492700000000002E-3</v>
      </c>
      <c r="DO11">
        <v>-4.2535200000000002E-3</v>
      </c>
      <c r="DP11">
        <v>7.1967999999999999E-4</v>
      </c>
      <c r="DQ11">
        <v>-2.0746239999999999E-2</v>
      </c>
      <c r="DR11">
        <v>8.6907700000000004E-3</v>
      </c>
      <c r="DS11">
        <v>-2.7624199999999998E-3</v>
      </c>
      <c r="DT11">
        <v>-4.3683000000000003E-3</v>
      </c>
      <c r="DU11">
        <v>4.2501800000000001E-3</v>
      </c>
      <c r="DV11">
        <v>5.3252999999999998E-3</v>
      </c>
      <c r="DW11">
        <v>-9.5350000000000001E-3</v>
      </c>
      <c r="DX11">
        <v>1.6220399999999999E-3</v>
      </c>
      <c r="DY11">
        <v>-5.0500199999999997E-3</v>
      </c>
      <c r="DZ11">
        <v>5.3241E-3</v>
      </c>
      <c r="EA11">
        <v>5.11627E-3</v>
      </c>
      <c r="EB11">
        <v>2.51396E-3</v>
      </c>
      <c r="EC11">
        <v>2.025952E-2</v>
      </c>
      <c r="ED11">
        <v>1.0044839999999999E-2</v>
      </c>
      <c r="EE11">
        <v>4.48051E-3</v>
      </c>
      <c r="EF11">
        <v>1.125018E-2</v>
      </c>
      <c r="EG11">
        <v>8.6555899999999995E-3</v>
      </c>
      <c r="EH11">
        <v>-1.1106909999999999E-2</v>
      </c>
      <c r="EI11">
        <v>1.4867700000000001E-3</v>
      </c>
      <c r="EJ11">
        <v>1.9347110000000001E-2</v>
      </c>
      <c r="EK11">
        <v>8.5692800000000003E-3</v>
      </c>
      <c r="EL11">
        <v>8.6228099999999998E-3</v>
      </c>
      <c r="EM11">
        <v>-9.6544899999999999E-3</v>
      </c>
      <c r="EN11">
        <v>9.4336100000000003E-3</v>
      </c>
      <c r="EO11">
        <v>2.8785229999999998E-2</v>
      </c>
      <c r="EP11">
        <f t="shared" si="0"/>
        <v>0</v>
      </c>
      <c r="EQ11">
        <f>SUMIF('Mi portafolio'!$A$8:$A$19,$A11,'Mi portafolio'!$B$8:$B$19)</f>
        <v>0</v>
      </c>
    </row>
    <row r="12" spans="1:147" x14ac:dyDescent="0.25">
      <c r="A12" s="34" t="s">
        <v>87</v>
      </c>
      <c r="B12">
        <v>-6.5853000000000005E-4</v>
      </c>
      <c r="C12">
        <v>5.1104000000000002E-3</v>
      </c>
      <c r="D12">
        <v>5.90904E-3</v>
      </c>
      <c r="E12">
        <v>9.1222000000000004E-3</v>
      </c>
      <c r="F12">
        <v>3.3654100000000001E-3</v>
      </c>
      <c r="G12">
        <v>7.7230399999999996E-3</v>
      </c>
      <c r="H12">
        <v>4.3276839999999997E-2</v>
      </c>
      <c r="I12">
        <v>3.7045300000000001E-3</v>
      </c>
      <c r="J12">
        <v>-1.4956E-4</v>
      </c>
      <c r="K12">
        <v>4.3287200000000003E-3</v>
      </c>
      <c r="L12">
        <v>8.8158500000000001E-3</v>
      </c>
      <c r="M12">
        <v>8.0979599999999995E-3</v>
      </c>
      <c r="N12">
        <v>4.91034E-3</v>
      </c>
      <c r="O12">
        <v>9.88057E-3</v>
      </c>
      <c r="P12">
        <v>6.7977999999999995E-4</v>
      </c>
      <c r="Q12">
        <v>-7.4275999999999997E-4</v>
      </c>
      <c r="R12">
        <v>2.4143400000000001E-3</v>
      </c>
      <c r="S12">
        <v>1.171668E-2</v>
      </c>
      <c r="T12">
        <v>1.33321E-3</v>
      </c>
      <c r="U12">
        <v>1.403214E-2</v>
      </c>
      <c r="V12">
        <v>1.7554899999999998E-2</v>
      </c>
      <c r="W12">
        <v>7.0027099999999997E-3</v>
      </c>
      <c r="X12">
        <v>3.10612E-3</v>
      </c>
      <c r="Y12">
        <v>-4.2134599999999996E-3</v>
      </c>
      <c r="Z12">
        <v>1.404121E-2</v>
      </c>
      <c r="AA12">
        <v>1.0521900000000001E-2</v>
      </c>
      <c r="AB12">
        <v>-4.7863999999999997E-3</v>
      </c>
      <c r="AC12">
        <v>1.182163E-2</v>
      </c>
      <c r="AD12">
        <v>1.0936090000000001E-2</v>
      </c>
      <c r="AE12">
        <v>1.09847E-2</v>
      </c>
      <c r="AF12">
        <v>1.356655E-2</v>
      </c>
      <c r="AG12">
        <v>-1.7437500000000001E-3</v>
      </c>
      <c r="AH12">
        <v>1.3360999999999999E-4</v>
      </c>
      <c r="AI12">
        <v>-6.6414200000000003E-3</v>
      </c>
      <c r="AJ12">
        <v>1.4647449999999999E-2</v>
      </c>
      <c r="AK12">
        <v>1.4356519999999999E-2</v>
      </c>
      <c r="AL12">
        <v>5.4982999999999996E-4</v>
      </c>
      <c r="AM12">
        <v>9.4760999999999995E-3</v>
      </c>
      <c r="AN12">
        <v>7.8873799999999994E-3</v>
      </c>
      <c r="AO12">
        <v>-2.5417000000000001E-4</v>
      </c>
      <c r="AP12">
        <v>1.1228099999999999E-3</v>
      </c>
      <c r="AQ12">
        <v>-4.9695399999999997E-3</v>
      </c>
      <c r="AR12">
        <v>-1.2076599999999999E-3</v>
      </c>
      <c r="AS12">
        <v>1.8332379999999999E-2</v>
      </c>
      <c r="AT12">
        <v>-2.4454000000000001E-4</v>
      </c>
      <c r="AU12">
        <v>1.1620700000000001E-3</v>
      </c>
      <c r="AV12">
        <v>1.0960839999999999E-2</v>
      </c>
      <c r="AW12">
        <v>2.1031419999999999E-2</v>
      </c>
      <c r="AX12">
        <v>3.4584799999999999E-3</v>
      </c>
      <c r="AY12">
        <v>9.9419999999999993E-5</v>
      </c>
      <c r="AZ12">
        <v>1.7157550000000001E-2</v>
      </c>
      <c r="BA12">
        <v>4.6021999999999999E-3</v>
      </c>
      <c r="BB12">
        <v>1.7346200000000001E-3</v>
      </c>
      <c r="BC12">
        <v>9.7085000000000001E-3</v>
      </c>
      <c r="BD12">
        <v>1.463981E-2</v>
      </c>
      <c r="BE12">
        <v>5.5145400000000001E-3</v>
      </c>
      <c r="BF12">
        <v>1.502121E-2</v>
      </c>
      <c r="BG12">
        <v>2.1047800000000001E-3</v>
      </c>
      <c r="BH12">
        <v>1.9235740000000001E-2</v>
      </c>
      <c r="BI12">
        <v>9.1104700000000007E-3</v>
      </c>
      <c r="BJ12">
        <v>-5.3015099999999997E-3</v>
      </c>
      <c r="BK12">
        <v>1.2795229999999999E-2</v>
      </c>
      <c r="BL12">
        <v>8.5150599999999996E-3</v>
      </c>
      <c r="BM12">
        <v>3.3242900000000001E-3</v>
      </c>
      <c r="BN12">
        <v>-5.7762000000000004E-3</v>
      </c>
      <c r="BO12">
        <v>1.263265E-2</v>
      </c>
      <c r="BP12">
        <v>2.0410799999999998E-3</v>
      </c>
      <c r="BQ12">
        <v>1.898963E-2</v>
      </c>
      <c r="BR12">
        <v>8.2006700000000002E-3</v>
      </c>
      <c r="BS12">
        <v>-7.0304E-3</v>
      </c>
      <c r="BT12">
        <v>1.335619E-2</v>
      </c>
      <c r="BU12">
        <v>1.3271639999999999E-2</v>
      </c>
      <c r="BV12">
        <v>4.6898900000000004E-3</v>
      </c>
      <c r="BW12">
        <v>7.1703000000000001E-3</v>
      </c>
      <c r="BX12">
        <v>4.0666299999999999E-3</v>
      </c>
      <c r="BY12">
        <v>9.2703100000000004E-3</v>
      </c>
      <c r="BZ12">
        <v>9.4444100000000003E-3</v>
      </c>
      <c r="CA12">
        <v>2.0311780000000002E-2</v>
      </c>
      <c r="CB12">
        <v>-7.47469E-3</v>
      </c>
      <c r="CC12">
        <v>-4.3900900000000001E-3</v>
      </c>
      <c r="CD12">
        <v>3.9322699999999999E-3</v>
      </c>
      <c r="CE12">
        <v>1.3444399999999999E-3</v>
      </c>
      <c r="CF12">
        <v>-9.4657000000000005E-3</v>
      </c>
      <c r="CG12">
        <v>8.4661000000000007E-3</v>
      </c>
      <c r="CH12">
        <v>2.0527500000000001E-2</v>
      </c>
      <c r="CI12">
        <v>-9.7782700000000004E-3</v>
      </c>
      <c r="CJ12">
        <v>-1.1613000000000001E-3</v>
      </c>
      <c r="CK12">
        <v>9.3981000000000002E-4</v>
      </c>
      <c r="CL12">
        <v>1.7942799999999998E-2</v>
      </c>
      <c r="CM12">
        <v>2.7533900000000001E-3</v>
      </c>
      <c r="CN12">
        <v>1.557705E-2</v>
      </c>
      <c r="CO12">
        <v>1.115813E-2</v>
      </c>
      <c r="CP12">
        <v>4.3807300000000002E-3</v>
      </c>
      <c r="CQ12">
        <v>6.9529800000000001E-3</v>
      </c>
      <c r="CR12">
        <v>8.6992500000000004E-3</v>
      </c>
      <c r="CS12">
        <v>9.2973099999999996E-3</v>
      </c>
      <c r="CT12">
        <v>1.253143E-2</v>
      </c>
      <c r="CU12">
        <v>3.4522699999999999E-3</v>
      </c>
      <c r="CV12">
        <v>1.9789999999999999E-3</v>
      </c>
      <c r="CW12">
        <v>6.4452800000000003E-3</v>
      </c>
      <c r="CX12">
        <v>5.6238399999999997E-3</v>
      </c>
      <c r="CY12">
        <v>3.3187999999999998E-3</v>
      </c>
      <c r="CZ12">
        <v>1.009375E-2</v>
      </c>
      <c r="DA12">
        <v>4.8637300000000001E-3</v>
      </c>
      <c r="DB12">
        <v>1.201632E-2</v>
      </c>
      <c r="DC12">
        <v>1.6180119999999999E-2</v>
      </c>
      <c r="DD12">
        <v>6.2940599999999998E-3</v>
      </c>
      <c r="DE12">
        <v>1.035165E-2</v>
      </c>
      <c r="DF12">
        <v>2.7122100000000001E-3</v>
      </c>
      <c r="DG12">
        <v>1.1216520000000001E-2</v>
      </c>
      <c r="DH12">
        <v>9.1354299999999999E-3</v>
      </c>
      <c r="DI12">
        <v>1.094207E-2</v>
      </c>
      <c r="DJ12">
        <v>6.38194E-3</v>
      </c>
      <c r="DK12">
        <v>8.9886700000000007E-3</v>
      </c>
      <c r="DL12">
        <v>2.2779170000000001E-2</v>
      </c>
      <c r="DM12">
        <v>1.50002E-2</v>
      </c>
      <c r="DN12">
        <v>9.4923999999999998E-3</v>
      </c>
      <c r="DO12">
        <v>1.5707519999999999E-2</v>
      </c>
      <c r="DP12">
        <v>1.316528E-2</v>
      </c>
      <c r="DQ12">
        <v>1.5190210000000001E-2</v>
      </c>
      <c r="DR12">
        <v>3.8556699999999998E-3</v>
      </c>
      <c r="DS12">
        <v>1.03859E-3</v>
      </c>
      <c r="DT12">
        <v>1.87616E-3</v>
      </c>
      <c r="DU12">
        <v>5.6615800000000003E-3</v>
      </c>
      <c r="DV12">
        <v>2.23946E-3</v>
      </c>
      <c r="DW12">
        <v>3.5814200000000001E-3</v>
      </c>
      <c r="DX12">
        <v>1.2809050000000001E-2</v>
      </c>
      <c r="DY12">
        <v>-6.4049900000000002E-3</v>
      </c>
      <c r="DZ12">
        <v>5.1096900000000001E-3</v>
      </c>
      <c r="EA12">
        <v>1.3347599999999999E-2</v>
      </c>
      <c r="EB12">
        <v>-9.8843999999999993E-4</v>
      </c>
      <c r="EC12">
        <v>5.3996799999999996E-3</v>
      </c>
      <c r="ED12">
        <v>3.2011999999999999E-2</v>
      </c>
      <c r="EE12">
        <v>1.395396E-2</v>
      </c>
      <c r="EF12">
        <v>-6.0282000000000001E-4</v>
      </c>
      <c r="EG12">
        <v>1.447763E-2</v>
      </c>
      <c r="EH12">
        <v>-7.04909E-3</v>
      </c>
      <c r="EI12">
        <v>5.0791500000000002E-3</v>
      </c>
      <c r="EJ12">
        <v>1.7931949999999999E-2</v>
      </c>
      <c r="EK12">
        <v>9.9930000000000001E-3</v>
      </c>
      <c r="EL12">
        <v>1.731297E-2</v>
      </c>
      <c r="EM12">
        <v>5.4065199999999997E-3</v>
      </c>
      <c r="EN12">
        <v>7.4776499999999997E-3</v>
      </c>
      <c r="EO12">
        <v>8.2820600000000008E-3</v>
      </c>
      <c r="EP12">
        <f t="shared" si="0"/>
        <v>0</v>
      </c>
      <c r="EQ12">
        <f>SUMIF('Mi portafolio'!$A$8:$A$19,$A12,'Mi portafolio'!$B$8:$B$19)</f>
        <v>0</v>
      </c>
    </row>
    <row r="13" spans="1:147" x14ac:dyDescent="0.25">
      <c r="A13" s="34" t="s">
        <v>88</v>
      </c>
      <c r="B13">
        <v>1.596738E-2</v>
      </c>
      <c r="C13">
        <v>2.7316100000000002E-3</v>
      </c>
      <c r="D13">
        <v>-8.363E-4</v>
      </c>
      <c r="E13">
        <v>6.4398499999999996E-3</v>
      </c>
      <c r="F13">
        <v>2.4226919999999999E-2</v>
      </c>
      <c r="G13">
        <v>5.3496999999999996E-4</v>
      </c>
      <c r="H13">
        <v>3.7045300000000001E-3</v>
      </c>
      <c r="I13">
        <v>4.3725779999999999E-2</v>
      </c>
      <c r="J13">
        <v>1.872629E-2</v>
      </c>
      <c r="K13">
        <v>2.422535E-2</v>
      </c>
      <c r="L13">
        <v>6.0354700000000002E-3</v>
      </c>
      <c r="M13">
        <v>1.375139E-2</v>
      </c>
      <c r="N13">
        <v>1.6939880000000001E-2</v>
      </c>
      <c r="O13">
        <v>4.8984400000000004E-3</v>
      </c>
      <c r="P13">
        <v>2.2167260000000001E-2</v>
      </c>
      <c r="Q13">
        <v>-1.4990299999999999E-3</v>
      </c>
      <c r="R13">
        <v>2.4853239999999999E-2</v>
      </c>
      <c r="S13">
        <v>4.7410899999999999E-3</v>
      </c>
      <c r="T13">
        <v>7.10635E-3</v>
      </c>
      <c r="U13">
        <v>2.97963E-3</v>
      </c>
      <c r="V13">
        <v>5.4119900000000002E-3</v>
      </c>
      <c r="W13">
        <v>8.8279399999999994E-3</v>
      </c>
      <c r="X13">
        <v>7.8176099999999991E-3</v>
      </c>
      <c r="Y13">
        <v>1.9845069999999999E-2</v>
      </c>
      <c r="Z13">
        <v>5.47979E-3</v>
      </c>
      <c r="AA13">
        <v>1.04038E-2</v>
      </c>
      <c r="AB13">
        <v>2.0611419999999998E-2</v>
      </c>
      <c r="AC13">
        <v>1.37444E-3</v>
      </c>
      <c r="AD13">
        <v>3.58947E-3</v>
      </c>
      <c r="AE13">
        <v>2.4706099999999998E-3</v>
      </c>
      <c r="AF13">
        <v>-7.0627999999999999E-4</v>
      </c>
      <c r="AG13">
        <v>1.6512059999999999E-2</v>
      </c>
      <c r="AH13">
        <v>1.6338950000000001E-2</v>
      </c>
      <c r="AI13">
        <v>5.4869599999999999E-3</v>
      </c>
      <c r="AJ13">
        <v>2.1416899999999999E-3</v>
      </c>
      <c r="AK13">
        <v>2.57997E-3</v>
      </c>
      <c r="AL13">
        <v>1.5918769999999999E-2</v>
      </c>
      <c r="AM13">
        <v>2.3712300000000002E-3</v>
      </c>
      <c r="AN13">
        <v>2.6845910000000001E-2</v>
      </c>
      <c r="AO13">
        <v>2.0293820000000001E-2</v>
      </c>
      <c r="AP13">
        <v>1.6712020000000001E-2</v>
      </c>
      <c r="AQ13">
        <v>7.5376999999999996E-3</v>
      </c>
      <c r="AR13">
        <v>1.024946E-2</v>
      </c>
      <c r="AS13">
        <v>-7.3386999999999997E-4</v>
      </c>
      <c r="AT13">
        <v>1.344628E-2</v>
      </c>
      <c r="AU13">
        <v>2.379349E-2</v>
      </c>
      <c r="AV13">
        <v>7.59153E-3</v>
      </c>
      <c r="AW13">
        <v>1.7725200000000001E-3</v>
      </c>
      <c r="AX13">
        <v>2.50038E-2</v>
      </c>
      <c r="AY13">
        <v>2.2271829999999999E-2</v>
      </c>
      <c r="AZ13">
        <v>5.16943E-3</v>
      </c>
      <c r="BA13">
        <v>1.3210299999999999E-2</v>
      </c>
      <c r="BB13">
        <v>5.0132099999999997E-3</v>
      </c>
      <c r="BC13">
        <v>7.1855799999999996E-3</v>
      </c>
      <c r="BD13">
        <v>2.1577800000000002E-3</v>
      </c>
      <c r="BE13">
        <v>2.2524550000000001E-2</v>
      </c>
      <c r="BF13">
        <v>5.7864300000000004E-3</v>
      </c>
      <c r="BG13">
        <v>9.6205300000000004E-3</v>
      </c>
      <c r="BH13">
        <v>1.95159E-3</v>
      </c>
      <c r="BI13">
        <v>1.94568E-3</v>
      </c>
      <c r="BJ13">
        <v>7.8432999999999997E-4</v>
      </c>
      <c r="BK13">
        <v>5.0874000000000004E-4</v>
      </c>
      <c r="BL13">
        <v>7.7217500000000003E-3</v>
      </c>
      <c r="BM13">
        <v>2.254832E-2</v>
      </c>
      <c r="BN13">
        <v>9.0200499999999999E-3</v>
      </c>
      <c r="BO13">
        <v>1.3996949999999999E-2</v>
      </c>
      <c r="BP13">
        <v>7.8844399999999995E-3</v>
      </c>
      <c r="BQ13">
        <v>1.4379900000000001E-3</v>
      </c>
      <c r="BR13">
        <v>1.6572420000000001E-2</v>
      </c>
      <c r="BS13">
        <v>5.7686E-4</v>
      </c>
      <c r="BT13">
        <v>1.296513E-2</v>
      </c>
      <c r="BU13">
        <v>-4.28642E-3</v>
      </c>
      <c r="BV13">
        <v>1.0235360000000001E-2</v>
      </c>
      <c r="BW13">
        <v>1.377074E-2</v>
      </c>
      <c r="BX13">
        <v>2.4331080000000001E-2</v>
      </c>
      <c r="BY13">
        <v>1.6905750000000001E-2</v>
      </c>
      <c r="BZ13">
        <v>1.467013E-2</v>
      </c>
      <c r="CA13">
        <v>3.6794200000000001E-3</v>
      </c>
      <c r="CB13">
        <v>1.0534800000000001E-3</v>
      </c>
      <c r="CC13">
        <v>8.6510100000000006E-3</v>
      </c>
      <c r="CD13">
        <v>1.663835E-2</v>
      </c>
      <c r="CE13">
        <v>-5.7481000000000003E-4</v>
      </c>
      <c r="CF13">
        <v>4.2471999999999996E-3</v>
      </c>
      <c r="CG13">
        <v>2.2180930000000001E-2</v>
      </c>
      <c r="CH13">
        <v>1.27206E-3</v>
      </c>
      <c r="CI13">
        <v>8.8366199999999999E-3</v>
      </c>
      <c r="CJ13">
        <v>1.906588E-2</v>
      </c>
      <c r="CK13">
        <v>2.591794E-2</v>
      </c>
      <c r="CL13">
        <v>7.7613200000000004E-3</v>
      </c>
      <c r="CM13">
        <v>-1.2093049999999999E-2</v>
      </c>
      <c r="CN13">
        <v>-3.85689E-3</v>
      </c>
      <c r="CO13">
        <v>9.1899100000000008E-3</v>
      </c>
      <c r="CP13">
        <v>1.5026339999999999E-2</v>
      </c>
      <c r="CQ13">
        <v>1.8691619999999999E-2</v>
      </c>
      <c r="CR13">
        <v>-4.9392999999999998E-3</v>
      </c>
      <c r="CS13">
        <v>-2.93093E-3</v>
      </c>
      <c r="CT13">
        <v>5.0313399999999996E-3</v>
      </c>
      <c r="CU13">
        <v>6.2753899999999996E-3</v>
      </c>
      <c r="CV13">
        <v>4.86215E-3</v>
      </c>
      <c r="CW13">
        <v>2.1262130000000001E-2</v>
      </c>
      <c r="CX13">
        <v>1.471329E-2</v>
      </c>
      <c r="CY13">
        <v>2.23299E-2</v>
      </c>
      <c r="CZ13">
        <v>8.5189500000000008E-3</v>
      </c>
      <c r="DA13">
        <v>1.116933E-2</v>
      </c>
      <c r="DB13">
        <v>-3.0704E-3</v>
      </c>
      <c r="DC13">
        <v>3.1468500000000001E-3</v>
      </c>
      <c r="DD13">
        <v>1.6509639999999999E-2</v>
      </c>
      <c r="DE13">
        <v>-1.2254E-3</v>
      </c>
      <c r="DF13">
        <v>1.1848900000000001E-2</v>
      </c>
      <c r="DG13">
        <v>6.7822200000000003E-3</v>
      </c>
      <c r="DH13">
        <v>-6.4743500000000002E-3</v>
      </c>
      <c r="DI13">
        <v>2.3105290000000001E-2</v>
      </c>
      <c r="DJ13">
        <v>2.6517329999999999E-2</v>
      </c>
      <c r="DK13">
        <v>1.879838E-2</v>
      </c>
      <c r="DL13">
        <v>-4.24537E-3</v>
      </c>
      <c r="DM13">
        <v>2.9281709999999999E-2</v>
      </c>
      <c r="DN13">
        <v>2.7462500000000001E-2</v>
      </c>
      <c r="DO13">
        <v>3.7513400000000001E-3</v>
      </c>
      <c r="DP13">
        <v>2.8650829999999999E-2</v>
      </c>
      <c r="DQ13">
        <v>-4.4362999999999998E-3</v>
      </c>
      <c r="DR13">
        <v>-6.3616300000000001E-3</v>
      </c>
      <c r="DS13">
        <v>7.1396000000000003E-3</v>
      </c>
      <c r="DT13">
        <v>-1.437245E-2</v>
      </c>
      <c r="DU13">
        <v>3.1489000000000002E-4</v>
      </c>
      <c r="DV13">
        <v>8.4320599999999999E-3</v>
      </c>
      <c r="DW13">
        <v>2.1768450000000002E-2</v>
      </c>
      <c r="DX13">
        <v>-2.0262189999999999E-2</v>
      </c>
      <c r="DY13">
        <v>1.5511169999999999E-2</v>
      </c>
      <c r="DZ13">
        <v>-6.4486999999999997E-4</v>
      </c>
      <c r="EA13">
        <v>1.431021E-2</v>
      </c>
      <c r="EB13">
        <v>1.2567409999999999E-2</v>
      </c>
      <c r="EC13">
        <v>-1.129311E-2</v>
      </c>
      <c r="ED13">
        <v>1.432567E-2</v>
      </c>
      <c r="EE13">
        <v>-2.0114130000000001E-2</v>
      </c>
      <c r="EF13">
        <v>-7.4043000000000004E-4</v>
      </c>
      <c r="EG13">
        <v>-2.5751039999999999E-2</v>
      </c>
      <c r="EH13">
        <v>2.2695460000000001E-2</v>
      </c>
      <c r="EI13">
        <v>-3.8017500000000003E-2</v>
      </c>
      <c r="EJ13">
        <v>5.1375800000000001E-3</v>
      </c>
      <c r="EK13">
        <v>-1.76889E-3</v>
      </c>
      <c r="EL13">
        <v>-1.7207739999999999E-2</v>
      </c>
      <c r="EM13">
        <v>-2.3139999999999999E-4</v>
      </c>
      <c r="EN13">
        <v>2.4813040000000001E-2</v>
      </c>
      <c r="EO13">
        <v>8.9950299999999993E-3</v>
      </c>
      <c r="EP13">
        <f t="shared" si="0"/>
        <v>0</v>
      </c>
      <c r="EQ13">
        <f>SUMIF('Mi portafolio'!$A$8:$A$19,$A13,'Mi portafolio'!$B$8:$B$19)</f>
        <v>0</v>
      </c>
    </row>
    <row r="14" spans="1:147" x14ac:dyDescent="0.25">
      <c r="A14" s="34" t="s">
        <v>89</v>
      </c>
      <c r="B14">
        <v>1.11789E-2</v>
      </c>
      <c r="C14">
        <v>1.51001E-3</v>
      </c>
      <c r="D14">
        <v>-1.38601E-3</v>
      </c>
      <c r="E14">
        <v>2.2082899999999999E-3</v>
      </c>
      <c r="F14">
        <v>1.9824939999999999E-2</v>
      </c>
      <c r="G14">
        <v>-5.2101999999999997E-4</v>
      </c>
      <c r="H14">
        <v>-1.4956E-4</v>
      </c>
      <c r="I14">
        <v>1.872629E-2</v>
      </c>
      <c r="J14">
        <v>4.4484450000000002E-2</v>
      </c>
      <c r="K14">
        <v>2.0119080000000001E-2</v>
      </c>
      <c r="L14">
        <v>4.11102E-3</v>
      </c>
      <c r="M14">
        <v>9.2526199999999996E-3</v>
      </c>
      <c r="N14">
        <v>1.9592579999999998E-2</v>
      </c>
      <c r="O14">
        <v>4.8531199999999998E-3</v>
      </c>
      <c r="P14">
        <v>1.93031E-2</v>
      </c>
      <c r="Q14">
        <v>4.5245000000000002E-4</v>
      </c>
      <c r="R14">
        <v>2.281184E-2</v>
      </c>
      <c r="S14">
        <v>6.3313299999999996E-3</v>
      </c>
      <c r="T14">
        <v>6.3062300000000003E-3</v>
      </c>
      <c r="U14">
        <v>4.4285499999999998E-3</v>
      </c>
      <c r="V14">
        <v>-1.4753100000000001E-3</v>
      </c>
      <c r="W14">
        <v>7.4201299999999996E-3</v>
      </c>
      <c r="X14">
        <v>8.0646599999999995E-3</v>
      </c>
      <c r="Y14">
        <v>1.2992160000000001E-2</v>
      </c>
      <c r="Z14">
        <v>2.9566599999999998E-3</v>
      </c>
      <c r="AA14">
        <v>8.4655600000000004E-3</v>
      </c>
      <c r="AB14">
        <v>1.1427029999999999E-2</v>
      </c>
      <c r="AC14">
        <v>-7.6449899999999999E-3</v>
      </c>
      <c r="AD14">
        <v>5.9400800000000004E-3</v>
      </c>
      <c r="AE14">
        <v>-4.6543000000000001E-3</v>
      </c>
      <c r="AF14">
        <v>-4.5646E-4</v>
      </c>
      <c r="AG14">
        <v>1.6376749999999999E-2</v>
      </c>
      <c r="AH14">
        <v>1.57523E-2</v>
      </c>
      <c r="AI14">
        <v>1.1465889999999999E-2</v>
      </c>
      <c r="AJ14">
        <v>2.6271999999999998E-4</v>
      </c>
      <c r="AK14">
        <v>4.4859799999999997E-3</v>
      </c>
      <c r="AL14">
        <v>1.1181780000000001E-2</v>
      </c>
      <c r="AM14">
        <v>4.8948400000000001E-3</v>
      </c>
      <c r="AN14">
        <v>1.6236770000000001E-2</v>
      </c>
      <c r="AO14">
        <v>3.2377499999999997E-2</v>
      </c>
      <c r="AP14">
        <v>6.8249000000000001E-3</v>
      </c>
      <c r="AQ14">
        <v>1.1982100000000001E-2</v>
      </c>
      <c r="AR14">
        <v>5.1887000000000001E-3</v>
      </c>
      <c r="AS14">
        <v>3.4449699999999999E-3</v>
      </c>
      <c r="AT14">
        <v>2.2151900000000001E-3</v>
      </c>
      <c r="AU14">
        <v>2.500074E-2</v>
      </c>
      <c r="AV14">
        <v>1.4445599999999999E-3</v>
      </c>
      <c r="AW14">
        <v>1.3949100000000001E-3</v>
      </c>
      <c r="AX14">
        <v>3.1944630000000002E-2</v>
      </c>
      <c r="AY14">
        <v>1.2923550000000001E-2</v>
      </c>
      <c r="AZ14">
        <v>-2.5822699999999998E-3</v>
      </c>
      <c r="BA14">
        <v>1.249254E-2</v>
      </c>
      <c r="BB14">
        <v>1.13025E-3</v>
      </c>
      <c r="BC14">
        <v>-6.6967999999999997E-4</v>
      </c>
      <c r="BD14">
        <v>2.4897399999999998E-3</v>
      </c>
      <c r="BE14">
        <v>3.6168119999999998E-2</v>
      </c>
      <c r="BF14">
        <v>2.5380200000000002E-3</v>
      </c>
      <c r="BG14">
        <v>1.2952399999999999E-2</v>
      </c>
      <c r="BH14">
        <v>-2.3798199999999999E-3</v>
      </c>
      <c r="BI14">
        <v>-8.5691999999999995E-4</v>
      </c>
      <c r="BJ14">
        <v>-1.9202100000000001E-3</v>
      </c>
      <c r="BK14">
        <v>-3.9475700000000001E-3</v>
      </c>
      <c r="BL14">
        <v>1.1717699999999999E-2</v>
      </c>
      <c r="BM14">
        <v>1.3506270000000001E-2</v>
      </c>
      <c r="BN14">
        <v>1.4305790000000001E-2</v>
      </c>
      <c r="BO14">
        <v>9.6469399999999997E-3</v>
      </c>
      <c r="BP14">
        <v>-1.004072E-2</v>
      </c>
      <c r="BQ14">
        <v>-1.8564199999999999E-3</v>
      </c>
      <c r="BR14">
        <v>6.4135399999999997E-3</v>
      </c>
      <c r="BS14">
        <v>7.9578700000000006E-3</v>
      </c>
      <c r="BT14">
        <v>1.43336E-2</v>
      </c>
      <c r="BU14">
        <v>2.11086E-3</v>
      </c>
      <c r="BV14">
        <v>-1.1319100000000001E-3</v>
      </c>
      <c r="BW14">
        <v>1.0785589999999999E-2</v>
      </c>
      <c r="BX14">
        <v>3.8090779999999998E-2</v>
      </c>
      <c r="BY14">
        <v>6.1476899999999999E-3</v>
      </c>
      <c r="BZ14">
        <v>8.0202699999999995E-3</v>
      </c>
      <c r="CA14">
        <v>7.1745000000000001E-4</v>
      </c>
      <c r="CB14">
        <v>8.7739600000000008E-3</v>
      </c>
      <c r="CC14">
        <v>8.4518500000000003E-3</v>
      </c>
      <c r="CD14">
        <v>6.7306600000000003E-3</v>
      </c>
      <c r="CE14">
        <v>8.8535000000000003E-4</v>
      </c>
      <c r="CF14">
        <v>1.23356E-2</v>
      </c>
      <c r="CG14">
        <v>7.2060099999999997E-3</v>
      </c>
      <c r="CH14">
        <v>3.1530000000000002E-4</v>
      </c>
      <c r="CI14">
        <v>1.164142E-2</v>
      </c>
      <c r="CJ14">
        <v>1.6250790000000001E-2</v>
      </c>
      <c r="CK14">
        <v>1.7035100000000001E-2</v>
      </c>
      <c r="CL14">
        <v>9.3882299999999991E-3</v>
      </c>
      <c r="CM14">
        <v>-1.028048E-2</v>
      </c>
      <c r="CN14">
        <v>2.7180199999999998E-3</v>
      </c>
      <c r="CO14">
        <v>-5.39319E-3</v>
      </c>
      <c r="CP14">
        <v>9.22072E-3</v>
      </c>
      <c r="CQ14">
        <v>8.1110000000000002E-3</v>
      </c>
      <c r="CR14">
        <v>-9.29549E-3</v>
      </c>
      <c r="CS14">
        <v>3.4533400000000001E-3</v>
      </c>
      <c r="CT14">
        <v>1.3404000000000001E-4</v>
      </c>
      <c r="CU14">
        <v>1.10497E-3</v>
      </c>
      <c r="CV14">
        <v>-7.1936700000000001E-3</v>
      </c>
      <c r="CW14">
        <v>6.5232399999999996E-3</v>
      </c>
      <c r="CX14">
        <v>5.24567E-3</v>
      </c>
      <c r="CY14">
        <v>7.2212500000000002E-3</v>
      </c>
      <c r="CZ14">
        <v>4.0612699999999996E-3</v>
      </c>
      <c r="DA14">
        <v>5.5546999999999997E-4</v>
      </c>
      <c r="DB14">
        <v>-8.4036400000000004E-3</v>
      </c>
      <c r="DC14">
        <v>-6.2157599999999999E-3</v>
      </c>
      <c r="DD14">
        <v>1.1140499999999999E-3</v>
      </c>
      <c r="DE14">
        <v>-3.33527E-3</v>
      </c>
      <c r="DF14">
        <v>-1.3672000000000001E-4</v>
      </c>
      <c r="DG14">
        <v>9.7026999999999999E-3</v>
      </c>
      <c r="DH14">
        <v>-1.499759E-2</v>
      </c>
      <c r="DI14">
        <v>3.7940999999999999E-3</v>
      </c>
      <c r="DJ14">
        <v>1.424279E-2</v>
      </c>
      <c r="DK14">
        <v>6.9981899999999996E-3</v>
      </c>
      <c r="DL14">
        <v>-5.4626999999999996E-4</v>
      </c>
      <c r="DM14">
        <v>1.2802529999999999E-2</v>
      </c>
      <c r="DN14">
        <v>7.3678399999999996E-3</v>
      </c>
      <c r="DO14">
        <v>-8.6654799999999997E-3</v>
      </c>
      <c r="DP14">
        <v>1.7780919999999999E-2</v>
      </c>
      <c r="DQ14">
        <v>-2.9946600000000001E-3</v>
      </c>
      <c r="DR14">
        <v>3.8697999999999998E-4</v>
      </c>
      <c r="DS14">
        <v>4.9744999999999998E-4</v>
      </c>
      <c r="DT14">
        <v>-2.6925770000000002E-2</v>
      </c>
      <c r="DU14">
        <v>-1.3444579999999999E-2</v>
      </c>
      <c r="DV14">
        <v>-6.0796499999999998E-3</v>
      </c>
      <c r="DW14">
        <v>-1.5100599999999999E-3</v>
      </c>
      <c r="DX14">
        <v>-1.666051E-2</v>
      </c>
      <c r="DY14">
        <v>-1.5950659999999998E-2</v>
      </c>
      <c r="DZ14">
        <v>4.4909000000000003E-4</v>
      </c>
      <c r="EA14">
        <v>2.87835E-3</v>
      </c>
      <c r="EB14">
        <v>-9.1156599999999994E-3</v>
      </c>
      <c r="EC14">
        <v>4.0140599999999999E-3</v>
      </c>
      <c r="ED14">
        <v>-9.0452099999999997E-3</v>
      </c>
      <c r="EE14">
        <v>-2.1690049999999999E-2</v>
      </c>
      <c r="EF14">
        <v>7.5360899999999996E-3</v>
      </c>
      <c r="EG14">
        <v>-1.6295560000000001E-2</v>
      </c>
      <c r="EH14">
        <v>2.3186000000000001E-3</v>
      </c>
      <c r="EI14">
        <v>-3.0563130000000001E-2</v>
      </c>
      <c r="EJ14">
        <v>-6.61737E-3</v>
      </c>
      <c r="EK14">
        <v>-1.4690689999999999E-2</v>
      </c>
      <c r="EL14">
        <v>-1.36148E-2</v>
      </c>
      <c r="EM14">
        <v>-1.8992720000000001E-2</v>
      </c>
      <c r="EN14">
        <v>3.8183620000000001E-2</v>
      </c>
      <c r="EO14">
        <v>-1.05521E-2</v>
      </c>
      <c r="EP14">
        <f t="shared" si="0"/>
        <v>0</v>
      </c>
      <c r="EQ14">
        <f>SUMIF('Mi portafolio'!$A$8:$A$19,$A14,'Mi portafolio'!$B$8:$B$19)</f>
        <v>0</v>
      </c>
    </row>
    <row r="15" spans="1:147" x14ac:dyDescent="0.25">
      <c r="A15" s="34" t="s">
        <v>90</v>
      </c>
      <c r="B15">
        <v>1.5102529999999999E-2</v>
      </c>
      <c r="C15">
        <v>-2.9312600000000002E-3</v>
      </c>
      <c r="D15">
        <v>-2.2564500000000001E-3</v>
      </c>
      <c r="E15">
        <v>3.2923599999999998E-3</v>
      </c>
      <c r="F15">
        <v>2.480373E-2</v>
      </c>
      <c r="G15">
        <v>3.5694999999999998E-4</v>
      </c>
      <c r="H15">
        <v>4.3287200000000003E-3</v>
      </c>
      <c r="I15">
        <v>2.422535E-2</v>
      </c>
      <c r="J15">
        <v>2.0119080000000001E-2</v>
      </c>
      <c r="K15">
        <v>4.4176930000000003E-2</v>
      </c>
      <c r="L15">
        <v>4.0420400000000002E-3</v>
      </c>
      <c r="M15">
        <v>1.39636E-2</v>
      </c>
      <c r="N15">
        <v>1.6104380000000001E-2</v>
      </c>
      <c r="O15">
        <v>8.1732100000000002E-3</v>
      </c>
      <c r="P15">
        <v>1.9251669999999999E-2</v>
      </c>
      <c r="Q15">
        <v>-2.0526199999999998E-3</v>
      </c>
      <c r="R15">
        <v>2.7570520000000001E-2</v>
      </c>
      <c r="S15">
        <v>8.1846899999999997E-3</v>
      </c>
      <c r="T15">
        <v>6.2416199999999998E-3</v>
      </c>
      <c r="U15">
        <v>4.6926499999999996E-3</v>
      </c>
      <c r="V15">
        <v>7.1264700000000002E-3</v>
      </c>
      <c r="W15">
        <v>9.4823500000000005E-3</v>
      </c>
      <c r="X15">
        <v>6.4363500000000004E-3</v>
      </c>
      <c r="Y15">
        <v>1.4969700000000001E-2</v>
      </c>
      <c r="Z15">
        <v>6.79438E-3</v>
      </c>
      <c r="AA15">
        <v>1.058127E-2</v>
      </c>
      <c r="AB15">
        <v>1.5788509999999999E-2</v>
      </c>
      <c r="AC15">
        <v>2.0266300000000002E-3</v>
      </c>
      <c r="AD15">
        <v>7.4002900000000003E-3</v>
      </c>
      <c r="AE15">
        <v>2.1811999999999999E-3</v>
      </c>
      <c r="AF15">
        <v>-3.3827699999999998E-3</v>
      </c>
      <c r="AG15">
        <v>1.9370330000000002E-2</v>
      </c>
      <c r="AH15">
        <v>1.989525E-2</v>
      </c>
      <c r="AI15">
        <v>3.81277E-3</v>
      </c>
      <c r="AJ15">
        <v>1.9321200000000001E-3</v>
      </c>
      <c r="AK15">
        <v>1.33686E-3</v>
      </c>
      <c r="AL15">
        <v>1.5112799999999999E-2</v>
      </c>
      <c r="AM15">
        <v>1.31558E-3</v>
      </c>
      <c r="AN15">
        <v>2.9094789999999999E-2</v>
      </c>
      <c r="AO15">
        <v>1.866313E-2</v>
      </c>
      <c r="AP15">
        <v>1.7890719999999999E-2</v>
      </c>
      <c r="AQ15">
        <v>4.0784999999999997E-3</v>
      </c>
      <c r="AR15">
        <v>7.4037800000000004E-3</v>
      </c>
      <c r="AS15">
        <v>1.2693000000000001E-4</v>
      </c>
      <c r="AT15">
        <v>9.8864499999999998E-3</v>
      </c>
      <c r="AU15">
        <v>2.5075279999999998E-2</v>
      </c>
      <c r="AV15">
        <v>4.7378899999999998E-3</v>
      </c>
      <c r="AW15">
        <v>1.86835E-3</v>
      </c>
      <c r="AX15">
        <v>2.4283329999999999E-2</v>
      </c>
      <c r="AY15">
        <v>1.6730249999999999E-2</v>
      </c>
      <c r="AZ15">
        <v>3.31329E-3</v>
      </c>
      <c r="BA15">
        <v>1.820126E-2</v>
      </c>
      <c r="BB15">
        <v>-2.569E-5</v>
      </c>
      <c r="BC15">
        <v>9.7063E-4</v>
      </c>
      <c r="BD15">
        <v>6.1700899999999996E-3</v>
      </c>
      <c r="BE15">
        <v>2.597812E-2</v>
      </c>
      <c r="BF15">
        <v>6.3364199999999997E-3</v>
      </c>
      <c r="BG15">
        <v>8.98177E-3</v>
      </c>
      <c r="BH15">
        <v>1.8007699999999999E-3</v>
      </c>
      <c r="BI15">
        <v>2.6188399999999999E-3</v>
      </c>
      <c r="BJ15">
        <v>-3.18908E-3</v>
      </c>
      <c r="BK15">
        <v>1.9985699999999999E-3</v>
      </c>
      <c r="BL15">
        <v>1.3525560000000001E-2</v>
      </c>
      <c r="BM15">
        <v>2.262687E-2</v>
      </c>
      <c r="BN15">
        <v>1.6077939999999999E-2</v>
      </c>
      <c r="BO15">
        <v>1.432747E-2</v>
      </c>
      <c r="BP15">
        <v>-2.94611E-3</v>
      </c>
      <c r="BQ15">
        <v>7.2139400000000003E-3</v>
      </c>
      <c r="BR15">
        <v>9.8947800000000006E-3</v>
      </c>
      <c r="BS15">
        <v>-4.3378899999999996E-3</v>
      </c>
      <c r="BT15">
        <v>1.263532E-2</v>
      </c>
      <c r="BU15">
        <v>-3.0179E-3</v>
      </c>
      <c r="BV15">
        <v>1.0360889999999999E-2</v>
      </c>
      <c r="BW15">
        <v>7.6121000000000001E-3</v>
      </c>
      <c r="BX15">
        <v>1.873184E-2</v>
      </c>
      <c r="BY15">
        <v>1.599443E-2</v>
      </c>
      <c r="BZ15">
        <v>1.287191E-2</v>
      </c>
      <c r="CA15">
        <v>9.9471300000000002E-3</v>
      </c>
      <c r="CB15">
        <v>-1.64803E-3</v>
      </c>
      <c r="CC15">
        <v>1.138202E-2</v>
      </c>
      <c r="CD15">
        <v>8.9313299999999995E-3</v>
      </c>
      <c r="CE15">
        <v>-3.2939599999999999E-3</v>
      </c>
      <c r="CF15">
        <v>1.0390899999999999E-3</v>
      </c>
      <c r="CG15">
        <v>1.381842E-2</v>
      </c>
      <c r="CH15">
        <v>1.21988E-3</v>
      </c>
      <c r="CI15">
        <v>2.3599999999999999E-4</v>
      </c>
      <c r="CJ15">
        <v>1.3716900000000001E-2</v>
      </c>
      <c r="CK15">
        <v>2.7167750000000001E-2</v>
      </c>
      <c r="CL15">
        <v>1.297621E-2</v>
      </c>
      <c r="CM15">
        <v>-1.116343E-2</v>
      </c>
      <c r="CN15">
        <v>-2.2472799999999999E-3</v>
      </c>
      <c r="CO15">
        <v>4.7803200000000002E-3</v>
      </c>
      <c r="CP15">
        <v>1.4385190000000001E-2</v>
      </c>
      <c r="CQ15">
        <v>1.5993810000000001E-2</v>
      </c>
      <c r="CR15">
        <v>-3.38302E-3</v>
      </c>
      <c r="CS15">
        <v>4.6828199999999999E-3</v>
      </c>
      <c r="CT15">
        <v>7.2706400000000001E-3</v>
      </c>
      <c r="CU15">
        <v>4.2638800000000003E-3</v>
      </c>
      <c r="CV15">
        <v>7.2090699999999997E-3</v>
      </c>
      <c r="CW15">
        <v>1.1714169999999999E-2</v>
      </c>
      <c r="CX15">
        <v>1.017057E-2</v>
      </c>
      <c r="CY15">
        <v>2.6729559999999999E-2</v>
      </c>
      <c r="CZ15">
        <v>8.6876E-4</v>
      </c>
      <c r="DA15">
        <v>1.2200859999999999E-2</v>
      </c>
      <c r="DB15">
        <v>-2.0833399999999999E-3</v>
      </c>
      <c r="DC15">
        <v>1.309189E-2</v>
      </c>
      <c r="DD15">
        <v>1.1366029999999999E-2</v>
      </c>
      <c r="DE15">
        <v>-1.6109799999999999E-3</v>
      </c>
      <c r="DF15">
        <v>-3.11765E-3</v>
      </c>
      <c r="DG15">
        <v>3.9476199999999998E-3</v>
      </c>
      <c r="DH15">
        <v>-1.533487E-2</v>
      </c>
      <c r="DI15">
        <v>2.3431259999999999E-2</v>
      </c>
      <c r="DJ15">
        <v>2.826861E-2</v>
      </c>
      <c r="DK15">
        <v>2.0823789999999998E-2</v>
      </c>
      <c r="DL15">
        <v>1.67786E-3</v>
      </c>
      <c r="DM15">
        <v>3.5714129999999997E-2</v>
      </c>
      <c r="DN15">
        <v>2.0116499999999999E-2</v>
      </c>
      <c r="DO15">
        <v>1.24912E-3</v>
      </c>
      <c r="DP15">
        <v>3.362238E-2</v>
      </c>
      <c r="DQ15">
        <v>-1.71426E-3</v>
      </c>
      <c r="DR15">
        <v>-1.342982E-2</v>
      </c>
      <c r="DS15">
        <v>8.2377400000000003E-3</v>
      </c>
      <c r="DT15">
        <v>-2.6962750000000001E-2</v>
      </c>
      <c r="DU15">
        <v>-7.0822699999999999E-3</v>
      </c>
      <c r="DV15">
        <v>-5.5260099999999996E-3</v>
      </c>
      <c r="DW15">
        <v>1.3295399999999999E-3</v>
      </c>
      <c r="DX15">
        <v>-2.1371339999999999E-2</v>
      </c>
      <c r="DY15">
        <v>1.12357E-3</v>
      </c>
      <c r="DZ15">
        <v>-1.206948E-2</v>
      </c>
      <c r="EA15">
        <v>1.51927E-2</v>
      </c>
      <c r="EB15">
        <v>-7.1520999999999998E-4</v>
      </c>
      <c r="EC15">
        <v>-1.928214E-2</v>
      </c>
      <c r="ED15">
        <v>-1.0367899999999999E-2</v>
      </c>
      <c r="EE15">
        <v>-1.125572E-2</v>
      </c>
      <c r="EF15">
        <v>1.7294500000000001E-2</v>
      </c>
      <c r="EG15">
        <v>-1.3394929999999999E-2</v>
      </c>
      <c r="EH15">
        <v>-6.9278000000000005E-4</v>
      </c>
      <c r="EI15">
        <v>-4.0831010000000001E-2</v>
      </c>
      <c r="EJ15">
        <v>1.3794499999999999E-3</v>
      </c>
      <c r="EK15">
        <v>-1.315408E-2</v>
      </c>
      <c r="EL15">
        <v>-1.7562330000000001E-2</v>
      </c>
      <c r="EM15">
        <v>-2.0917439999999999E-2</v>
      </c>
      <c r="EN15">
        <v>2.734232E-2</v>
      </c>
      <c r="EO15">
        <v>7.4067999999999998E-3</v>
      </c>
      <c r="EP15">
        <f t="shared" si="0"/>
        <v>0</v>
      </c>
      <c r="EQ15">
        <f>SUMIF('Mi portafolio'!$A$8:$A$19,$A15,'Mi portafolio'!$B$8:$B$19)</f>
        <v>0</v>
      </c>
    </row>
    <row r="16" spans="1:147" x14ac:dyDescent="0.25">
      <c r="A16" s="34" t="s">
        <v>91</v>
      </c>
      <c r="B16">
        <v>2.2270300000000001E-3</v>
      </c>
      <c r="C16">
        <v>1.1127400000000001E-2</v>
      </c>
      <c r="D16">
        <v>4.24757E-3</v>
      </c>
      <c r="E16">
        <v>1.255593E-2</v>
      </c>
      <c r="F16">
        <v>6.7344500000000003E-3</v>
      </c>
      <c r="G16">
        <v>-3.8852E-4</v>
      </c>
      <c r="H16">
        <v>8.8158500000000001E-3</v>
      </c>
      <c r="I16">
        <v>6.0354700000000002E-3</v>
      </c>
      <c r="J16">
        <v>4.11102E-3</v>
      </c>
      <c r="K16">
        <v>4.0420400000000002E-3</v>
      </c>
      <c r="L16">
        <v>4.2601519999999997E-2</v>
      </c>
      <c r="M16">
        <v>8.0070699999999998E-3</v>
      </c>
      <c r="N16">
        <v>6.5876700000000003E-3</v>
      </c>
      <c r="O16">
        <v>1.7088470000000001E-2</v>
      </c>
      <c r="P16">
        <v>6.5916600000000001E-3</v>
      </c>
      <c r="Q16">
        <v>4.2160399999999999E-3</v>
      </c>
      <c r="R16">
        <v>4.6049799999999998E-3</v>
      </c>
      <c r="S16">
        <v>1.6296160000000001E-2</v>
      </c>
      <c r="T16">
        <v>1.1890099999999999E-3</v>
      </c>
      <c r="U16">
        <v>1.498826E-2</v>
      </c>
      <c r="V16">
        <v>1.4124360000000001E-2</v>
      </c>
      <c r="W16">
        <v>8.9856099999999998E-3</v>
      </c>
      <c r="X16">
        <v>2.3794599999999999E-3</v>
      </c>
      <c r="Y16">
        <v>8.3283200000000002E-3</v>
      </c>
      <c r="Z16">
        <v>1.499674E-2</v>
      </c>
      <c r="AA16">
        <v>1.509801E-2</v>
      </c>
      <c r="AB16">
        <v>6.0051100000000001E-3</v>
      </c>
      <c r="AC16">
        <v>6.1011599999999996E-3</v>
      </c>
      <c r="AD16">
        <v>1.1129770000000001E-2</v>
      </c>
      <c r="AE16">
        <v>1.276506E-2</v>
      </c>
      <c r="AF16">
        <v>1.53432E-2</v>
      </c>
      <c r="AG16">
        <v>-1.1417E-3</v>
      </c>
      <c r="AH16">
        <v>5.0456000000000003E-4</v>
      </c>
      <c r="AI16">
        <v>-1.2075199999999999E-3</v>
      </c>
      <c r="AJ16">
        <v>1.233162E-2</v>
      </c>
      <c r="AK16">
        <v>1.4763160000000001E-2</v>
      </c>
      <c r="AL16">
        <v>5.7858700000000002E-3</v>
      </c>
      <c r="AM16">
        <v>9.1397200000000005E-3</v>
      </c>
      <c r="AN16">
        <v>7.7269299999999999E-3</v>
      </c>
      <c r="AO16">
        <v>3.0334799999999999E-3</v>
      </c>
      <c r="AP16">
        <v>5.0289899999999997E-3</v>
      </c>
      <c r="AQ16">
        <v>-4.0509999999999998E-4</v>
      </c>
      <c r="AR16">
        <v>-5.8089999999999997E-4</v>
      </c>
      <c r="AS16">
        <v>1.1866369999999999E-2</v>
      </c>
      <c r="AT16">
        <v>2.53206E-3</v>
      </c>
      <c r="AU16">
        <v>5.7098799999999996E-3</v>
      </c>
      <c r="AV16">
        <v>1.719625E-2</v>
      </c>
      <c r="AW16">
        <v>9.7361199999999992E-3</v>
      </c>
      <c r="AX16">
        <v>9.2743500000000006E-3</v>
      </c>
      <c r="AY16">
        <v>1.625588E-2</v>
      </c>
      <c r="AZ16">
        <v>1.5902090000000001E-2</v>
      </c>
      <c r="BA16">
        <v>1.503869E-2</v>
      </c>
      <c r="BB16">
        <v>2.8752500000000002E-3</v>
      </c>
      <c r="BC16">
        <v>7.2046000000000002E-3</v>
      </c>
      <c r="BD16">
        <v>1.349416E-2</v>
      </c>
      <c r="BE16">
        <v>7.1034100000000001E-3</v>
      </c>
      <c r="BF16">
        <v>1.0758500000000001E-2</v>
      </c>
      <c r="BG16">
        <v>6.8612000000000002E-4</v>
      </c>
      <c r="BH16">
        <v>1.6544550000000002E-2</v>
      </c>
      <c r="BI16">
        <v>1.144558E-2</v>
      </c>
      <c r="BJ16">
        <v>1.2589299999999999E-3</v>
      </c>
      <c r="BK16">
        <v>1.3504540000000001E-2</v>
      </c>
      <c r="BL16">
        <v>5.8681699999999998E-3</v>
      </c>
      <c r="BM16">
        <v>8.8694599999999992E-3</v>
      </c>
      <c r="BN16">
        <v>6.5925000000000003E-3</v>
      </c>
      <c r="BO16">
        <v>6.3230600000000001E-3</v>
      </c>
      <c r="BP16">
        <v>1.284106E-2</v>
      </c>
      <c r="BQ16">
        <v>1.580461E-2</v>
      </c>
      <c r="BR16">
        <v>6.9602300000000004E-3</v>
      </c>
      <c r="BS16">
        <v>-4.6521799999999997E-3</v>
      </c>
      <c r="BT16">
        <v>9.5488499999999994E-3</v>
      </c>
      <c r="BU16">
        <v>5.6842699999999999E-3</v>
      </c>
      <c r="BV16">
        <v>8.5230700000000006E-3</v>
      </c>
      <c r="BW16">
        <v>1.09441E-2</v>
      </c>
      <c r="BX16">
        <v>-2.96204E-3</v>
      </c>
      <c r="BY16">
        <v>3.8774500000000002E-3</v>
      </c>
      <c r="BZ16">
        <v>1.076094E-2</v>
      </c>
      <c r="CA16">
        <v>1.3507689999999999E-2</v>
      </c>
      <c r="CB16">
        <v>-5.50608E-3</v>
      </c>
      <c r="CC16">
        <v>1.8168000000000001E-4</v>
      </c>
      <c r="CD16">
        <v>1.13889E-2</v>
      </c>
      <c r="CE16">
        <v>4.3636899999999999E-3</v>
      </c>
      <c r="CF16">
        <v>-1.7761E-4</v>
      </c>
      <c r="CG16">
        <v>7.9795700000000001E-3</v>
      </c>
      <c r="CH16">
        <v>1.305188E-2</v>
      </c>
      <c r="CI16">
        <v>-1.2234500000000001E-3</v>
      </c>
      <c r="CJ16">
        <v>-1.41625E-3</v>
      </c>
      <c r="CK16">
        <v>2.7356500000000001E-3</v>
      </c>
      <c r="CL16">
        <v>3.70376E-3</v>
      </c>
      <c r="CM16">
        <v>3.6850099999999998E-3</v>
      </c>
      <c r="CN16">
        <v>1.095375E-2</v>
      </c>
      <c r="CO16">
        <v>7.3524100000000002E-3</v>
      </c>
      <c r="CP16">
        <v>3.7039299999999998E-3</v>
      </c>
      <c r="CQ16">
        <v>1.0761700000000001E-2</v>
      </c>
      <c r="CR16">
        <v>1.05665E-2</v>
      </c>
      <c r="CS16">
        <v>6.8460400000000003E-3</v>
      </c>
      <c r="CT16">
        <v>8.2015300000000003E-3</v>
      </c>
      <c r="CU16">
        <v>9.6128199999999994E-3</v>
      </c>
      <c r="CV16">
        <v>1.8304000000000001E-4</v>
      </c>
      <c r="CW16">
        <v>1.3140219999999999E-2</v>
      </c>
      <c r="CX16">
        <v>5.98863E-3</v>
      </c>
      <c r="CY16">
        <v>8.2165199999999997E-3</v>
      </c>
      <c r="CZ16">
        <v>1.328026E-2</v>
      </c>
      <c r="DA16">
        <v>1.035284E-2</v>
      </c>
      <c r="DB16">
        <v>1.2443330000000001E-2</v>
      </c>
      <c r="DC16">
        <v>1.4388980000000001E-2</v>
      </c>
      <c r="DD16">
        <v>5.7472199999999999E-3</v>
      </c>
      <c r="DE16">
        <v>9.2914299999999998E-3</v>
      </c>
      <c r="DF16">
        <v>6.5850199999999996E-3</v>
      </c>
      <c r="DG16">
        <v>1.219659E-2</v>
      </c>
      <c r="DH16">
        <v>8.1264900000000001E-3</v>
      </c>
      <c r="DI16">
        <v>1.379848E-2</v>
      </c>
      <c r="DJ16">
        <v>8.5208300000000001E-3</v>
      </c>
      <c r="DK16">
        <v>1.514883E-2</v>
      </c>
      <c r="DL16">
        <v>1.598397E-2</v>
      </c>
      <c r="DM16">
        <v>1.5975909999999999E-2</v>
      </c>
      <c r="DN16">
        <v>2.256145E-2</v>
      </c>
      <c r="DO16">
        <v>1.7311090000000001E-2</v>
      </c>
      <c r="DP16">
        <v>1.142615E-2</v>
      </c>
      <c r="DQ16">
        <v>1.283838E-2</v>
      </c>
      <c r="DR16">
        <v>5.0583499999999997E-3</v>
      </c>
      <c r="DS16">
        <v>4.3938099999999997E-3</v>
      </c>
      <c r="DT16">
        <v>3.33709E-3</v>
      </c>
      <c r="DU16">
        <v>-2.4631000000000002E-3</v>
      </c>
      <c r="DV16">
        <v>8.7178099999999994E-3</v>
      </c>
      <c r="DW16">
        <v>-8.5731999999999996E-4</v>
      </c>
      <c r="DX16">
        <v>1.486524E-2</v>
      </c>
      <c r="DY16">
        <v>8.5453400000000002E-3</v>
      </c>
      <c r="DZ16">
        <v>1.3020810000000001E-2</v>
      </c>
      <c r="EA16">
        <v>1.6013739999999999E-2</v>
      </c>
      <c r="EB16">
        <v>4.7663200000000001E-3</v>
      </c>
      <c r="EC16">
        <v>4.5762600000000004E-3</v>
      </c>
      <c r="ED16">
        <v>1.0801120000000001E-2</v>
      </c>
      <c r="EE16">
        <v>1.6207920000000001E-2</v>
      </c>
      <c r="EF16">
        <v>1.063272E-2</v>
      </c>
      <c r="EG16">
        <v>3.1997249999999998E-2</v>
      </c>
      <c r="EH16">
        <v>-1.235E-5</v>
      </c>
      <c r="EI16">
        <v>1.3461829999999999E-2</v>
      </c>
      <c r="EJ16">
        <v>2.5480510000000001E-2</v>
      </c>
      <c r="EK16">
        <v>1.9856550000000001E-2</v>
      </c>
      <c r="EL16">
        <v>2.5659089999999999E-2</v>
      </c>
      <c r="EM16">
        <v>3.9113100000000003E-3</v>
      </c>
      <c r="EN16">
        <v>3.8957E-4</v>
      </c>
      <c r="EO16">
        <v>1.4187979999999999E-2</v>
      </c>
      <c r="EP16">
        <f t="shared" si="0"/>
        <v>0</v>
      </c>
      <c r="EQ16">
        <f>SUMIF('Mi portafolio'!$A$8:$A$19,$A16,'Mi portafolio'!$B$8:$B$19)</f>
        <v>0</v>
      </c>
    </row>
    <row r="17" spans="1:147" x14ac:dyDescent="0.25">
      <c r="A17" s="34" t="s">
        <v>92</v>
      </c>
      <c r="B17">
        <v>9.04954E-3</v>
      </c>
      <c r="C17">
        <v>2.5473599999999998E-3</v>
      </c>
      <c r="D17">
        <v>-3.00205E-3</v>
      </c>
      <c r="E17">
        <v>8.3147199999999994E-3</v>
      </c>
      <c r="F17">
        <v>1.2740039999999999E-2</v>
      </c>
      <c r="G17">
        <v>2.52403E-3</v>
      </c>
      <c r="H17">
        <v>8.0979599999999995E-3</v>
      </c>
      <c r="I17">
        <v>1.375139E-2</v>
      </c>
      <c r="J17">
        <v>9.2526199999999996E-3</v>
      </c>
      <c r="K17">
        <v>1.39636E-2</v>
      </c>
      <c r="L17">
        <v>8.0070699999999998E-3</v>
      </c>
      <c r="M17">
        <v>4.7889250000000001E-2</v>
      </c>
      <c r="N17">
        <v>1.423832E-2</v>
      </c>
      <c r="O17">
        <v>1.091463E-2</v>
      </c>
      <c r="P17">
        <v>9.8553700000000004E-3</v>
      </c>
      <c r="Q17">
        <v>1.2862999999999999E-4</v>
      </c>
      <c r="R17">
        <v>1.445608E-2</v>
      </c>
      <c r="S17">
        <v>5.8339300000000002E-3</v>
      </c>
      <c r="T17">
        <v>1.7393599999999999E-2</v>
      </c>
      <c r="U17">
        <v>1.4535899999999999E-2</v>
      </c>
      <c r="V17">
        <v>1.4704E-2</v>
      </c>
      <c r="W17">
        <v>8.3458899999999999E-3</v>
      </c>
      <c r="X17">
        <v>1.724701E-2</v>
      </c>
      <c r="Y17">
        <v>1.200583E-2</v>
      </c>
      <c r="Z17">
        <v>1.5108709999999999E-2</v>
      </c>
      <c r="AA17">
        <v>1.0886689999999999E-2</v>
      </c>
      <c r="AB17">
        <v>1.263046E-2</v>
      </c>
      <c r="AC17">
        <v>5.4500800000000004E-3</v>
      </c>
      <c r="AD17">
        <v>8.8676299999999996E-3</v>
      </c>
      <c r="AE17">
        <v>1.306234E-2</v>
      </c>
      <c r="AF17">
        <v>6.8284499999999998E-3</v>
      </c>
      <c r="AG17">
        <v>1.56908E-3</v>
      </c>
      <c r="AH17">
        <v>2.69521E-3</v>
      </c>
      <c r="AI17">
        <v>-3.9634900000000001E-3</v>
      </c>
      <c r="AJ17">
        <v>9.2219000000000003E-4</v>
      </c>
      <c r="AK17">
        <v>1.3754590000000001E-2</v>
      </c>
      <c r="AL17">
        <v>1.513362E-2</v>
      </c>
      <c r="AM17">
        <v>1.170799E-2</v>
      </c>
      <c r="AN17">
        <v>3.1516530000000001E-2</v>
      </c>
      <c r="AO17">
        <v>9.2957200000000004E-3</v>
      </c>
      <c r="AP17">
        <v>1.559957E-2</v>
      </c>
      <c r="AQ17">
        <v>-7.12329E-3</v>
      </c>
      <c r="AR17">
        <v>1.426059E-2</v>
      </c>
      <c r="AS17">
        <v>1.4708290000000001E-2</v>
      </c>
      <c r="AT17">
        <v>2.2480259999999998E-2</v>
      </c>
      <c r="AU17">
        <v>1.4568640000000001E-2</v>
      </c>
      <c r="AV17">
        <v>1.124704E-2</v>
      </c>
      <c r="AW17">
        <v>1.550294E-2</v>
      </c>
      <c r="AX17">
        <v>1.741065E-2</v>
      </c>
      <c r="AY17">
        <v>2.344326E-2</v>
      </c>
      <c r="AZ17">
        <v>1.775875E-2</v>
      </c>
      <c r="BA17">
        <v>2.3461630000000001E-2</v>
      </c>
      <c r="BB17">
        <v>2.1447890000000001E-2</v>
      </c>
      <c r="BC17">
        <v>9.0924700000000001E-3</v>
      </c>
      <c r="BD17">
        <v>1.1471230000000001E-2</v>
      </c>
      <c r="BE17">
        <v>1.9242929999999998E-2</v>
      </c>
      <c r="BF17">
        <v>1.8172219999999999E-2</v>
      </c>
      <c r="BG17">
        <v>2.2621530000000001E-2</v>
      </c>
      <c r="BH17">
        <v>1.095756E-2</v>
      </c>
      <c r="BI17">
        <v>8.9927199999999992E-3</v>
      </c>
      <c r="BJ17">
        <v>-7.4209200000000001E-3</v>
      </c>
      <c r="BK17">
        <v>1.2743340000000001E-2</v>
      </c>
      <c r="BL17">
        <v>2.5517649999999999E-2</v>
      </c>
      <c r="BM17">
        <v>2.242369E-2</v>
      </c>
      <c r="BN17">
        <v>1.84246E-3</v>
      </c>
      <c r="BO17">
        <v>2.268732E-2</v>
      </c>
      <c r="BP17">
        <v>1.1884789999999999E-2</v>
      </c>
      <c r="BQ17">
        <v>2.4479540000000001E-2</v>
      </c>
      <c r="BR17">
        <v>2.531713E-2</v>
      </c>
      <c r="BS17">
        <v>-7.0871700000000003E-3</v>
      </c>
      <c r="BT17">
        <v>2.6318560000000001E-2</v>
      </c>
      <c r="BU17">
        <v>9.6986099999999999E-3</v>
      </c>
      <c r="BV17">
        <v>2.4707150000000001E-2</v>
      </c>
      <c r="BW17">
        <v>2.052352E-2</v>
      </c>
      <c r="BX17">
        <v>1.1020780000000001E-2</v>
      </c>
      <c r="BY17">
        <v>3.1363469999999997E-2</v>
      </c>
      <c r="BZ17">
        <v>3.2228319999999998E-2</v>
      </c>
      <c r="CA17">
        <v>1.7639040000000002E-2</v>
      </c>
      <c r="CB17">
        <v>-2.99739E-3</v>
      </c>
      <c r="CC17">
        <v>5.6698499999999997E-3</v>
      </c>
      <c r="CD17">
        <v>2.2128399999999999E-2</v>
      </c>
      <c r="CE17">
        <v>7.5949399999999997E-3</v>
      </c>
      <c r="CF17">
        <v>-6.7143000000000003E-3</v>
      </c>
      <c r="CG17">
        <v>2.8025230000000002E-2</v>
      </c>
      <c r="CH17">
        <v>2.8198709999999998E-2</v>
      </c>
      <c r="CI17">
        <v>-9.3921500000000002E-3</v>
      </c>
      <c r="CJ17">
        <v>7.0390899999999996E-3</v>
      </c>
      <c r="CK17">
        <v>2.533465E-2</v>
      </c>
      <c r="CL17">
        <v>2.8032629999999999E-2</v>
      </c>
      <c r="CM17">
        <v>1.8640609999999998E-2</v>
      </c>
      <c r="CN17">
        <v>2.55536E-3</v>
      </c>
      <c r="CO17">
        <v>8.0470200000000002E-3</v>
      </c>
      <c r="CP17">
        <v>1.2429849999999999E-2</v>
      </c>
      <c r="CQ17">
        <v>3.8287380000000003E-2</v>
      </c>
      <c r="CR17">
        <v>2.7110100000000002E-2</v>
      </c>
      <c r="CS17">
        <v>2.5224050000000001E-2</v>
      </c>
      <c r="CT17">
        <v>2.385789E-2</v>
      </c>
      <c r="CU17">
        <v>1.342694E-2</v>
      </c>
      <c r="CV17">
        <v>2.5051489999999999E-2</v>
      </c>
      <c r="CW17">
        <v>2.7934919999999999E-2</v>
      </c>
      <c r="CX17">
        <v>3.289541E-2</v>
      </c>
      <c r="CY17">
        <v>4.0576790000000001E-2</v>
      </c>
      <c r="CZ17">
        <v>1.0651300000000001E-2</v>
      </c>
      <c r="DA17">
        <v>1.5896250000000001E-2</v>
      </c>
      <c r="DB17">
        <v>3.058433E-2</v>
      </c>
      <c r="DC17">
        <v>3.417738E-2</v>
      </c>
      <c r="DD17">
        <v>3.2451769999999998E-2</v>
      </c>
      <c r="DE17">
        <v>3.5953850000000002E-2</v>
      </c>
      <c r="DF17">
        <v>1.079915E-2</v>
      </c>
      <c r="DG17">
        <v>3.7663620000000002E-2</v>
      </c>
      <c r="DH17">
        <v>1.820335E-2</v>
      </c>
      <c r="DI17">
        <v>4.3493249999999997E-2</v>
      </c>
      <c r="DJ17">
        <v>3.9573909999999997E-2</v>
      </c>
      <c r="DK17">
        <v>4.6895869999999999E-2</v>
      </c>
      <c r="DL17">
        <v>2.0886499999999999E-2</v>
      </c>
      <c r="DM17">
        <v>4.9769819999999999E-2</v>
      </c>
      <c r="DN17">
        <v>3.591859E-2</v>
      </c>
      <c r="DO17">
        <v>3.116209E-2</v>
      </c>
      <c r="DP17">
        <v>4.788833E-2</v>
      </c>
      <c r="DQ17">
        <v>3.1722359999999998E-2</v>
      </c>
      <c r="DR17">
        <v>2.7479590000000002E-2</v>
      </c>
      <c r="DS17">
        <v>1.43415E-2</v>
      </c>
      <c r="DT17">
        <v>1.787569E-2</v>
      </c>
      <c r="DU17">
        <v>3.7370269999999997E-2</v>
      </c>
      <c r="DV17">
        <v>2.081125E-2</v>
      </c>
      <c r="DW17">
        <v>3.049897E-2</v>
      </c>
      <c r="DX17">
        <v>3.253574E-2</v>
      </c>
      <c r="DY17">
        <v>4.7628999999999998E-2</v>
      </c>
      <c r="DZ17">
        <v>1.32137E-2</v>
      </c>
      <c r="EA17">
        <v>3.0990500000000001E-2</v>
      </c>
      <c r="EB17">
        <v>5.2567999999999997E-2</v>
      </c>
      <c r="EC17">
        <v>6.7497099999999999E-3</v>
      </c>
      <c r="ED17">
        <v>4.4436639999999999E-2</v>
      </c>
      <c r="EE17">
        <v>3.3156949999999998E-2</v>
      </c>
      <c r="EF17">
        <v>3.8238439999999999E-2</v>
      </c>
      <c r="EG17">
        <v>3.8771390000000003E-2</v>
      </c>
      <c r="EH17">
        <v>2.3978300000000001E-2</v>
      </c>
      <c r="EI17">
        <v>3.2544799999999999E-2</v>
      </c>
      <c r="EJ17">
        <v>5.9347789999999997E-2</v>
      </c>
      <c r="EK17">
        <v>5.2775120000000002E-2</v>
      </c>
      <c r="EL17">
        <v>6.097023E-2</v>
      </c>
      <c r="EM17">
        <v>4.3065730000000003E-2</v>
      </c>
      <c r="EN17">
        <v>5.8270710000000003E-2</v>
      </c>
      <c r="EO17">
        <v>4.2635909999999999E-2</v>
      </c>
      <c r="EP17">
        <f t="shared" si="0"/>
        <v>0</v>
      </c>
      <c r="EQ17">
        <f>SUMIF('Mi portafolio'!$A$8:$A$19,$A17,'Mi portafolio'!$B$8:$B$19)</f>
        <v>0</v>
      </c>
    </row>
    <row r="18" spans="1:147" x14ac:dyDescent="0.25">
      <c r="A18" s="34" t="s">
        <v>93</v>
      </c>
      <c r="B18">
        <v>1.1870810000000001E-2</v>
      </c>
      <c r="C18">
        <v>-2.9033999999999999E-4</v>
      </c>
      <c r="D18">
        <v>7.9137200000000008E-3</v>
      </c>
      <c r="E18">
        <v>7.8547200000000008E-3</v>
      </c>
      <c r="F18">
        <v>1.3570759999999999E-2</v>
      </c>
      <c r="G18">
        <v>2.1728899999999998E-3</v>
      </c>
      <c r="H18">
        <v>4.91034E-3</v>
      </c>
      <c r="I18">
        <v>1.6939880000000001E-2</v>
      </c>
      <c r="J18">
        <v>1.9592579999999998E-2</v>
      </c>
      <c r="K18">
        <v>1.6104380000000001E-2</v>
      </c>
      <c r="L18">
        <v>6.5876700000000003E-3</v>
      </c>
      <c r="M18">
        <v>1.423832E-2</v>
      </c>
      <c r="N18">
        <v>4.8869059999999999E-2</v>
      </c>
      <c r="O18">
        <v>3.6254099999999999E-3</v>
      </c>
      <c r="P18">
        <v>1.111613E-2</v>
      </c>
      <c r="Q18">
        <v>-1.76924E-3</v>
      </c>
      <c r="R18">
        <v>1.5779640000000001E-2</v>
      </c>
      <c r="S18">
        <v>5.5380200000000003E-3</v>
      </c>
      <c r="T18">
        <v>1.1397050000000001E-2</v>
      </c>
      <c r="U18">
        <v>6.68382E-3</v>
      </c>
      <c r="V18">
        <v>1.2527700000000001E-3</v>
      </c>
      <c r="W18">
        <v>3.5799199999999999E-3</v>
      </c>
      <c r="X18">
        <v>1.196092E-2</v>
      </c>
      <c r="Y18">
        <v>1.37383E-2</v>
      </c>
      <c r="Z18">
        <v>6.3386400000000004E-3</v>
      </c>
      <c r="AA18">
        <v>9.1482400000000002E-3</v>
      </c>
      <c r="AB18">
        <v>1.422937E-2</v>
      </c>
      <c r="AC18">
        <v>1.57708E-3</v>
      </c>
      <c r="AD18">
        <v>9.6022000000000002E-4</v>
      </c>
      <c r="AE18">
        <v>1.6710000000000001E-5</v>
      </c>
      <c r="AF18">
        <v>-2.9140999999999998E-4</v>
      </c>
      <c r="AG18">
        <v>1.1022499999999999E-2</v>
      </c>
      <c r="AH18">
        <v>1.421974E-2</v>
      </c>
      <c r="AI18">
        <v>7.0310199999999998E-3</v>
      </c>
      <c r="AJ18">
        <v>8.8727300000000005E-3</v>
      </c>
      <c r="AK18">
        <v>2.5657000000000002E-3</v>
      </c>
      <c r="AL18">
        <v>1.780377E-2</v>
      </c>
      <c r="AM18">
        <v>6.6221800000000001E-3</v>
      </c>
      <c r="AN18">
        <v>2.0838820000000001E-2</v>
      </c>
      <c r="AO18">
        <v>2.5155009999999998E-2</v>
      </c>
      <c r="AP18">
        <v>2.3566030000000002E-2</v>
      </c>
      <c r="AQ18">
        <v>5.3978699999999999E-3</v>
      </c>
      <c r="AR18">
        <v>1.1769770000000001E-2</v>
      </c>
      <c r="AS18">
        <v>3.1655199999999998E-3</v>
      </c>
      <c r="AT18">
        <v>1.4686950000000001E-2</v>
      </c>
      <c r="AU18">
        <v>1.338784E-2</v>
      </c>
      <c r="AV18">
        <v>1.0036689999999999E-2</v>
      </c>
      <c r="AW18">
        <v>3.70865E-3</v>
      </c>
      <c r="AX18">
        <v>4.0468520000000001E-2</v>
      </c>
      <c r="AY18">
        <v>1.7746930000000001E-2</v>
      </c>
      <c r="AZ18">
        <v>8.1349000000000005E-3</v>
      </c>
      <c r="BA18">
        <v>1.8549400000000001E-2</v>
      </c>
      <c r="BB18">
        <v>1.229411E-2</v>
      </c>
      <c r="BC18">
        <v>3.9838599999999997E-3</v>
      </c>
      <c r="BD18">
        <v>5.0322199999999996E-3</v>
      </c>
      <c r="BE18">
        <v>3.4284309999999998E-2</v>
      </c>
      <c r="BF18">
        <v>1.119034E-2</v>
      </c>
      <c r="BG18">
        <v>2.3670009999999998E-2</v>
      </c>
      <c r="BH18">
        <v>1.034856E-2</v>
      </c>
      <c r="BI18">
        <v>3.8418300000000001E-3</v>
      </c>
      <c r="BJ18">
        <v>-1.3479900000000001E-3</v>
      </c>
      <c r="BK18">
        <v>1.27753E-3</v>
      </c>
      <c r="BL18">
        <v>1.431266E-2</v>
      </c>
      <c r="BM18">
        <v>1.7421099999999998E-2</v>
      </c>
      <c r="BN18">
        <v>4.8688100000000003E-3</v>
      </c>
      <c r="BO18">
        <v>1.299869E-2</v>
      </c>
      <c r="BP18">
        <v>5.0355299999999999E-3</v>
      </c>
      <c r="BQ18">
        <v>2.9039000000000001E-3</v>
      </c>
      <c r="BR18">
        <v>2.0081970000000001E-2</v>
      </c>
      <c r="BS18">
        <v>2.9315999999999999E-3</v>
      </c>
      <c r="BT18">
        <v>1.506571E-2</v>
      </c>
      <c r="BU18">
        <v>3.3655099999999999E-3</v>
      </c>
      <c r="BV18">
        <v>1.202013E-2</v>
      </c>
      <c r="BW18">
        <v>1.5036580000000001E-2</v>
      </c>
      <c r="BX18">
        <v>3.5493829999999997E-2</v>
      </c>
      <c r="BY18">
        <v>1.9827629999999999E-2</v>
      </c>
      <c r="BZ18">
        <v>1.7522909999999999E-2</v>
      </c>
      <c r="CA18">
        <v>3.7810700000000001E-3</v>
      </c>
      <c r="CB18">
        <v>6.3567500000000004E-3</v>
      </c>
      <c r="CC18">
        <v>4.9760100000000003E-3</v>
      </c>
      <c r="CD18">
        <v>1.9311620000000002E-2</v>
      </c>
      <c r="CE18">
        <v>4.1724800000000001E-3</v>
      </c>
      <c r="CF18">
        <v>6.2293799999999996E-3</v>
      </c>
      <c r="CG18">
        <v>2.455154E-2</v>
      </c>
      <c r="CH18">
        <v>8.0584200000000002E-3</v>
      </c>
      <c r="CI18">
        <v>6.4186199999999999E-3</v>
      </c>
      <c r="CJ18">
        <v>2.1083600000000001E-2</v>
      </c>
      <c r="CK18">
        <v>2.4736029999999999E-2</v>
      </c>
      <c r="CL18">
        <v>2.253401E-2</v>
      </c>
      <c r="CM18">
        <v>-8.9523000000000001E-4</v>
      </c>
      <c r="CN18">
        <v>1.0433110000000001E-2</v>
      </c>
      <c r="CO18">
        <v>4.8246499999999998E-3</v>
      </c>
      <c r="CP18">
        <v>1.7240749999999999E-2</v>
      </c>
      <c r="CQ18">
        <v>2.5700500000000001E-2</v>
      </c>
      <c r="CR18">
        <v>2.92874E-3</v>
      </c>
      <c r="CS18">
        <v>8.7288999999999995E-3</v>
      </c>
      <c r="CT18">
        <v>1.8120750000000001E-2</v>
      </c>
      <c r="CU18">
        <v>1.129662E-2</v>
      </c>
      <c r="CV18">
        <v>5.99126E-3</v>
      </c>
      <c r="CW18">
        <v>1.7996100000000001E-2</v>
      </c>
      <c r="CX18">
        <v>1.477005E-2</v>
      </c>
      <c r="CY18">
        <v>2.441486E-2</v>
      </c>
      <c r="CZ18">
        <v>1.9654339999999999E-2</v>
      </c>
      <c r="DA18">
        <v>3.5991710000000003E-2</v>
      </c>
      <c r="DB18">
        <v>1.38079E-2</v>
      </c>
      <c r="DC18">
        <v>1.127507E-2</v>
      </c>
      <c r="DD18">
        <v>2.6188639999999999E-2</v>
      </c>
      <c r="DE18">
        <v>1.058448E-2</v>
      </c>
      <c r="DF18">
        <v>2.0127760000000001E-2</v>
      </c>
      <c r="DG18">
        <v>2.1561839999999999E-2</v>
      </c>
      <c r="DH18">
        <v>-2.2473100000000002E-3</v>
      </c>
      <c r="DI18">
        <v>2.3512269999999998E-2</v>
      </c>
      <c r="DJ18">
        <v>3.1377210000000003E-2</v>
      </c>
      <c r="DK18">
        <v>2.5546550000000001E-2</v>
      </c>
      <c r="DL18">
        <v>4.35243E-3</v>
      </c>
      <c r="DM18">
        <v>3.8929030000000003E-2</v>
      </c>
      <c r="DN18">
        <v>2.1029220000000001E-2</v>
      </c>
      <c r="DO18">
        <v>2.4685209999999999E-2</v>
      </c>
      <c r="DP18">
        <v>3.6877960000000001E-2</v>
      </c>
      <c r="DQ18">
        <v>6.7859599999999997E-3</v>
      </c>
      <c r="DR18">
        <v>1.7789470000000002E-2</v>
      </c>
      <c r="DS18">
        <v>7.0460699999999998E-3</v>
      </c>
      <c r="DT18">
        <v>5.5818999999999997E-4</v>
      </c>
      <c r="DU18">
        <v>1.515319E-2</v>
      </c>
      <c r="DV18">
        <v>1.2274999999999999E-2</v>
      </c>
      <c r="DW18">
        <v>1.8687459999999999E-2</v>
      </c>
      <c r="DX18">
        <v>-8.0831000000000002E-4</v>
      </c>
      <c r="DY18">
        <v>1.498585E-2</v>
      </c>
      <c r="DZ18">
        <v>1.6821180000000002E-2</v>
      </c>
      <c r="EA18">
        <v>3.2116520000000003E-2</v>
      </c>
      <c r="EB18">
        <v>2.445371E-2</v>
      </c>
      <c r="EC18">
        <v>-9.4621700000000006E-3</v>
      </c>
      <c r="ED18">
        <v>3.576149E-2</v>
      </c>
      <c r="EE18">
        <v>-5.5940599999999997E-3</v>
      </c>
      <c r="EF18">
        <v>2.4124240000000002E-2</v>
      </c>
      <c r="EG18">
        <v>2.7437899999999999E-3</v>
      </c>
      <c r="EH18">
        <v>1.9474640000000001E-2</v>
      </c>
      <c r="EI18">
        <v>-6.6416399999999999E-3</v>
      </c>
      <c r="EJ18">
        <v>4.6458480000000003E-2</v>
      </c>
      <c r="EK18">
        <v>2.0439570000000001E-2</v>
      </c>
      <c r="EL18">
        <v>3.5249499999999998E-3</v>
      </c>
      <c r="EM18">
        <v>1.865286E-2</v>
      </c>
      <c r="EN18">
        <v>8.2738419999999993E-2</v>
      </c>
      <c r="EO18">
        <v>1.273964E-2</v>
      </c>
      <c r="EP18">
        <f t="shared" si="0"/>
        <v>0</v>
      </c>
      <c r="EQ18">
        <f>SUMIF('Mi portafolio'!$A$8:$A$19,$A18,'Mi portafolio'!$B$8:$B$19)</f>
        <v>0</v>
      </c>
    </row>
    <row r="19" spans="1:147" x14ac:dyDescent="0.25">
      <c r="A19" s="34" t="s">
        <v>94</v>
      </c>
      <c r="B19">
        <v>5.20829E-3</v>
      </c>
      <c r="C19">
        <v>6.9673599999999997E-3</v>
      </c>
      <c r="D19">
        <v>1.50504E-3</v>
      </c>
      <c r="E19">
        <v>1.565921E-2</v>
      </c>
      <c r="F19">
        <v>3.4121799999999999E-3</v>
      </c>
      <c r="G19">
        <v>5.4403899999999998E-3</v>
      </c>
      <c r="H19">
        <v>9.88057E-3</v>
      </c>
      <c r="I19">
        <v>4.8984400000000004E-3</v>
      </c>
      <c r="J19">
        <v>4.8531199999999998E-3</v>
      </c>
      <c r="K19">
        <v>8.1732100000000002E-3</v>
      </c>
      <c r="L19">
        <v>1.7088470000000001E-2</v>
      </c>
      <c r="M19">
        <v>1.091463E-2</v>
      </c>
      <c r="N19">
        <v>3.6254099999999999E-3</v>
      </c>
      <c r="O19">
        <v>4.9026029999999998E-2</v>
      </c>
      <c r="P19">
        <v>6.3819000000000002E-3</v>
      </c>
      <c r="Q19">
        <v>4.8587600000000002E-3</v>
      </c>
      <c r="R19">
        <v>5.8718199999999998E-3</v>
      </c>
      <c r="S19">
        <v>1.2528829999999999E-2</v>
      </c>
      <c r="T19">
        <v>3.1639099999999998E-3</v>
      </c>
      <c r="U19">
        <v>2.148036E-2</v>
      </c>
      <c r="V19">
        <v>2.123771E-2</v>
      </c>
      <c r="W19">
        <v>1.666927E-2</v>
      </c>
      <c r="X19">
        <v>1.0117259999999999E-2</v>
      </c>
      <c r="Y19">
        <v>2.55303E-3</v>
      </c>
      <c r="Z19">
        <v>2.0538290000000001E-2</v>
      </c>
      <c r="AA19">
        <v>1.9273510000000001E-2</v>
      </c>
      <c r="AB19">
        <v>1.48909E-3</v>
      </c>
      <c r="AC19">
        <v>1.7067929999999999E-2</v>
      </c>
      <c r="AD19">
        <v>1.5742240000000001E-2</v>
      </c>
      <c r="AE19">
        <v>1.769983E-2</v>
      </c>
      <c r="AF19">
        <v>2.5083609999999999E-2</v>
      </c>
      <c r="AG19">
        <v>2.6212200000000001E-3</v>
      </c>
      <c r="AH19">
        <v>4.2110200000000002E-3</v>
      </c>
      <c r="AI19">
        <v>-2.3192299999999998E-3</v>
      </c>
      <c r="AJ19">
        <v>1.489999E-2</v>
      </c>
      <c r="AK19">
        <v>2.6836800000000001E-2</v>
      </c>
      <c r="AL19">
        <v>6.2185499999999998E-3</v>
      </c>
      <c r="AM19">
        <v>1.5929289999999999E-2</v>
      </c>
      <c r="AN19">
        <v>8.0885599999999998E-3</v>
      </c>
      <c r="AO19">
        <v>-6.4179999999999999E-4</v>
      </c>
      <c r="AP19">
        <v>8.2683800000000005E-3</v>
      </c>
      <c r="AQ19">
        <v>-1.27742E-3</v>
      </c>
      <c r="AR19">
        <v>3.83402E-3</v>
      </c>
      <c r="AS19">
        <v>1.5474480000000001E-2</v>
      </c>
      <c r="AT19">
        <v>1.4894299999999999E-3</v>
      </c>
      <c r="AU19">
        <v>5.53062E-3</v>
      </c>
      <c r="AV19">
        <v>2.127919E-2</v>
      </c>
      <c r="AW19">
        <v>1.6565150000000001E-2</v>
      </c>
      <c r="AX19">
        <v>5.7989399999999998E-3</v>
      </c>
      <c r="AY19">
        <v>9.3588999999999999E-4</v>
      </c>
      <c r="AZ19">
        <v>1.7830639999999998E-2</v>
      </c>
      <c r="BA19">
        <v>1.3899170000000001E-2</v>
      </c>
      <c r="BB19">
        <v>5.4079899999999997E-3</v>
      </c>
      <c r="BC19">
        <v>1.872965E-2</v>
      </c>
      <c r="BD19">
        <v>2.2274889999999999E-2</v>
      </c>
      <c r="BE19">
        <v>7.5551000000000004E-3</v>
      </c>
      <c r="BF19">
        <v>1.7744070000000001E-2</v>
      </c>
      <c r="BG19">
        <v>-8.4780900000000006E-3</v>
      </c>
      <c r="BH19">
        <v>1.252028E-2</v>
      </c>
      <c r="BI19">
        <v>1.680454E-2</v>
      </c>
      <c r="BJ19">
        <v>7.2849000000000004E-4</v>
      </c>
      <c r="BK19">
        <v>1.7215999999999999E-2</v>
      </c>
      <c r="BL19">
        <v>1.1051750000000001E-2</v>
      </c>
      <c r="BM19">
        <v>3.5018499999999999E-3</v>
      </c>
      <c r="BN19">
        <v>8.6157899999999999E-3</v>
      </c>
      <c r="BO19">
        <v>5.15498E-3</v>
      </c>
      <c r="BP19">
        <v>5.4045000000000004E-4</v>
      </c>
      <c r="BQ19">
        <v>2.617392E-2</v>
      </c>
      <c r="BR19">
        <v>3.4535899999999999E-3</v>
      </c>
      <c r="BS19">
        <v>-4.8202899999999996E-3</v>
      </c>
      <c r="BT19">
        <v>1.4538799999999999E-2</v>
      </c>
      <c r="BU19">
        <v>1.4059439999999999E-2</v>
      </c>
      <c r="BV19">
        <v>8.2112599999999997E-3</v>
      </c>
      <c r="BW19">
        <v>2.6161700000000001E-3</v>
      </c>
      <c r="BX19">
        <v>-2.3231100000000002E-3</v>
      </c>
      <c r="BY19">
        <v>6.0498799999999997E-3</v>
      </c>
      <c r="BZ19">
        <v>1.398686E-2</v>
      </c>
      <c r="CA19">
        <v>2.6157420000000001E-2</v>
      </c>
      <c r="CB19">
        <v>-2.4457999999999999E-4</v>
      </c>
      <c r="CC19">
        <v>3.52105E-3</v>
      </c>
      <c r="CD19">
        <v>2.6493599999999999E-3</v>
      </c>
      <c r="CE19">
        <v>-3.2412500000000002E-3</v>
      </c>
      <c r="CF19">
        <v>-1.39959E-3</v>
      </c>
      <c r="CG19">
        <v>1.85542E-3</v>
      </c>
      <c r="CH19">
        <v>2.9760120000000001E-2</v>
      </c>
      <c r="CI19">
        <v>-3.6673600000000002E-3</v>
      </c>
      <c r="CJ19">
        <v>-2.9278300000000002E-3</v>
      </c>
      <c r="CK19">
        <v>-3.9527E-3</v>
      </c>
      <c r="CL19">
        <v>3.2034699999999999E-3</v>
      </c>
      <c r="CM19">
        <v>-3.5814599999999999E-3</v>
      </c>
      <c r="CN19">
        <v>1.637833E-2</v>
      </c>
      <c r="CO19">
        <v>4.4655600000000004E-3</v>
      </c>
      <c r="CP19">
        <v>2.62985E-3</v>
      </c>
      <c r="CQ19">
        <v>9.3726999999999994E-3</v>
      </c>
      <c r="CR19">
        <v>4.6526600000000003E-3</v>
      </c>
      <c r="CS19">
        <v>1.056053E-2</v>
      </c>
      <c r="CT19">
        <v>1.324409E-2</v>
      </c>
      <c r="CU19">
        <v>7.5307E-4</v>
      </c>
      <c r="CV19">
        <v>2.45233E-3</v>
      </c>
      <c r="CW19">
        <v>6.4900799999999996E-3</v>
      </c>
      <c r="CX19">
        <v>5.4383599999999997E-3</v>
      </c>
      <c r="CY19">
        <v>1.2520130000000001E-2</v>
      </c>
      <c r="CZ19">
        <v>-7.4414999999999995E-4</v>
      </c>
      <c r="DA19">
        <v>-1.3926529999999999E-2</v>
      </c>
      <c r="DB19">
        <v>1.2731360000000001E-2</v>
      </c>
      <c r="DC19">
        <v>2.2213989999999999E-2</v>
      </c>
      <c r="DD19">
        <v>2.3525099999999999E-3</v>
      </c>
      <c r="DE19">
        <v>1.1528480000000001E-2</v>
      </c>
      <c r="DF19">
        <v>-4.8801199999999999E-3</v>
      </c>
      <c r="DG19">
        <v>2.2174429999999998E-2</v>
      </c>
      <c r="DH19">
        <v>2.36944E-3</v>
      </c>
      <c r="DI19">
        <v>2.1131859999999999E-2</v>
      </c>
      <c r="DJ19">
        <v>6.7939300000000001E-3</v>
      </c>
      <c r="DK19">
        <v>1.4910980000000001E-2</v>
      </c>
      <c r="DL19">
        <v>2.9639349999999998E-2</v>
      </c>
      <c r="DM19">
        <v>1.9588609999999999E-2</v>
      </c>
      <c r="DN19">
        <v>6.2015600000000001E-3</v>
      </c>
      <c r="DO19">
        <v>1.4703559999999999E-2</v>
      </c>
      <c r="DP19">
        <v>1.264094E-2</v>
      </c>
      <c r="DQ19">
        <v>1.0076359999999999E-2</v>
      </c>
      <c r="DR19">
        <v>1.104784E-2</v>
      </c>
      <c r="DS19">
        <v>-1.032258E-2</v>
      </c>
      <c r="DT19">
        <v>-1.25508E-3</v>
      </c>
      <c r="DU19">
        <v>1.0719390000000001E-2</v>
      </c>
      <c r="DV19">
        <v>2.5022999999999998E-3</v>
      </c>
      <c r="DW19">
        <v>-5.4023999999999999E-3</v>
      </c>
      <c r="DX19">
        <v>4.8674299999999998E-3</v>
      </c>
      <c r="DY19">
        <v>3.9909100000000003E-3</v>
      </c>
      <c r="DZ19">
        <v>-1.139309E-2</v>
      </c>
      <c r="EA19">
        <v>8.0863399999999992E-3</v>
      </c>
      <c r="EB19">
        <v>1.0701300000000001E-3</v>
      </c>
      <c r="EC19">
        <v>2.2106700000000001E-3</v>
      </c>
      <c r="ED19">
        <v>1.3831680000000001E-2</v>
      </c>
      <c r="EE19">
        <v>1.5479669999999999E-2</v>
      </c>
      <c r="EF19">
        <v>1.165044E-2</v>
      </c>
      <c r="EG19">
        <v>1.8211430000000001E-2</v>
      </c>
      <c r="EH19">
        <v>-2.0731940000000001E-2</v>
      </c>
      <c r="EI19">
        <v>1.94297E-3</v>
      </c>
      <c r="EJ19">
        <v>1.690757E-2</v>
      </c>
      <c r="EK19">
        <v>1.5765729999999999E-2</v>
      </c>
      <c r="EL19">
        <v>3.3510600000000001E-2</v>
      </c>
      <c r="EM19">
        <v>8.5646999999999997E-3</v>
      </c>
      <c r="EN19">
        <v>-3.4888300000000001E-3</v>
      </c>
      <c r="EO19">
        <v>8.2692200000000007E-3</v>
      </c>
      <c r="EP19">
        <f t="shared" si="0"/>
        <v>0</v>
      </c>
      <c r="EQ19">
        <f>SUMIF('Mi portafolio'!$A$8:$A$19,$A19,'Mi portafolio'!$B$8:$B$19)</f>
        <v>0</v>
      </c>
    </row>
    <row r="20" spans="1:147" x14ac:dyDescent="0.25">
      <c r="A20" s="34" t="s">
        <v>95</v>
      </c>
      <c r="B20">
        <v>1.3945590000000001E-2</v>
      </c>
      <c r="C20">
        <v>2.58493E-3</v>
      </c>
      <c r="D20">
        <v>1.6419999999999999E-5</v>
      </c>
      <c r="E20">
        <v>6.7591600000000002E-3</v>
      </c>
      <c r="F20">
        <v>2.16253E-2</v>
      </c>
      <c r="G20">
        <v>-4.8199499999999999E-3</v>
      </c>
      <c r="H20">
        <v>6.7977999999999995E-4</v>
      </c>
      <c r="I20">
        <v>2.2167260000000001E-2</v>
      </c>
      <c r="J20">
        <v>1.93031E-2</v>
      </c>
      <c r="K20">
        <v>1.9251669999999999E-2</v>
      </c>
      <c r="L20">
        <v>6.5916600000000001E-3</v>
      </c>
      <c r="M20">
        <v>9.8553700000000004E-3</v>
      </c>
      <c r="N20">
        <v>1.111613E-2</v>
      </c>
      <c r="O20">
        <v>6.3819000000000002E-3</v>
      </c>
      <c r="P20">
        <v>4.8776430000000003E-2</v>
      </c>
      <c r="Q20">
        <v>6.68485E-3</v>
      </c>
      <c r="R20">
        <v>2.320554E-2</v>
      </c>
      <c r="S20">
        <v>5.0337699999999999E-3</v>
      </c>
      <c r="T20">
        <v>4.7137799999999999E-3</v>
      </c>
      <c r="U20">
        <v>5.9548600000000002E-3</v>
      </c>
      <c r="V20">
        <v>1.23448E-3</v>
      </c>
      <c r="W20">
        <v>9.5968500000000005E-3</v>
      </c>
      <c r="X20">
        <v>4.73683E-3</v>
      </c>
      <c r="Y20">
        <v>1.9798420000000001E-2</v>
      </c>
      <c r="Z20">
        <v>3.5343000000000002E-3</v>
      </c>
      <c r="AA20">
        <v>9.9522399999999994E-3</v>
      </c>
      <c r="AB20">
        <v>1.800235E-2</v>
      </c>
      <c r="AC20">
        <v>5.8976999999999999E-4</v>
      </c>
      <c r="AD20">
        <v>5.9172299999999999E-3</v>
      </c>
      <c r="AE20">
        <v>1.4569299999999999E-3</v>
      </c>
      <c r="AF20">
        <v>3.4954000000000002E-4</v>
      </c>
      <c r="AG20">
        <v>1.7732290000000001E-2</v>
      </c>
      <c r="AH20">
        <v>1.655382E-2</v>
      </c>
      <c r="AI20">
        <v>1.5030999999999999E-2</v>
      </c>
      <c r="AJ20">
        <v>-1.6423099999999999E-3</v>
      </c>
      <c r="AK20">
        <v>1.3493400000000001E-3</v>
      </c>
      <c r="AL20">
        <v>1.359927E-2</v>
      </c>
      <c r="AM20">
        <v>4.4306500000000004E-3</v>
      </c>
      <c r="AN20">
        <v>2.0896890000000001E-2</v>
      </c>
      <c r="AO20">
        <v>1.9703890000000002E-2</v>
      </c>
      <c r="AP20">
        <v>1.024597E-2</v>
      </c>
      <c r="AQ20">
        <v>1.6584829999999998E-2</v>
      </c>
      <c r="AR20">
        <v>5.7979299999999998E-3</v>
      </c>
      <c r="AS20">
        <v>2.4958100000000002E-3</v>
      </c>
      <c r="AT20">
        <v>7.0570399999999997E-3</v>
      </c>
      <c r="AU20">
        <v>4.0991809999999997E-2</v>
      </c>
      <c r="AV20">
        <v>1.107754E-2</v>
      </c>
      <c r="AW20">
        <v>7.5364300000000002E-3</v>
      </c>
      <c r="AX20">
        <v>2.048844E-2</v>
      </c>
      <c r="AY20">
        <v>1.9676780000000001E-2</v>
      </c>
      <c r="AZ20">
        <v>4.5126699999999999E-3</v>
      </c>
      <c r="BA20">
        <v>1.057133E-2</v>
      </c>
      <c r="BB20">
        <v>-1.1150999999999999E-4</v>
      </c>
      <c r="BC20">
        <v>3.2688700000000001E-3</v>
      </c>
      <c r="BD20">
        <v>2.4441799999999998E-3</v>
      </c>
      <c r="BE20">
        <v>1.9831990000000001E-2</v>
      </c>
      <c r="BF20">
        <v>5.6022499999999996E-3</v>
      </c>
      <c r="BG20">
        <v>4.4586599999999997E-3</v>
      </c>
      <c r="BH20">
        <v>-2.1327400000000002E-3</v>
      </c>
      <c r="BI20">
        <v>-1.6513000000000001E-3</v>
      </c>
      <c r="BJ20">
        <v>-3.9060599999999998E-3</v>
      </c>
      <c r="BK20">
        <v>4.7090999999999999E-3</v>
      </c>
      <c r="BL20">
        <v>-1.5101299999999999E-3</v>
      </c>
      <c r="BM20">
        <v>2.895787E-2</v>
      </c>
      <c r="BN20">
        <v>1.8279400000000001E-2</v>
      </c>
      <c r="BO20">
        <v>1.0658040000000001E-2</v>
      </c>
      <c r="BP20">
        <v>4.4347099999999997E-3</v>
      </c>
      <c r="BQ20">
        <v>-1.0830600000000001E-3</v>
      </c>
      <c r="BR20">
        <v>1.112425E-2</v>
      </c>
      <c r="BS20">
        <v>1.270078E-2</v>
      </c>
      <c r="BT20">
        <v>1.8689100000000001E-3</v>
      </c>
      <c r="BU20">
        <v>2.7696800000000001E-3</v>
      </c>
      <c r="BV20">
        <v>8.13995E-3</v>
      </c>
      <c r="BW20">
        <v>1.327922E-2</v>
      </c>
      <c r="BX20">
        <v>1.8092029999999999E-2</v>
      </c>
      <c r="BY20">
        <v>1.026116E-2</v>
      </c>
      <c r="BZ20">
        <v>1.445979E-2</v>
      </c>
      <c r="CA20">
        <v>7.9630399999999994E-3</v>
      </c>
      <c r="CB20">
        <v>5.2431300000000004E-3</v>
      </c>
      <c r="CC20">
        <v>1.6555159999999999E-2</v>
      </c>
      <c r="CD20">
        <v>1.545447E-2</v>
      </c>
      <c r="CE20">
        <v>7.0703299999999997E-3</v>
      </c>
      <c r="CF20">
        <v>1.6974400000000001E-2</v>
      </c>
      <c r="CG20">
        <v>1.342164E-2</v>
      </c>
      <c r="CH20">
        <v>-2.2176100000000001E-3</v>
      </c>
      <c r="CI20">
        <v>1.7737180000000002E-2</v>
      </c>
      <c r="CJ20">
        <v>1.9053440000000001E-2</v>
      </c>
      <c r="CK20">
        <v>2.120416E-2</v>
      </c>
      <c r="CL20">
        <v>3.8704500000000001E-3</v>
      </c>
      <c r="CM20">
        <v>-1.169273E-2</v>
      </c>
      <c r="CN20">
        <v>3.6899099999999998E-3</v>
      </c>
      <c r="CO20">
        <v>2.2319699999999998E-3</v>
      </c>
      <c r="CP20">
        <v>7.3337200000000002E-3</v>
      </c>
      <c r="CQ20">
        <v>7.6464599999999999E-3</v>
      </c>
      <c r="CR20">
        <v>-4.8223800000000002E-3</v>
      </c>
      <c r="CS20">
        <v>3.22485E-3</v>
      </c>
      <c r="CT20">
        <v>7.2339099999999996E-3</v>
      </c>
      <c r="CU20">
        <v>4.1755500000000001E-3</v>
      </c>
      <c r="CV20">
        <v>-4.12182E-3</v>
      </c>
      <c r="CW20">
        <v>1.5085029999999999E-2</v>
      </c>
      <c r="CX20">
        <v>5.7754399999999997E-3</v>
      </c>
      <c r="CY20">
        <v>5.53091E-3</v>
      </c>
      <c r="CZ20">
        <v>1.3348759999999999E-2</v>
      </c>
      <c r="DA20">
        <v>1.1001199999999999E-2</v>
      </c>
      <c r="DB20">
        <v>-7.1626499999999996E-3</v>
      </c>
      <c r="DC20">
        <v>-1.0215760000000001E-2</v>
      </c>
      <c r="DD20">
        <v>8.7010200000000003E-3</v>
      </c>
      <c r="DE20">
        <v>-9.9593500000000005E-3</v>
      </c>
      <c r="DF20">
        <v>9.8057800000000001E-3</v>
      </c>
      <c r="DG20">
        <v>-5.99388E-3</v>
      </c>
      <c r="DH20">
        <v>-1.2182760000000001E-2</v>
      </c>
      <c r="DI20">
        <v>4.9159499999999997E-3</v>
      </c>
      <c r="DJ20">
        <v>9.00602E-3</v>
      </c>
      <c r="DK20">
        <v>5.0851400000000001E-3</v>
      </c>
      <c r="DL20">
        <v>-4.0852099999999997E-3</v>
      </c>
      <c r="DM20">
        <v>1.10393E-2</v>
      </c>
      <c r="DN20">
        <v>1.8773749999999999E-2</v>
      </c>
      <c r="DO20">
        <v>-4.6718799999999998E-3</v>
      </c>
      <c r="DP20">
        <v>4.4206899999999997E-3</v>
      </c>
      <c r="DQ20">
        <v>-5.5209200000000003E-3</v>
      </c>
      <c r="DR20">
        <v>-4.3775000000000003E-3</v>
      </c>
      <c r="DS20">
        <v>7.8433900000000004E-3</v>
      </c>
      <c r="DT20">
        <v>-2.1279260000000001E-2</v>
      </c>
      <c r="DU20">
        <v>-1.1832850000000001E-2</v>
      </c>
      <c r="DV20">
        <v>5.6773400000000003E-3</v>
      </c>
      <c r="DW20">
        <v>3.5172799999999998E-3</v>
      </c>
      <c r="DX20">
        <v>-1.165533E-2</v>
      </c>
      <c r="DY20">
        <v>2.5004099999999998E-3</v>
      </c>
      <c r="DZ20">
        <v>1.19075E-3</v>
      </c>
      <c r="EA20">
        <v>-1.0051289999999999E-2</v>
      </c>
      <c r="EB20">
        <v>1.0577999999999999E-4</v>
      </c>
      <c r="EC20">
        <v>-2.0835309999999999E-2</v>
      </c>
      <c r="ED20">
        <v>-6.9548300000000004E-3</v>
      </c>
      <c r="EE20">
        <v>-1.5137960000000001E-2</v>
      </c>
      <c r="EF20">
        <v>-1.049624E-2</v>
      </c>
      <c r="EG20">
        <v>-1.048813E-2</v>
      </c>
      <c r="EH20">
        <v>1.420983E-2</v>
      </c>
      <c r="EI20">
        <v>-3.5490580000000001E-2</v>
      </c>
      <c r="EJ20">
        <v>2.4208900000000002E-3</v>
      </c>
      <c r="EK20">
        <v>-7.5288600000000001E-3</v>
      </c>
      <c r="EL20">
        <v>-1.793577E-2</v>
      </c>
      <c r="EM20">
        <v>-4.2390339999999999E-2</v>
      </c>
      <c r="EN20">
        <v>6.1983000000000003E-3</v>
      </c>
      <c r="EO20">
        <v>6.0511899999999997E-3</v>
      </c>
      <c r="EP20">
        <f t="shared" si="0"/>
        <v>0</v>
      </c>
      <c r="EQ20">
        <f>SUMIF('Mi portafolio'!$A$8:$A$19,$A20,'Mi portafolio'!$B$8:$B$19)</f>
        <v>0</v>
      </c>
    </row>
    <row r="21" spans="1:147" x14ac:dyDescent="0.25">
      <c r="A21" s="34" t="s">
        <v>96</v>
      </c>
      <c r="B21">
        <v>1.0422599999999999E-3</v>
      </c>
      <c r="C21">
        <v>-5.5519999999999997E-5</v>
      </c>
      <c r="D21">
        <v>8.3880000000000001E-4</v>
      </c>
      <c r="E21">
        <v>3.2850000000000002E-3</v>
      </c>
      <c r="F21">
        <v>-4.8367899999999997E-3</v>
      </c>
      <c r="G21">
        <v>2.2429099999999999E-3</v>
      </c>
      <c r="H21">
        <v>-7.4275999999999997E-4</v>
      </c>
      <c r="I21">
        <v>-1.4990299999999999E-3</v>
      </c>
      <c r="J21">
        <v>4.5245000000000002E-4</v>
      </c>
      <c r="K21">
        <v>-2.0526199999999998E-3</v>
      </c>
      <c r="L21">
        <v>4.2160399999999999E-3</v>
      </c>
      <c r="M21">
        <v>1.2862999999999999E-4</v>
      </c>
      <c r="N21">
        <v>-1.76924E-3</v>
      </c>
      <c r="O21">
        <v>4.8587600000000002E-3</v>
      </c>
      <c r="P21">
        <v>6.68485E-3</v>
      </c>
      <c r="Q21">
        <v>4.9798759999999997E-2</v>
      </c>
      <c r="R21">
        <v>-2.2023199999999998E-3</v>
      </c>
      <c r="S21">
        <v>5.1038200000000002E-3</v>
      </c>
      <c r="T21">
        <v>3.59217E-3</v>
      </c>
      <c r="U21">
        <v>-2.7067800000000002E-3</v>
      </c>
      <c r="V21">
        <v>-1.18505E-3</v>
      </c>
      <c r="W21">
        <v>1.16792E-3</v>
      </c>
      <c r="X21">
        <v>1.56339E-3</v>
      </c>
      <c r="Y21">
        <v>2.4418600000000001E-3</v>
      </c>
      <c r="Z21">
        <v>6.6369200000000001E-3</v>
      </c>
      <c r="AA21">
        <v>6.2730000000000004E-5</v>
      </c>
      <c r="AB21">
        <v>1.8725999999999999E-4</v>
      </c>
      <c r="AC21">
        <v>7.0089999999999996E-4</v>
      </c>
      <c r="AD21">
        <v>1.6791200000000001E-3</v>
      </c>
      <c r="AE21">
        <v>3.9814300000000002E-3</v>
      </c>
      <c r="AF21">
        <v>2.5713899999999998E-3</v>
      </c>
      <c r="AG21">
        <v>8.7270999999999996E-4</v>
      </c>
      <c r="AH21">
        <v>8.2540999999999995E-4</v>
      </c>
      <c r="AI21">
        <v>2.6942999999999997E-4</v>
      </c>
      <c r="AJ21">
        <v>8.7588E-4</v>
      </c>
      <c r="AK21">
        <v>-1.01059E-3</v>
      </c>
      <c r="AL21">
        <v>5.62467E-3</v>
      </c>
      <c r="AM21">
        <v>3.6712099999999998E-3</v>
      </c>
      <c r="AN21">
        <v>4.6778699999999998E-3</v>
      </c>
      <c r="AO21">
        <v>-1.9827000000000001E-4</v>
      </c>
      <c r="AP21">
        <v>5.2286499999999996E-3</v>
      </c>
      <c r="AQ21">
        <v>-3.07275E-3</v>
      </c>
      <c r="AR21">
        <v>1.6871E-3</v>
      </c>
      <c r="AS21">
        <v>1.4704500000000001E-3</v>
      </c>
      <c r="AT21">
        <v>-4.1467700000000001E-3</v>
      </c>
      <c r="AU21">
        <v>8.6947999999999995E-4</v>
      </c>
      <c r="AV21">
        <v>3.4261700000000001E-3</v>
      </c>
      <c r="AW21">
        <v>8.0649499999999995E-3</v>
      </c>
      <c r="AX21">
        <v>-5.2112000000000003E-4</v>
      </c>
      <c r="AY21">
        <v>-4.2799200000000004E-3</v>
      </c>
      <c r="AZ21">
        <v>6.3077999999999997E-3</v>
      </c>
      <c r="BA21">
        <v>2.0604E-3</v>
      </c>
      <c r="BB21">
        <v>3.6248999999999999E-3</v>
      </c>
      <c r="BC21">
        <v>-5.8640300000000001E-3</v>
      </c>
      <c r="BD21">
        <v>3.3224999999999999E-3</v>
      </c>
      <c r="BE21">
        <v>-5.4271900000000001E-3</v>
      </c>
      <c r="BF21">
        <v>4.7076699999999997E-3</v>
      </c>
      <c r="BG21">
        <v>1.90233E-3</v>
      </c>
      <c r="BH21">
        <v>-3.4793699999999999E-3</v>
      </c>
      <c r="BI21">
        <v>4.5000400000000003E-3</v>
      </c>
      <c r="BJ21">
        <v>-4.3080000000000001E-4</v>
      </c>
      <c r="BK21">
        <v>1.210163E-2</v>
      </c>
      <c r="BL21">
        <v>2.85981E-3</v>
      </c>
      <c r="BM21">
        <v>3.6592999999999999E-4</v>
      </c>
      <c r="BN21">
        <v>2.25458E-3</v>
      </c>
      <c r="BO21">
        <v>5.3650499999999997E-3</v>
      </c>
      <c r="BP21">
        <v>-1.8726299999999999E-3</v>
      </c>
      <c r="BQ21">
        <v>7.8586000000000003E-3</v>
      </c>
      <c r="BR21">
        <v>3.67484E-3</v>
      </c>
      <c r="BS21">
        <v>-4.0335099999999997E-3</v>
      </c>
      <c r="BT21">
        <v>1.4141100000000001E-3</v>
      </c>
      <c r="BU21">
        <v>-1.7777800000000001E-3</v>
      </c>
      <c r="BV21">
        <v>1.7648799999999999E-3</v>
      </c>
      <c r="BW21">
        <v>3.1012499999999998E-3</v>
      </c>
      <c r="BX21">
        <v>6.0217500000000002E-3</v>
      </c>
      <c r="BY21">
        <v>-5.4402299999999999E-3</v>
      </c>
      <c r="BZ21">
        <v>2.6742200000000002E-3</v>
      </c>
      <c r="CA21">
        <v>-4.4195600000000003E-3</v>
      </c>
      <c r="CB21">
        <v>-1.8954E-3</v>
      </c>
      <c r="CC21">
        <v>4.5747299999999999E-3</v>
      </c>
      <c r="CD21">
        <v>3.5289100000000001E-3</v>
      </c>
      <c r="CE21">
        <v>2.0110800000000002E-3</v>
      </c>
      <c r="CF21">
        <v>-5.1255399999999996E-3</v>
      </c>
      <c r="CG21">
        <v>8.5603999999999997E-4</v>
      </c>
      <c r="CH21">
        <v>9.4875500000000008E-3</v>
      </c>
      <c r="CI21">
        <v>-4.4438500000000001E-3</v>
      </c>
      <c r="CJ21">
        <v>2.79284E-3</v>
      </c>
      <c r="CK21">
        <v>-9.1100000000000005E-5</v>
      </c>
      <c r="CL21">
        <v>-1.1315299999999999E-3</v>
      </c>
      <c r="CM21">
        <v>5.8566099999999999E-3</v>
      </c>
      <c r="CN21">
        <v>6.0537500000000001E-3</v>
      </c>
      <c r="CO21">
        <v>-4.1117799999999998E-3</v>
      </c>
      <c r="CP21">
        <v>9.2812399999999996E-3</v>
      </c>
      <c r="CQ21">
        <v>1.55254E-3</v>
      </c>
      <c r="CR21">
        <v>7.8065499999999998E-3</v>
      </c>
      <c r="CS21">
        <v>8.6805200000000006E-3</v>
      </c>
      <c r="CT21">
        <v>9.0404999999999999E-3</v>
      </c>
      <c r="CU21">
        <v>9.6008199999999995E-3</v>
      </c>
      <c r="CV21">
        <v>-9.9621699999999994E-3</v>
      </c>
      <c r="CW21">
        <v>1.8100809999999998E-2</v>
      </c>
      <c r="CX21">
        <v>1.051874E-2</v>
      </c>
      <c r="CY21">
        <v>1.16318E-3</v>
      </c>
      <c r="CZ21">
        <v>4.4996000000000001E-4</v>
      </c>
      <c r="DA21">
        <v>1.4250999999999999E-4</v>
      </c>
      <c r="DB21">
        <v>7.7903E-3</v>
      </c>
      <c r="DC21">
        <v>9.0828200000000001E-3</v>
      </c>
      <c r="DD21">
        <v>6.4264200000000004E-3</v>
      </c>
      <c r="DE21">
        <v>5.9590499999999996E-3</v>
      </c>
      <c r="DF21">
        <v>-6.6652500000000002E-3</v>
      </c>
      <c r="DG21">
        <v>7.9487700000000008E-3</v>
      </c>
      <c r="DH21">
        <v>1.225389E-2</v>
      </c>
      <c r="DI21">
        <v>7.3280899999999998E-3</v>
      </c>
      <c r="DJ21">
        <v>-1.02053E-3</v>
      </c>
      <c r="DK21">
        <v>4.4523799999999997E-3</v>
      </c>
      <c r="DL21">
        <v>4.9019399999999996E-3</v>
      </c>
      <c r="DM21">
        <v>-1.05046E-3</v>
      </c>
      <c r="DN21">
        <v>-1.325544E-2</v>
      </c>
      <c r="DO21">
        <v>1.0740889999999999E-2</v>
      </c>
      <c r="DP21">
        <v>-1.9879899999999998E-3</v>
      </c>
      <c r="DQ21">
        <v>5.2839999999999996E-3</v>
      </c>
      <c r="DR21">
        <v>1.861618E-2</v>
      </c>
      <c r="DS21">
        <v>1.3096200000000001E-3</v>
      </c>
      <c r="DT21">
        <v>-1.2364470000000001E-2</v>
      </c>
      <c r="DU21">
        <v>4.3023999999999997E-4</v>
      </c>
      <c r="DV21">
        <v>-3.0135800000000001E-3</v>
      </c>
      <c r="DW21">
        <v>-5.6522100000000004E-3</v>
      </c>
      <c r="DX21">
        <v>5.2206099999999997E-3</v>
      </c>
      <c r="DY21">
        <v>5.4968100000000004E-3</v>
      </c>
      <c r="DZ21">
        <v>6.4740400000000003E-3</v>
      </c>
      <c r="EA21">
        <v>7.0374799999999996E-3</v>
      </c>
      <c r="EB21">
        <v>5.5761400000000003E-3</v>
      </c>
      <c r="EC21">
        <v>7.4284499999999996E-3</v>
      </c>
      <c r="ED21">
        <v>-1.337054E-2</v>
      </c>
      <c r="EE21">
        <v>9.1227700000000005E-3</v>
      </c>
      <c r="EF21">
        <v>1.07949E-2</v>
      </c>
      <c r="EG21">
        <v>1.7412980000000002E-2</v>
      </c>
      <c r="EH21">
        <v>2.75603E-3</v>
      </c>
      <c r="EI21">
        <v>1.31066E-3</v>
      </c>
      <c r="EJ21">
        <v>-2.8504200000000002E-3</v>
      </c>
      <c r="EK21">
        <v>2.68797E-3</v>
      </c>
      <c r="EL21">
        <v>5.10985E-3</v>
      </c>
      <c r="EM21">
        <v>6.9740000000000004E-4</v>
      </c>
      <c r="EN21">
        <v>-1.924474E-2</v>
      </c>
      <c r="EO21">
        <v>8.4468600000000005E-3</v>
      </c>
      <c r="EP21">
        <f t="shared" si="0"/>
        <v>0</v>
      </c>
      <c r="EQ21">
        <f>SUMIF('Mi portafolio'!$A$8:$A$19,$A21,'Mi portafolio'!$B$8:$B$19)</f>
        <v>0</v>
      </c>
    </row>
    <row r="22" spans="1:147" x14ac:dyDescent="0.25">
      <c r="A22" s="34" t="s">
        <v>97</v>
      </c>
      <c r="B22">
        <v>1.3460089999999999E-2</v>
      </c>
      <c r="C22">
        <v>9.9835000000000006E-4</v>
      </c>
      <c r="D22">
        <v>-7.1003400000000001E-3</v>
      </c>
      <c r="E22">
        <v>3.8282400000000001E-3</v>
      </c>
      <c r="F22">
        <v>2.910072E-2</v>
      </c>
      <c r="G22">
        <v>-1.20195E-3</v>
      </c>
      <c r="H22">
        <v>2.4143400000000001E-3</v>
      </c>
      <c r="I22">
        <v>2.4853239999999999E-2</v>
      </c>
      <c r="J22">
        <v>2.281184E-2</v>
      </c>
      <c r="K22">
        <v>2.7570520000000001E-2</v>
      </c>
      <c r="L22">
        <v>4.6049799999999998E-3</v>
      </c>
      <c r="M22">
        <v>1.445608E-2</v>
      </c>
      <c r="N22">
        <v>1.5779640000000001E-2</v>
      </c>
      <c r="O22">
        <v>5.8718199999999998E-3</v>
      </c>
      <c r="P22">
        <v>2.320554E-2</v>
      </c>
      <c r="Q22">
        <v>-2.2023199999999998E-3</v>
      </c>
      <c r="R22">
        <v>4.882881E-2</v>
      </c>
      <c r="S22">
        <v>5.0852800000000002E-3</v>
      </c>
      <c r="T22">
        <v>6.3123399999999996E-3</v>
      </c>
      <c r="U22">
        <v>3.6449E-3</v>
      </c>
      <c r="V22">
        <v>4.5158000000000004E-3</v>
      </c>
      <c r="W22">
        <v>8.7567500000000006E-3</v>
      </c>
      <c r="X22">
        <v>6.3000199999999999E-3</v>
      </c>
      <c r="Y22">
        <v>1.145149E-2</v>
      </c>
      <c r="Z22">
        <v>7.1850100000000004E-3</v>
      </c>
      <c r="AA22">
        <v>1.2005419999999999E-2</v>
      </c>
      <c r="AB22">
        <v>1.1374159999999999E-2</v>
      </c>
      <c r="AC22">
        <v>2.15899E-3</v>
      </c>
      <c r="AD22">
        <v>3.7720700000000002E-3</v>
      </c>
      <c r="AE22">
        <v>1.1452999999999999E-3</v>
      </c>
      <c r="AF22">
        <v>-1.5554200000000001E-3</v>
      </c>
      <c r="AG22">
        <v>2.1639530000000001E-2</v>
      </c>
      <c r="AH22">
        <v>2.5469289999999999E-2</v>
      </c>
      <c r="AI22">
        <v>1.487461E-2</v>
      </c>
      <c r="AJ22">
        <v>-7.1114400000000001E-3</v>
      </c>
      <c r="AK22">
        <v>4.3932900000000002E-3</v>
      </c>
      <c r="AL22">
        <v>1.7229270000000001E-2</v>
      </c>
      <c r="AM22">
        <v>6.1914300000000004E-3</v>
      </c>
      <c r="AN22">
        <v>2.4854569999999999E-2</v>
      </c>
      <c r="AO22">
        <v>1.7461379999999999E-2</v>
      </c>
      <c r="AP22">
        <v>2.1139999999999999E-2</v>
      </c>
      <c r="AQ22">
        <v>1.485792E-2</v>
      </c>
      <c r="AR22">
        <v>8.9773800000000001E-3</v>
      </c>
      <c r="AS22">
        <v>1.2870900000000001E-3</v>
      </c>
      <c r="AT22">
        <v>6.6414899999999999E-3</v>
      </c>
      <c r="AU22">
        <v>2.7252780000000001E-2</v>
      </c>
      <c r="AV22">
        <v>9.1638699999999993E-3</v>
      </c>
      <c r="AW22">
        <v>2.8351000000000001E-3</v>
      </c>
      <c r="AX22">
        <v>2.466542E-2</v>
      </c>
      <c r="AY22">
        <v>1.9514569999999998E-2</v>
      </c>
      <c r="AZ22">
        <v>4.1973999999999999E-4</v>
      </c>
      <c r="BA22">
        <v>1.905014E-2</v>
      </c>
      <c r="BB22">
        <v>-5.2041999999999995E-4</v>
      </c>
      <c r="BC22">
        <v>3.1758200000000002E-3</v>
      </c>
      <c r="BD22">
        <v>3.2427900000000002E-3</v>
      </c>
      <c r="BE22">
        <v>2.5029429999999998E-2</v>
      </c>
      <c r="BF22">
        <v>4.6113700000000001E-3</v>
      </c>
      <c r="BG22">
        <v>9.2812699999999995E-3</v>
      </c>
      <c r="BH22">
        <v>4.9968199999999999E-3</v>
      </c>
      <c r="BI22">
        <v>4.3542900000000002E-3</v>
      </c>
      <c r="BJ22">
        <v>-6.8599000000000004E-3</v>
      </c>
      <c r="BK22">
        <v>2.2152000000000001E-3</v>
      </c>
      <c r="BL22">
        <v>9.0343100000000003E-3</v>
      </c>
      <c r="BM22">
        <v>3.0221000000000001E-2</v>
      </c>
      <c r="BN22">
        <v>1.25442E-2</v>
      </c>
      <c r="BO22">
        <v>8.94088E-3</v>
      </c>
      <c r="BP22">
        <v>7.0814000000000001E-4</v>
      </c>
      <c r="BQ22">
        <v>4.9923000000000003E-4</v>
      </c>
      <c r="BR22">
        <v>1.5563830000000001E-2</v>
      </c>
      <c r="BS22">
        <v>1.048733E-2</v>
      </c>
      <c r="BT22">
        <v>6.5430799999999997E-3</v>
      </c>
      <c r="BU22">
        <v>1.1021399999999999E-3</v>
      </c>
      <c r="BV22">
        <v>2.8712500000000001E-3</v>
      </c>
      <c r="BW22">
        <v>1.7426509999999999E-2</v>
      </c>
      <c r="BX22">
        <v>1.7152009999999999E-2</v>
      </c>
      <c r="BY22">
        <v>1.881128E-2</v>
      </c>
      <c r="BZ22">
        <v>1.181873E-2</v>
      </c>
      <c r="CA22">
        <v>1.2189099999999999E-3</v>
      </c>
      <c r="CB22">
        <v>5.7207100000000004E-3</v>
      </c>
      <c r="CC22">
        <v>2.8953999999999998E-3</v>
      </c>
      <c r="CD22">
        <v>1.215639E-2</v>
      </c>
      <c r="CE22">
        <v>1.1052E-3</v>
      </c>
      <c r="CF22">
        <v>1.5467379999999999E-2</v>
      </c>
      <c r="CG22">
        <v>1.1491110000000001E-2</v>
      </c>
      <c r="CH22">
        <v>2.2360700000000002E-3</v>
      </c>
      <c r="CI22">
        <v>1.4350959999999999E-2</v>
      </c>
      <c r="CJ22">
        <v>2.5492109999999998E-2</v>
      </c>
      <c r="CK22">
        <v>2.808308E-2</v>
      </c>
      <c r="CL22">
        <v>9.2316199999999994E-3</v>
      </c>
      <c r="CM22">
        <v>-1.506393E-2</v>
      </c>
      <c r="CN22">
        <v>-7.8045500000000004E-3</v>
      </c>
      <c r="CO22">
        <v>4.0306600000000001E-3</v>
      </c>
      <c r="CP22">
        <v>1.436053E-2</v>
      </c>
      <c r="CQ22">
        <v>1.0690369999999999E-2</v>
      </c>
      <c r="CR22">
        <v>-9.7996100000000003E-3</v>
      </c>
      <c r="CS22">
        <v>-3.4111100000000002E-3</v>
      </c>
      <c r="CT22">
        <v>1.1887499999999999E-3</v>
      </c>
      <c r="CU22">
        <v>4.6001899999999997E-3</v>
      </c>
      <c r="CV22">
        <v>2.2142099999999999E-3</v>
      </c>
      <c r="CW22">
        <v>1.201259E-2</v>
      </c>
      <c r="CX22">
        <v>4.9176200000000002E-3</v>
      </c>
      <c r="CY22">
        <v>1.249084E-2</v>
      </c>
      <c r="CZ22">
        <v>1.0752329999999999E-2</v>
      </c>
      <c r="DA22">
        <v>3.0858600000000002E-3</v>
      </c>
      <c r="DB22">
        <v>-3.8120599999999999E-3</v>
      </c>
      <c r="DC22">
        <v>-2.93064E-3</v>
      </c>
      <c r="DD22">
        <v>6.6857399999999999E-3</v>
      </c>
      <c r="DE22">
        <v>-6.1191600000000002E-3</v>
      </c>
      <c r="DF22">
        <v>6.3311000000000001E-3</v>
      </c>
      <c r="DG22">
        <v>2.3599699999999999E-3</v>
      </c>
      <c r="DH22">
        <v>-1.4589090000000001E-2</v>
      </c>
      <c r="DI22">
        <v>1.247127E-2</v>
      </c>
      <c r="DJ22">
        <v>1.5832869999999999E-2</v>
      </c>
      <c r="DK22">
        <v>1.0848150000000001E-2</v>
      </c>
      <c r="DL22">
        <v>-5.0400000000000002E-3</v>
      </c>
      <c r="DM22">
        <v>2.0791609999999999E-2</v>
      </c>
      <c r="DN22">
        <v>1.8514249999999999E-2</v>
      </c>
      <c r="DO22">
        <v>3.60079E-3</v>
      </c>
      <c r="DP22">
        <v>1.4611280000000001E-2</v>
      </c>
      <c r="DQ22">
        <v>4.2679900000000002E-3</v>
      </c>
      <c r="DR22">
        <v>-7.0907000000000001E-3</v>
      </c>
      <c r="DS22">
        <v>6.0569100000000004E-3</v>
      </c>
      <c r="DT22">
        <v>-1.7554520000000001E-2</v>
      </c>
      <c r="DU22">
        <v>-9.25664E-3</v>
      </c>
      <c r="DV22">
        <v>1.7714499999999999E-3</v>
      </c>
      <c r="DW22">
        <v>2.3430199999999999E-3</v>
      </c>
      <c r="DX22">
        <v>-2.998607E-2</v>
      </c>
      <c r="DY22">
        <v>9.9562999999999995E-4</v>
      </c>
      <c r="DZ22">
        <v>-7.3014600000000001E-3</v>
      </c>
      <c r="EA22">
        <v>8.4524999999999997E-4</v>
      </c>
      <c r="EB22">
        <v>-2.47942E-3</v>
      </c>
      <c r="EC22">
        <v>-1.7413700000000001E-2</v>
      </c>
      <c r="ED22">
        <v>-1.90704E-3</v>
      </c>
      <c r="EE22">
        <v>-2.164671E-2</v>
      </c>
      <c r="EF22">
        <v>1.131066E-2</v>
      </c>
      <c r="EG22">
        <v>-1.8021180000000001E-2</v>
      </c>
      <c r="EH22">
        <v>2.6659700000000001E-3</v>
      </c>
      <c r="EI22">
        <v>-4.7570929999999997E-2</v>
      </c>
      <c r="EJ22">
        <v>1.032313E-2</v>
      </c>
      <c r="EK22">
        <v>-3.8741399999999999E-3</v>
      </c>
      <c r="EL22">
        <v>-2.6731069999999999E-2</v>
      </c>
      <c r="EM22">
        <v>-1.8072899999999999E-2</v>
      </c>
      <c r="EN22">
        <v>2.9728859999999999E-2</v>
      </c>
      <c r="EO22">
        <v>1.2266880000000001E-2</v>
      </c>
      <c r="EP22">
        <f t="shared" si="0"/>
        <v>0</v>
      </c>
      <c r="EQ22">
        <f>SUMIF('Mi portafolio'!$A$8:$A$19,$A22,'Mi portafolio'!$B$8:$B$19)</f>
        <v>0</v>
      </c>
    </row>
    <row r="23" spans="1:147" x14ac:dyDescent="0.25">
      <c r="A23" s="34" t="s">
        <v>98</v>
      </c>
      <c r="B23">
        <v>-7.47E-5</v>
      </c>
      <c r="C23">
        <v>2.5064000000000002E-3</v>
      </c>
      <c r="D23">
        <v>4.6972899999999998E-3</v>
      </c>
      <c r="E23">
        <v>1.0882009999999999E-2</v>
      </c>
      <c r="F23">
        <v>4.7420199999999996E-3</v>
      </c>
      <c r="G23">
        <v>-2.0997199999999998E-3</v>
      </c>
      <c r="H23">
        <v>1.171668E-2</v>
      </c>
      <c r="I23">
        <v>4.7410899999999999E-3</v>
      </c>
      <c r="J23">
        <v>6.3313299999999996E-3</v>
      </c>
      <c r="K23">
        <v>8.1846899999999997E-3</v>
      </c>
      <c r="L23">
        <v>1.6296160000000001E-2</v>
      </c>
      <c r="M23">
        <v>5.8339300000000002E-3</v>
      </c>
      <c r="N23">
        <v>5.5380200000000003E-3</v>
      </c>
      <c r="O23">
        <v>1.2528829999999999E-2</v>
      </c>
      <c r="P23">
        <v>5.0337699999999999E-3</v>
      </c>
      <c r="Q23">
        <v>5.1038200000000002E-3</v>
      </c>
      <c r="R23">
        <v>5.0852800000000002E-3</v>
      </c>
      <c r="S23">
        <v>5.0160490000000002E-2</v>
      </c>
      <c r="T23">
        <v>-1.1916699999999999E-3</v>
      </c>
      <c r="U23">
        <v>1.778426E-2</v>
      </c>
      <c r="V23">
        <v>1.196901E-2</v>
      </c>
      <c r="W23">
        <v>1.149596E-2</v>
      </c>
      <c r="X23">
        <v>3.233E-4</v>
      </c>
      <c r="Y23">
        <v>7.7743200000000004E-3</v>
      </c>
      <c r="Z23">
        <v>1.443556E-2</v>
      </c>
      <c r="AA23">
        <v>1.1893300000000001E-2</v>
      </c>
      <c r="AB23">
        <v>4.3020999999999997E-3</v>
      </c>
      <c r="AC23">
        <v>5.9868200000000003E-3</v>
      </c>
      <c r="AD23">
        <v>1.527879E-2</v>
      </c>
      <c r="AE23">
        <v>1.307177E-2</v>
      </c>
      <c r="AF23">
        <v>1.7006230000000001E-2</v>
      </c>
      <c r="AG23">
        <v>6.6010299999999999E-3</v>
      </c>
      <c r="AH23">
        <v>4.78839E-3</v>
      </c>
      <c r="AI23">
        <v>-5.6308499999999997E-3</v>
      </c>
      <c r="AJ23">
        <v>9.89546E-3</v>
      </c>
      <c r="AK23">
        <v>1.2223100000000001E-2</v>
      </c>
      <c r="AL23">
        <v>1.4967699999999999E-3</v>
      </c>
      <c r="AM23">
        <v>8.97126E-3</v>
      </c>
      <c r="AN23">
        <v>1.096023E-2</v>
      </c>
      <c r="AO23">
        <v>5.8474399999999998E-3</v>
      </c>
      <c r="AP23">
        <v>5.93663E-3</v>
      </c>
      <c r="AQ23">
        <v>-8.3847100000000001E-3</v>
      </c>
      <c r="AR23">
        <v>5.1993999999999999E-4</v>
      </c>
      <c r="AS23">
        <v>1.3010849999999999E-2</v>
      </c>
      <c r="AT23">
        <v>9.3121000000000002E-4</v>
      </c>
      <c r="AU23">
        <v>4.7090500000000002E-3</v>
      </c>
      <c r="AV23">
        <v>1.780882E-2</v>
      </c>
      <c r="AW23">
        <v>2.0727249999999999E-2</v>
      </c>
      <c r="AX23">
        <v>1.0439199999999999E-2</v>
      </c>
      <c r="AY23">
        <v>2.4451999999999998E-3</v>
      </c>
      <c r="AZ23">
        <v>1.83175E-2</v>
      </c>
      <c r="BA23">
        <v>7.3859199999999998E-3</v>
      </c>
      <c r="BB23">
        <v>-1.6578599999999999E-3</v>
      </c>
      <c r="BC23">
        <v>1.24417E-2</v>
      </c>
      <c r="BD23">
        <v>2.1913200000000001E-2</v>
      </c>
      <c r="BE23">
        <v>1.053699E-2</v>
      </c>
      <c r="BF23">
        <v>1.492834E-2</v>
      </c>
      <c r="BG23">
        <v>5.1037799999999996E-3</v>
      </c>
      <c r="BH23">
        <v>1.6331149999999999E-2</v>
      </c>
      <c r="BI23">
        <v>1.2300480000000001E-2</v>
      </c>
      <c r="BJ23">
        <v>6.7399000000000001E-3</v>
      </c>
      <c r="BK23">
        <v>1.576936E-2</v>
      </c>
      <c r="BL23">
        <v>4.8977500000000002E-3</v>
      </c>
      <c r="BM23">
        <v>8.0798499999999995E-3</v>
      </c>
      <c r="BN23">
        <v>8.0565700000000007E-3</v>
      </c>
      <c r="BO23">
        <v>9.4941899999999996E-3</v>
      </c>
      <c r="BP23">
        <v>7.1659699999999998E-3</v>
      </c>
      <c r="BQ23">
        <v>2.2358889999999999E-2</v>
      </c>
      <c r="BR23">
        <v>6.72516E-3</v>
      </c>
      <c r="BS23">
        <v>-9.56598E-3</v>
      </c>
      <c r="BT23">
        <v>1.311754E-2</v>
      </c>
      <c r="BU23">
        <v>1.534957E-2</v>
      </c>
      <c r="BV23">
        <v>5.3174299999999997E-3</v>
      </c>
      <c r="BW23">
        <v>7.8661300000000007E-3</v>
      </c>
      <c r="BX23">
        <v>1.359464E-2</v>
      </c>
      <c r="BY23">
        <v>-4.0231000000000002E-4</v>
      </c>
      <c r="BZ23">
        <v>8.4174100000000002E-3</v>
      </c>
      <c r="CA23">
        <v>1.834094E-2</v>
      </c>
      <c r="CB23">
        <v>-7.26E-3</v>
      </c>
      <c r="CC23">
        <v>8.6251299999999999E-3</v>
      </c>
      <c r="CD23">
        <v>9.2788300000000001E-3</v>
      </c>
      <c r="CE23">
        <v>-2.48985E-3</v>
      </c>
      <c r="CF23">
        <v>-8.1475999999999996E-3</v>
      </c>
      <c r="CG23">
        <v>1.143427E-2</v>
      </c>
      <c r="CH23">
        <v>1.2159720000000001E-2</v>
      </c>
      <c r="CI23">
        <v>-1.276712E-2</v>
      </c>
      <c r="CJ23">
        <v>6.5516300000000001E-3</v>
      </c>
      <c r="CK23">
        <v>7.2240799999999999E-3</v>
      </c>
      <c r="CL23">
        <v>-3.0438900000000001E-3</v>
      </c>
      <c r="CM23">
        <v>-7.2747000000000003E-4</v>
      </c>
      <c r="CN23">
        <v>4.8068399999999997E-3</v>
      </c>
      <c r="CO23">
        <v>1.2328540000000001E-2</v>
      </c>
      <c r="CP23">
        <v>-1.2808800000000001E-3</v>
      </c>
      <c r="CQ23">
        <v>6.8345699999999999E-3</v>
      </c>
      <c r="CR23">
        <v>6.2219E-4</v>
      </c>
      <c r="CS23">
        <v>3.00928E-3</v>
      </c>
      <c r="CT23">
        <v>4.7789499999999997E-3</v>
      </c>
      <c r="CU23">
        <v>4.1172400000000003E-3</v>
      </c>
      <c r="CV23">
        <v>4.6689799999999997E-3</v>
      </c>
      <c r="CW23">
        <v>1.3973340000000001E-2</v>
      </c>
      <c r="CX23">
        <v>1.1641459999999999E-2</v>
      </c>
      <c r="CY23">
        <v>4.2507700000000001E-3</v>
      </c>
      <c r="CZ23">
        <v>1.060143E-2</v>
      </c>
      <c r="DA23">
        <v>9.8788000000000001E-3</v>
      </c>
      <c r="DB23">
        <v>2.9979E-3</v>
      </c>
      <c r="DC23">
        <v>9.8772500000000006E-3</v>
      </c>
      <c r="DD23">
        <v>1.371257E-2</v>
      </c>
      <c r="DE23">
        <v>-4.0146100000000001E-3</v>
      </c>
      <c r="DF23">
        <v>-3.8200299999999999E-3</v>
      </c>
      <c r="DG23">
        <v>1.5057859999999999E-2</v>
      </c>
      <c r="DH23">
        <v>-6.1435999999999999E-4</v>
      </c>
      <c r="DI23">
        <v>1.155752E-2</v>
      </c>
      <c r="DJ23">
        <v>7.0187299999999999E-3</v>
      </c>
      <c r="DK23">
        <v>1.200241E-2</v>
      </c>
      <c r="DL23">
        <v>1.882495E-2</v>
      </c>
      <c r="DM23">
        <v>1.0231260000000001E-2</v>
      </c>
      <c r="DN23">
        <v>-8.4783000000000005E-4</v>
      </c>
      <c r="DO23">
        <v>1.0776640000000001E-2</v>
      </c>
      <c r="DP23">
        <v>6.28073E-3</v>
      </c>
      <c r="DQ23">
        <v>1.077298E-2</v>
      </c>
      <c r="DR23">
        <v>-9.3812600000000006E-3</v>
      </c>
      <c r="DS23">
        <v>2.7343599999999999E-3</v>
      </c>
      <c r="DT23">
        <v>-2.91406E-3</v>
      </c>
      <c r="DU23">
        <v>7.2839799999999998E-3</v>
      </c>
      <c r="DV23">
        <v>1.6892000000000001E-3</v>
      </c>
      <c r="DW23">
        <v>7.6759899999999997E-3</v>
      </c>
      <c r="DX23">
        <v>-9.6044900000000002E-3</v>
      </c>
      <c r="DY23">
        <v>4.9835399999999998E-3</v>
      </c>
      <c r="DZ23">
        <v>7.9790599999999996E-3</v>
      </c>
      <c r="EA23">
        <v>9.5643599999999992E-3</v>
      </c>
      <c r="EB23">
        <v>-5.3739E-4</v>
      </c>
      <c r="EC23">
        <v>1.253541E-2</v>
      </c>
      <c r="ED23">
        <v>7.7086300000000002E-3</v>
      </c>
      <c r="EE23">
        <v>6.21778E-3</v>
      </c>
      <c r="EF23">
        <v>1.7418500000000001E-3</v>
      </c>
      <c r="EG23">
        <v>1.7053180000000001E-2</v>
      </c>
      <c r="EH23">
        <v>-1.4081369999999999E-2</v>
      </c>
      <c r="EI23">
        <v>6.4820000000000003E-4</v>
      </c>
      <c r="EJ23">
        <v>1.263043E-2</v>
      </c>
      <c r="EK23">
        <v>-9.44358E-3</v>
      </c>
      <c r="EL23">
        <v>1.80536E-3</v>
      </c>
      <c r="EM23">
        <v>7.45848E-3</v>
      </c>
      <c r="EN23">
        <v>2.1363110000000001E-2</v>
      </c>
      <c r="EO23">
        <v>-2.2385579999999999E-2</v>
      </c>
      <c r="EP23">
        <f t="shared" si="0"/>
        <v>0</v>
      </c>
      <c r="EQ23">
        <f>SUMIF('Mi portafolio'!$A$8:$A$19,$A23,'Mi portafolio'!$B$8:$B$19)</f>
        <v>0</v>
      </c>
    </row>
    <row r="24" spans="1:147" x14ac:dyDescent="0.25">
      <c r="A24" s="34" t="s">
        <v>99</v>
      </c>
      <c r="B24">
        <v>9.3148399999999996E-3</v>
      </c>
      <c r="C24">
        <v>-3.3097999999999998E-4</v>
      </c>
      <c r="D24">
        <v>2.6054400000000001E-3</v>
      </c>
      <c r="E24">
        <v>5.7930999999999998E-3</v>
      </c>
      <c r="F24">
        <v>2.3467800000000001E-3</v>
      </c>
      <c r="G24">
        <v>6.3411000000000001E-4</v>
      </c>
      <c r="H24">
        <v>1.33321E-3</v>
      </c>
      <c r="I24">
        <v>7.10635E-3</v>
      </c>
      <c r="J24">
        <v>6.3062300000000003E-3</v>
      </c>
      <c r="K24">
        <v>6.2416199999999998E-3</v>
      </c>
      <c r="L24">
        <v>1.1890099999999999E-3</v>
      </c>
      <c r="M24">
        <v>1.7393599999999999E-2</v>
      </c>
      <c r="N24">
        <v>1.1397050000000001E-2</v>
      </c>
      <c r="O24">
        <v>3.1639099999999998E-3</v>
      </c>
      <c r="P24">
        <v>4.7137799999999999E-3</v>
      </c>
      <c r="Q24">
        <v>3.59217E-3</v>
      </c>
      <c r="R24">
        <v>6.3123399999999996E-3</v>
      </c>
      <c r="S24">
        <v>-1.1916699999999999E-3</v>
      </c>
      <c r="T24">
        <v>4.997737E-2</v>
      </c>
      <c r="U24">
        <v>7.6662800000000001E-3</v>
      </c>
      <c r="V24">
        <v>8.2605999999999999E-4</v>
      </c>
      <c r="W24">
        <v>4.4922499999999997E-3</v>
      </c>
      <c r="X24">
        <v>4.1408880000000002E-2</v>
      </c>
      <c r="Y24">
        <v>1.9630729999999999E-2</v>
      </c>
      <c r="Z24">
        <v>3.5673499999999999E-3</v>
      </c>
      <c r="AA24">
        <v>6.5302299999999997E-3</v>
      </c>
      <c r="AB24">
        <v>2.1722890000000002E-2</v>
      </c>
      <c r="AC24">
        <v>2.7742399999999999E-3</v>
      </c>
      <c r="AD24">
        <v>-2.4694500000000002E-3</v>
      </c>
      <c r="AE24">
        <v>9.2168600000000003E-3</v>
      </c>
      <c r="AF24">
        <v>4.6031099999999997E-3</v>
      </c>
      <c r="AG24">
        <v>4.1620499999999996E-3</v>
      </c>
      <c r="AH24">
        <v>4.4898999999999998E-3</v>
      </c>
      <c r="AI24">
        <v>2.4209800000000001E-3</v>
      </c>
      <c r="AJ24">
        <v>-2.73347E-3</v>
      </c>
      <c r="AK24">
        <v>8.7330600000000008E-3</v>
      </c>
      <c r="AL24">
        <v>1.8135229999999999E-2</v>
      </c>
      <c r="AM24">
        <v>1.190186E-2</v>
      </c>
      <c r="AN24">
        <v>1.7692070000000001E-2</v>
      </c>
      <c r="AO24">
        <v>8.6703100000000005E-3</v>
      </c>
      <c r="AP24">
        <v>1.6026240000000001E-2</v>
      </c>
      <c r="AQ24">
        <v>-4.4958999999999998E-4</v>
      </c>
      <c r="AR24">
        <v>4.8493910000000001E-2</v>
      </c>
      <c r="AS24">
        <v>6.3536599999999997E-3</v>
      </c>
      <c r="AT24">
        <v>3.9188889999999997E-2</v>
      </c>
      <c r="AU24">
        <v>4.70924E-3</v>
      </c>
      <c r="AV24">
        <v>8.5973000000000004E-3</v>
      </c>
      <c r="AW24">
        <v>4.9331100000000001E-3</v>
      </c>
      <c r="AX24">
        <v>1.539724E-2</v>
      </c>
      <c r="AY24">
        <v>1.6943659999999999E-2</v>
      </c>
      <c r="AZ24">
        <v>9.4095399999999992E-3</v>
      </c>
      <c r="BA24">
        <v>2.1307139999999999E-2</v>
      </c>
      <c r="BB24">
        <v>4.9572430000000001E-2</v>
      </c>
      <c r="BC24">
        <v>3.62539E-3</v>
      </c>
      <c r="BD24">
        <v>5.5412200000000003E-3</v>
      </c>
      <c r="BE24">
        <v>1.1857990000000001E-2</v>
      </c>
      <c r="BF24">
        <v>1.0697069999999999E-2</v>
      </c>
      <c r="BG24">
        <v>2.1360560000000001E-2</v>
      </c>
      <c r="BH24">
        <v>6.7134899999999999E-3</v>
      </c>
      <c r="BI24">
        <v>9.4419199999999995E-3</v>
      </c>
      <c r="BJ24">
        <v>2.5276999999999999E-3</v>
      </c>
      <c r="BK24">
        <v>1.386309E-2</v>
      </c>
      <c r="BL24">
        <v>2.1925500000000001E-2</v>
      </c>
      <c r="BM24">
        <v>1.559583E-2</v>
      </c>
      <c r="BN24">
        <v>9.9971999999999995E-3</v>
      </c>
      <c r="BO24">
        <v>1.7368700000000001E-2</v>
      </c>
      <c r="BP24">
        <v>1.096216E-2</v>
      </c>
      <c r="BQ24">
        <v>2.0096659999999999E-2</v>
      </c>
      <c r="BR24">
        <v>2.775364E-2</v>
      </c>
      <c r="BS24">
        <v>-6.0382000000000003E-4</v>
      </c>
      <c r="BT24">
        <v>3.582946E-2</v>
      </c>
      <c r="BU24">
        <v>1.2839740000000001E-2</v>
      </c>
      <c r="BV24">
        <v>1.9497710000000001E-2</v>
      </c>
      <c r="BW24">
        <v>1.7362720000000002E-2</v>
      </c>
      <c r="BX24">
        <v>1.092013E-2</v>
      </c>
      <c r="BY24">
        <v>2.329488E-2</v>
      </c>
      <c r="BZ24">
        <v>2.5225049999999999E-2</v>
      </c>
      <c r="CA24">
        <v>3.2553600000000001E-3</v>
      </c>
      <c r="CB24">
        <v>9.8909999999999992E-4</v>
      </c>
      <c r="CC24">
        <v>1.275097E-2</v>
      </c>
      <c r="CD24">
        <v>2.0333190000000001E-2</v>
      </c>
      <c r="CE24">
        <v>2.3174730000000001E-2</v>
      </c>
      <c r="CF24">
        <v>4.8599E-4</v>
      </c>
      <c r="CG24">
        <v>3.1100220000000001E-2</v>
      </c>
      <c r="CH24">
        <v>1.6122290000000001E-2</v>
      </c>
      <c r="CI24">
        <v>-2.4598900000000002E-3</v>
      </c>
      <c r="CJ24">
        <v>7.2942700000000003E-3</v>
      </c>
      <c r="CK24">
        <v>1.8511489999999999E-2</v>
      </c>
      <c r="CL24">
        <v>1.8468289999999998E-2</v>
      </c>
      <c r="CM24">
        <v>1.449163E-2</v>
      </c>
      <c r="CN24">
        <v>5.5741999999999996E-3</v>
      </c>
      <c r="CO24">
        <v>6.9465999999999998E-3</v>
      </c>
      <c r="CP24">
        <v>1.234232E-2</v>
      </c>
      <c r="CQ24">
        <v>4.2529230000000001E-2</v>
      </c>
      <c r="CR24">
        <v>1.6876499999999999E-2</v>
      </c>
      <c r="CS24">
        <v>3.0635809999999999E-2</v>
      </c>
      <c r="CT24">
        <v>2.3415970000000001E-2</v>
      </c>
      <c r="CU24">
        <v>1.1855350000000001E-2</v>
      </c>
      <c r="CV24">
        <v>2.0934310000000001E-2</v>
      </c>
      <c r="CW24">
        <v>2.363589E-2</v>
      </c>
      <c r="CX24">
        <v>3.4631780000000001E-2</v>
      </c>
      <c r="CY24">
        <v>4.3365239999999999E-2</v>
      </c>
      <c r="CZ24">
        <v>1.6005990000000001E-2</v>
      </c>
      <c r="DA24">
        <v>1.434481E-2</v>
      </c>
      <c r="DB24">
        <v>1.977069E-2</v>
      </c>
      <c r="DC24">
        <v>3.3704650000000003E-2</v>
      </c>
      <c r="DD24">
        <v>2.78727E-2</v>
      </c>
      <c r="DE24">
        <v>2.459892E-2</v>
      </c>
      <c r="DF24">
        <v>8.2019599999999995E-3</v>
      </c>
      <c r="DG24">
        <v>1.834032E-2</v>
      </c>
      <c r="DH24">
        <v>1.8326439999999999E-2</v>
      </c>
      <c r="DI24">
        <v>4.2865180000000003E-2</v>
      </c>
      <c r="DJ24">
        <v>4.3572779999999998E-2</v>
      </c>
      <c r="DK24">
        <v>4.8104899999999999E-2</v>
      </c>
      <c r="DL24">
        <v>2.6231399999999999E-3</v>
      </c>
      <c r="DM24">
        <v>5.1026290000000002E-2</v>
      </c>
      <c r="DN24">
        <v>2.5096279999999999E-2</v>
      </c>
      <c r="DO24">
        <v>2.9861260000000001E-2</v>
      </c>
      <c r="DP24">
        <v>4.585322E-2</v>
      </c>
      <c r="DQ24">
        <v>1.6680190000000001E-2</v>
      </c>
      <c r="DR24">
        <v>2.7869930000000001E-2</v>
      </c>
      <c r="DS24">
        <v>3.1378690000000001E-2</v>
      </c>
      <c r="DT24">
        <v>1.9569159999999999E-2</v>
      </c>
      <c r="DU24">
        <v>4.1360729999999998E-2</v>
      </c>
      <c r="DV24">
        <v>1.4509579999999999E-2</v>
      </c>
      <c r="DW24">
        <v>3.046302E-2</v>
      </c>
      <c r="DX24">
        <v>2.8575670000000001E-2</v>
      </c>
      <c r="DY24">
        <v>4.6420749999999997E-2</v>
      </c>
      <c r="DZ24">
        <v>1.5866499999999999E-2</v>
      </c>
      <c r="EA24">
        <v>1.9735180000000001E-2</v>
      </c>
      <c r="EB24">
        <v>5.5771840000000003E-2</v>
      </c>
      <c r="EC24">
        <v>8.0340199999999994E-3</v>
      </c>
      <c r="ED24">
        <v>3.0057029999999998E-2</v>
      </c>
      <c r="EE24">
        <v>2.4168769999999999E-2</v>
      </c>
      <c r="EF24">
        <v>4.4073950000000001E-2</v>
      </c>
      <c r="EG24">
        <v>2.3851939999999999E-2</v>
      </c>
      <c r="EH24">
        <v>2.3203029999999999E-2</v>
      </c>
      <c r="EI24">
        <v>1.324784E-2</v>
      </c>
      <c r="EJ24">
        <v>3.6754450000000001E-2</v>
      </c>
      <c r="EK24">
        <v>3.7709409999999999E-2</v>
      </c>
      <c r="EL24">
        <v>4.3767199999999999E-2</v>
      </c>
      <c r="EM24">
        <v>1.797549E-2</v>
      </c>
      <c r="EN24">
        <v>1.8933769999999999E-2</v>
      </c>
      <c r="EO24">
        <v>2.2164440000000001E-2</v>
      </c>
      <c r="EP24">
        <f t="shared" si="0"/>
        <v>0</v>
      </c>
      <c r="EQ24">
        <f>SUMIF('Mi portafolio'!$A$8:$A$19,$A24,'Mi portafolio'!$B$8:$B$19)</f>
        <v>0</v>
      </c>
    </row>
    <row r="25" spans="1:147" x14ac:dyDescent="0.25">
      <c r="A25" s="34" t="s">
        <v>100</v>
      </c>
      <c r="B25">
        <v>2.6008899999999998E-3</v>
      </c>
      <c r="C25">
        <v>4.9559599999999997E-3</v>
      </c>
      <c r="D25">
        <v>5.3969600000000001E-3</v>
      </c>
      <c r="E25">
        <v>1.4209650000000001E-2</v>
      </c>
      <c r="F25">
        <v>2.7130800000000001E-3</v>
      </c>
      <c r="G25">
        <v>3.9287699999999998E-3</v>
      </c>
      <c r="H25">
        <v>1.403214E-2</v>
      </c>
      <c r="I25">
        <v>2.97963E-3</v>
      </c>
      <c r="J25">
        <v>4.4285499999999998E-3</v>
      </c>
      <c r="K25">
        <v>4.6926499999999996E-3</v>
      </c>
      <c r="L25">
        <v>1.498826E-2</v>
      </c>
      <c r="M25">
        <v>1.4535899999999999E-2</v>
      </c>
      <c r="N25">
        <v>6.68382E-3</v>
      </c>
      <c r="O25">
        <v>2.148036E-2</v>
      </c>
      <c r="P25">
        <v>5.9548600000000002E-3</v>
      </c>
      <c r="Q25">
        <v>-2.7067800000000002E-3</v>
      </c>
      <c r="R25">
        <v>3.6449E-3</v>
      </c>
      <c r="S25">
        <v>1.778426E-2</v>
      </c>
      <c r="T25">
        <v>7.6662800000000001E-3</v>
      </c>
      <c r="U25">
        <v>5.1671830000000002E-2</v>
      </c>
      <c r="V25">
        <v>1.592093E-2</v>
      </c>
      <c r="W25">
        <v>1.48144E-2</v>
      </c>
      <c r="X25">
        <v>1.1254729999999999E-2</v>
      </c>
      <c r="Y25">
        <v>2.70295E-3</v>
      </c>
      <c r="Z25">
        <v>1.6524179999999999E-2</v>
      </c>
      <c r="AA25">
        <v>1.550171E-2</v>
      </c>
      <c r="AB25">
        <v>2.1394000000000001E-3</v>
      </c>
      <c r="AC25">
        <v>1.3647029999999999E-2</v>
      </c>
      <c r="AD25">
        <v>1.521144E-2</v>
      </c>
      <c r="AE25">
        <v>1.8894830000000001E-2</v>
      </c>
      <c r="AF25">
        <v>2.4170190000000001E-2</v>
      </c>
      <c r="AG25">
        <v>4.0222000000000001E-3</v>
      </c>
      <c r="AH25">
        <v>5.5947699999999998E-3</v>
      </c>
      <c r="AI25">
        <v>-5.2162900000000002E-3</v>
      </c>
      <c r="AJ25">
        <v>1.7958849999999998E-2</v>
      </c>
      <c r="AK25">
        <v>3.2261449999999997E-2</v>
      </c>
      <c r="AL25">
        <v>6.4234399999999999E-3</v>
      </c>
      <c r="AM25">
        <v>1.781895E-2</v>
      </c>
      <c r="AN25">
        <v>1.4271259999999999E-2</v>
      </c>
      <c r="AO25">
        <v>5.42298E-3</v>
      </c>
      <c r="AP25">
        <v>1.178422E-2</v>
      </c>
      <c r="AQ25">
        <v>-7.4693099999999998E-3</v>
      </c>
      <c r="AR25">
        <v>6.5857700000000003E-3</v>
      </c>
      <c r="AS25">
        <v>3.0903320000000001E-2</v>
      </c>
      <c r="AT25">
        <v>5.7196499999999997E-3</v>
      </c>
      <c r="AU25">
        <v>5.0626000000000004E-3</v>
      </c>
      <c r="AV25">
        <v>2.331517E-2</v>
      </c>
      <c r="AW25">
        <v>2.292133E-2</v>
      </c>
      <c r="AX25">
        <v>9.4958200000000003E-3</v>
      </c>
      <c r="AY25">
        <v>2.2650999999999999E-3</v>
      </c>
      <c r="AZ25">
        <v>1.9462500000000001E-2</v>
      </c>
      <c r="BA25">
        <v>1.400533E-2</v>
      </c>
      <c r="BB25">
        <v>1.1944690000000001E-2</v>
      </c>
      <c r="BC25">
        <v>1.204091E-2</v>
      </c>
      <c r="BD25">
        <v>3.3704230000000002E-2</v>
      </c>
      <c r="BE25">
        <v>1.5080949999999999E-2</v>
      </c>
      <c r="BF25">
        <v>2.213588E-2</v>
      </c>
      <c r="BG25">
        <v>4.1093800000000002E-3</v>
      </c>
      <c r="BH25">
        <v>2.4702680000000001E-2</v>
      </c>
      <c r="BI25">
        <v>9.7872600000000008E-3</v>
      </c>
      <c r="BJ25">
        <v>5.6422199999999999E-3</v>
      </c>
      <c r="BK25">
        <v>1.7749879999999999E-2</v>
      </c>
      <c r="BL25">
        <v>1.378564E-2</v>
      </c>
      <c r="BM25">
        <v>1.200352E-2</v>
      </c>
      <c r="BN25">
        <v>3.38748E-3</v>
      </c>
      <c r="BO25">
        <v>1.21374E-2</v>
      </c>
      <c r="BP25">
        <v>9.5293900000000004E-3</v>
      </c>
      <c r="BQ25">
        <v>2.5665549999999999E-2</v>
      </c>
      <c r="BR25">
        <v>9.5512600000000007E-3</v>
      </c>
      <c r="BS25">
        <v>-7.6860599999999998E-3</v>
      </c>
      <c r="BT25">
        <v>1.5407499999999999E-2</v>
      </c>
      <c r="BU25">
        <v>2.30204E-2</v>
      </c>
      <c r="BV25">
        <v>1.321455E-2</v>
      </c>
      <c r="BW25">
        <v>1.098595E-2</v>
      </c>
      <c r="BX25">
        <v>4.6142900000000001E-3</v>
      </c>
      <c r="BY25">
        <v>1.1615189999999999E-2</v>
      </c>
      <c r="BZ25">
        <v>1.6180779999999999E-2</v>
      </c>
      <c r="CA25">
        <v>3.6175980000000003E-2</v>
      </c>
      <c r="CB25">
        <v>1.96524E-3</v>
      </c>
      <c r="CC25">
        <v>5.4636700000000003E-3</v>
      </c>
      <c r="CD25">
        <v>8.1353199999999997E-3</v>
      </c>
      <c r="CE25">
        <v>8.4495400000000002E-3</v>
      </c>
      <c r="CF25">
        <v>-7.6190900000000002E-3</v>
      </c>
      <c r="CG25">
        <v>1.0244970000000001E-2</v>
      </c>
      <c r="CH25">
        <v>3.4390339999999998E-2</v>
      </c>
      <c r="CI25">
        <v>-6.9883899999999997E-3</v>
      </c>
      <c r="CJ25">
        <v>1.13785E-2</v>
      </c>
      <c r="CK25">
        <v>1.071458E-2</v>
      </c>
      <c r="CL25">
        <v>1.234413E-2</v>
      </c>
      <c r="CM25">
        <v>1.1555319999999999E-2</v>
      </c>
      <c r="CN25">
        <v>2.594465E-2</v>
      </c>
      <c r="CO25">
        <v>1.9359379999999999E-2</v>
      </c>
      <c r="CP25">
        <v>7.3486100000000002E-3</v>
      </c>
      <c r="CQ25">
        <v>1.5648370000000002E-2</v>
      </c>
      <c r="CR25">
        <v>1.598484E-2</v>
      </c>
      <c r="CS25">
        <v>1.7752219999999999E-2</v>
      </c>
      <c r="CT25">
        <v>2.5502899999999998E-2</v>
      </c>
      <c r="CU25">
        <v>1.0996219999999999E-2</v>
      </c>
      <c r="CV25">
        <v>1.3021319999999999E-2</v>
      </c>
      <c r="CW25">
        <v>1.9545110000000001E-2</v>
      </c>
      <c r="CX25">
        <v>2.09062E-2</v>
      </c>
      <c r="CY25">
        <v>1.006104E-2</v>
      </c>
      <c r="CZ25">
        <v>1.7548810000000001E-2</v>
      </c>
      <c r="DA25">
        <v>1.7062799999999999E-3</v>
      </c>
      <c r="DB25">
        <v>2.8189889999999999E-2</v>
      </c>
      <c r="DC25">
        <v>2.185235E-2</v>
      </c>
      <c r="DD25">
        <v>1.7059689999999999E-2</v>
      </c>
      <c r="DE25">
        <v>2.424521E-2</v>
      </c>
      <c r="DF25">
        <v>6.0915500000000003E-3</v>
      </c>
      <c r="DG25">
        <v>2.226566E-2</v>
      </c>
      <c r="DH25">
        <v>1.248608E-2</v>
      </c>
      <c r="DI25">
        <v>1.665461E-2</v>
      </c>
      <c r="DJ25">
        <v>7.9029500000000006E-3</v>
      </c>
      <c r="DK25">
        <v>1.596349E-2</v>
      </c>
      <c r="DL25">
        <v>3.5204489999999998E-2</v>
      </c>
      <c r="DM25">
        <v>1.8408689999999998E-2</v>
      </c>
      <c r="DN25">
        <v>7.0617299999999996E-3</v>
      </c>
      <c r="DO25">
        <v>1.2670030000000001E-2</v>
      </c>
      <c r="DP25">
        <v>1.579556E-2</v>
      </c>
      <c r="DQ25">
        <v>1.484369E-2</v>
      </c>
      <c r="DR25">
        <v>1.887745E-2</v>
      </c>
      <c r="DS25">
        <v>2.3053800000000001E-3</v>
      </c>
      <c r="DT25">
        <v>1.667542E-2</v>
      </c>
      <c r="DU25">
        <v>2.8606240000000002E-2</v>
      </c>
      <c r="DV25">
        <v>1.6957460000000001E-2</v>
      </c>
      <c r="DW25">
        <v>1.533957E-2</v>
      </c>
      <c r="DX25">
        <v>1.7512380000000001E-2</v>
      </c>
      <c r="DY25">
        <v>1.8708820000000001E-2</v>
      </c>
      <c r="DZ25">
        <v>9.7542299999999992E-3</v>
      </c>
      <c r="EA25">
        <v>1.4687820000000001E-2</v>
      </c>
      <c r="EB25">
        <v>2.8218070000000001E-2</v>
      </c>
      <c r="EC25">
        <v>1.732562E-2</v>
      </c>
      <c r="ED25">
        <v>3.3564829999999997E-2</v>
      </c>
      <c r="EE25">
        <v>1.9684070000000001E-2</v>
      </c>
      <c r="EF25">
        <v>1.2933979999999999E-2</v>
      </c>
      <c r="EG25">
        <v>1.6084029999999999E-2</v>
      </c>
      <c r="EH25">
        <v>-5.6756699999999998E-3</v>
      </c>
      <c r="EI25">
        <v>3.3086499999999998E-3</v>
      </c>
      <c r="EJ25">
        <v>3.7635469999999997E-2</v>
      </c>
      <c r="EK25">
        <v>2.7519419999999999E-2</v>
      </c>
      <c r="EL25">
        <v>4.2977559999999998E-2</v>
      </c>
      <c r="EM25">
        <v>2.3477069999999999E-2</v>
      </c>
      <c r="EN25">
        <v>5.5584620000000001E-2</v>
      </c>
      <c r="EO25">
        <v>3.0318459999999998E-2</v>
      </c>
      <c r="EP25">
        <f t="shared" si="0"/>
        <v>0</v>
      </c>
      <c r="EQ25">
        <f>SUMIF('Mi portafolio'!$A$8:$A$19,$A25,'Mi portafolio'!$B$8:$B$19)</f>
        <v>0</v>
      </c>
    </row>
    <row r="26" spans="1:147" x14ac:dyDescent="0.25">
      <c r="A26" s="34" t="s">
        <v>101</v>
      </c>
      <c r="B26">
        <v>1.04324E-3</v>
      </c>
      <c r="C26">
        <v>6.2494999999999998E-3</v>
      </c>
      <c r="D26">
        <v>1.63058E-3</v>
      </c>
      <c r="E26">
        <v>1.434758E-2</v>
      </c>
      <c r="F26">
        <v>1.9628800000000002E-3</v>
      </c>
      <c r="G26">
        <v>6.8400900000000001E-3</v>
      </c>
      <c r="H26">
        <v>1.7554899999999998E-2</v>
      </c>
      <c r="I26">
        <v>5.4119900000000002E-3</v>
      </c>
      <c r="J26">
        <v>-1.4753100000000001E-3</v>
      </c>
      <c r="K26">
        <v>7.1264700000000002E-3</v>
      </c>
      <c r="L26">
        <v>1.4124360000000001E-2</v>
      </c>
      <c r="M26">
        <v>1.4704E-2</v>
      </c>
      <c r="N26">
        <v>1.2527700000000001E-3</v>
      </c>
      <c r="O26">
        <v>2.123771E-2</v>
      </c>
      <c r="P26">
        <v>1.23448E-3</v>
      </c>
      <c r="Q26">
        <v>-1.18505E-3</v>
      </c>
      <c r="R26">
        <v>4.5158000000000004E-3</v>
      </c>
      <c r="S26">
        <v>1.196901E-2</v>
      </c>
      <c r="T26">
        <v>8.2605999999999999E-4</v>
      </c>
      <c r="U26">
        <v>1.592093E-2</v>
      </c>
      <c r="V26">
        <v>5.3067740000000002E-2</v>
      </c>
      <c r="W26">
        <v>9.9776799999999992E-3</v>
      </c>
      <c r="X26">
        <v>2.4299199999999999E-3</v>
      </c>
      <c r="Y26">
        <v>3.87229E-3</v>
      </c>
      <c r="Z26">
        <v>1.8524990000000002E-2</v>
      </c>
      <c r="AA26">
        <v>1.4032299999999999E-2</v>
      </c>
      <c r="AB26">
        <v>1.73755E-3</v>
      </c>
      <c r="AC26">
        <v>1.655059E-2</v>
      </c>
      <c r="AD26">
        <v>1.5543619999999999E-2</v>
      </c>
      <c r="AE26">
        <v>1.489888E-2</v>
      </c>
      <c r="AF26">
        <v>2.473732E-2</v>
      </c>
      <c r="AG26">
        <v>1.5294000000000001E-4</v>
      </c>
      <c r="AH26">
        <v>-5.7386E-3</v>
      </c>
      <c r="AI26">
        <v>-1.102614E-2</v>
      </c>
      <c r="AJ26">
        <v>1.12706E-2</v>
      </c>
      <c r="AK26">
        <v>2.312937E-2</v>
      </c>
      <c r="AL26">
        <v>2.55712E-3</v>
      </c>
      <c r="AM26">
        <v>1.018578E-2</v>
      </c>
      <c r="AN26">
        <v>1.081769E-2</v>
      </c>
      <c r="AO26">
        <v>-2.07938E-3</v>
      </c>
      <c r="AP26">
        <v>8.12797E-3</v>
      </c>
      <c r="AQ26">
        <v>-4.8696399999999997E-3</v>
      </c>
      <c r="AR26">
        <v>-3.1448800000000001E-3</v>
      </c>
      <c r="AS26">
        <v>1.9772370000000001E-2</v>
      </c>
      <c r="AT26">
        <v>2.5038700000000001E-3</v>
      </c>
      <c r="AU26">
        <v>1.1763399999999999E-3</v>
      </c>
      <c r="AV26">
        <v>1.6142279999999998E-2</v>
      </c>
      <c r="AW26">
        <v>2.312316E-2</v>
      </c>
      <c r="AX26">
        <v>1.8946E-3</v>
      </c>
      <c r="AY26">
        <v>5.2658100000000001E-3</v>
      </c>
      <c r="AZ26">
        <v>1.8665660000000001E-2</v>
      </c>
      <c r="BA26">
        <v>5.8689500000000004E-3</v>
      </c>
      <c r="BB26">
        <v>3.00754E-3</v>
      </c>
      <c r="BC26">
        <v>9.0265999999999992E-3</v>
      </c>
      <c r="BD26">
        <v>1.5504240000000001E-2</v>
      </c>
      <c r="BE26">
        <v>1.90413E-3</v>
      </c>
      <c r="BF26">
        <v>1.9444650000000001E-2</v>
      </c>
      <c r="BG26">
        <v>-2.3133899999999998E-3</v>
      </c>
      <c r="BH26">
        <v>1.6871110000000002E-2</v>
      </c>
      <c r="BI26">
        <v>1.583592E-2</v>
      </c>
      <c r="BJ26">
        <v>2.8096000000000002E-4</v>
      </c>
      <c r="BK26">
        <v>1.363118E-2</v>
      </c>
      <c r="BL26">
        <v>1.133937E-2</v>
      </c>
      <c r="BM26">
        <v>8.6279200000000007E-3</v>
      </c>
      <c r="BN26">
        <v>5.6813000000000002E-4</v>
      </c>
      <c r="BO26">
        <v>-3.1011900000000002E-3</v>
      </c>
      <c r="BP26">
        <v>2.0231699999999999E-3</v>
      </c>
      <c r="BQ26">
        <v>2.1427559999999998E-2</v>
      </c>
      <c r="BR26">
        <v>6.6490400000000002E-3</v>
      </c>
      <c r="BS26">
        <v>-7.2007800000000004E-3</v>
      </c>
      <c r="BT26">
        <v>4.6270699999999996E-3</v>
      </c>
      <c r="BU26">
        <v>9.0378400000000001E-3</v>
      </c>
      <c r="BV26">
        <v>4.0989199999999998E-3</v>
      </c>
      <c r="BW26">
        <v>3.1175700000000001E-3</v>
      </c>
      <c r="BX26">
        <v>-7.7523399999999999E-3</v>
      </c>
      <c r="BY26">
        <v>1.2342779999999999E-2</v>
      </c>
      <c r="BZ26">
        <v>6.1879999999999999E-3</v>
      </c>
      <c r="CA26">
        <v>3.5888910000000003E-2</v>
      </c>
      <c r="CB26">
        <v>-9.4849400000000007E-3</v>
      </c>
      <c r="CC26">
        <v>-2.6590899999999998E-3</v>
      </c>
      <c r="CD26">
        <v>8.9690000000000004E-5</v>
      </c>
      <c r="CE26">
        <v>4.0229100000000002E-3</v>
      </c>
      <c r="CF26">
        <v>-8.1635000000000006E-3</v>
      </c>
      <c r="CG26">
        <v>3.2093999999999997E-4</v>
      </c>
      <c r="CH26">
        <v>3.3308839999999999E-2</v>
      </c>
      <c r="CI26">
        <v>-1.1739869999999999E-2</v>
      </c>
      <c r="CJ26">
        <v>-4.7217400000000003E-3</v>
      </c>
      <c r="CK26">
        <v>8.4796999999999997E-3</v>
      </c>
      <c r="CL26">
        <v>8.9249099999999994E-3</v>
      </c>
      <c r="CM26">
        <v>-1.9515299999999999E-3</v>
      </c>
      <c r="CN26">
        <v>1.4795020000000001E-2</v>
      </c>
      <c r="CO26">
        <v>1.6532749999999999E-2</v>
      </c>
      <c r="CP26">
        <v>-9.6668799999999992E-3</v>
      </c>
      <c r="CQ26">
        <v>8.1153400000000004E-3</v>
      </c>
      <c r="CR26">
        <v>6.3611500000000003E-3</v>
      </c>
      <c r="CS26">
        <v>2.2990599999999999E-3</v>
      </c>
      <c r="CT26">
        <v>1.7573060000000001E-2</v>
      </c>
      <c r="CU26">
        <v>6.1798599999999997E-3</v>
      </c>
      <c r="CV26">
        <v>1.2883779999999999E-2</v>
      </c>
      <c r="CW26">
        <v>7.0013799999999998E-3</v>
      </c>
      <c r="CX26">
        <v>2.2281800000000002E-3</v>
      </c>
      <c r="CY26">
        <v>1.208123E-2</v>
      </c>
      <c r="CZ26">
        <v>-3.2407099999999999E-3</v>
      </c>
      <c r="DA26">
        <v>-2.7807999999999999E-4</v>
      </c>
      <c r="DB26">
        <v>1.4162900000000001E-2</v>
      </c>
      <c r="DC26">
        <v>2.376663E-2</v>
      </c>
      <c r="DD26">
        <v>1.73262E-2</v>
      </c>
      <c r="DE26">
        <v>1.695108E-2</v>
      </c>
      <c r="DF26">
        <v>-6.0631499999999998E-3</v>
      </c>
      <c r="DG26">
        <v>2.6411629999999998E-2</v>
      </c>
      <c r="DH26">
        <v>-4.2555000000000002E-4</v>
      </c>
      <c r="DI26">
        <v>1.1801020000000001E-2</v>
      </c>
      <c r="DJ26">
        <v>1.1290909999999999E-2</v>
      </c>
      <c r="DK26">
        <v>1.258541E-2</v>
      </c>
      <c r="DL26">
        <v>3.7266720000000003E-2</v>
      </c>
      <c r="DM26">
        <v>2.290847E-2</v>
      </c>
      <c r="DN26">
        <v>1.8674590000000001E-2</v>
      </c>
      <c r="DO26">
        <v>1.0251130000000001E-2</v>
      </c>
      <c r="DP26">
        <v>1.175607E-2</v>
      </c>
      <c r="DQ26">
        <v>7.91327E-3</v>
      </c>
      <c r="DR26">
        <v>6.7928399999999996E-3</v>
      </c>
      <c r="DS26">
        <v>-9.1258699999999995E-3</v>
      </c>
      <c r="DT26">
        <v>2.0961899999999999E-3</v>
      </c>
      <c r="DU26">
        <v>6.5457299999999996E-3</v>
      </c>
      <c r="DV26">
        <v>6.3577999999999996E-4</v>
      </c>
      <c r="DW26">
        <v>-4.3691900000000002E-3</v>
      </c>
      <c r="DX26">
        <v>4.8513999999999996E-3</v>
      </c>
      <c r="DY26">
        <v>1.3444370000000001E-2</v>
      </c>
      <c r="DZ26">
        <v>-1.288164E-2</v>
      </c>
      <c r="EA26">
        <v>9.0127899999999997E-3</v>
      </c>
      <c r="EB26">
        <v>8.1805599999999999E-3</v>
      </c>
      <c r="EC26">
        <v>2.4330999999999998E-2</v>
      </c>
      <c r="ED26">
        <v>2.541067E-2</v>
      </c>
      <c r="EE26">
        <v>6.9492299999999998E-3</v>
      </c>
      <c r="EF26">
        <v>1.122341E-2</v>
      </c>
      <c r="EG26">
        <v>-2.7716999999999998E-4</v>
      </c>
      <c r="EH26">
        <v>-1.488545E-2</v>
      </c>
      <c r="EI26">
        <v>-4.6475199999999996E-3</v>
      </c>
      <c r="EJ26">
        <v>1.184556E-2</v>
      </c>
      <c r="EK26">
        <v>7.7187499999999999E-3</v>
      </c>
      <c r="EL26">
        <v>2.318572E-2</v>
      </c>
      <c r="EM26">
        <v>-2.5808049999999999E-2</v>
      </c>
      <c r="EN26">
        <v>-3.9493200000000001E-3</v>
      </c>
      <c r="EO26">
        <v>1.37488E-3</v>
      </c>
      <c r="EP26">
        <f t="shared" si="0"/>
        <v>0</v>
      </c>
      <c r="EQ26">
        <f>SUMIF('Mi portafolio'!$A$8:$A$19,$A26,'Mi portafolio'!$B$8:$B$19)</f>
        <v>0</v>
      </c>
    </row>
    <row r="27" spans="1:147" x14ac:dyDescent="0.25">
      <c r="A27" s="34" t="s">
        <v>102</v>
      </c>
      <c r="B27">
        <v>6.9693000000000001E-4</v>
      </c>
      <c r="C27">
        <v>5.5247999999999998E-3</v>
      </c>
      <c r="D27">
        <v>-1.7075300000000001E-3</v>
      </c>
      <c r="E27">
        <v>1.2479229999999999E-2</v>
      </c>
      <c r="F27">
        <v>6.04588E-3</v>
      </c>
      <c r="G27">
        <v>2.05237E-3</v>
      </c>
      <c r="H27">
        <v>7.0027099999999997E-3</v>
      </c>
      <c r="I27">
        <v>8.8279399999999994E-3</v>
      </c>
      <c r="J27">
        <v>7.4201299999999996E-3</v>
      </c>
      <c r="K27">
        <v>9.4823500000000005E-3</v>
      </c>
      <c r="L27">
        <v>8.9856099999999998E-3</v>
      </c>
      <c r="M27">
        <v>8.3458899999999999E-3</v>
      </c>
      <c r="N27">
        <v>3.5799199999999999E-3</v>
      </c>
      <c r="O27">
        <v>1.666927E-2</v>
      </c>
      <c r="P27">
        <v>9.5968500000000005E-3</v>
      </c>
      <c r="Q27">
        <v>1.16792E-3</v>
      </c>
      <c r="R27">
        <v>8.7567500000000006E-3</v>
      </c>
      <c r="S27">
        <v>1.149596E-2</v>
      </c>
      <c r="T27">
        <v>4.4922499999999997E-3</v>
      </c>
      <c r="U27">
        <v>1.48144E-2</v>
      </c>
      <c r="V27">
        <v>9.9776799999999992E-3</v>
      </c>
      <c r="W27">
        <v>5.3352759999999999E-2</v>
      </c>
      <c r="X27">
        <v>6.6403399999999998E-3</v>
      </c>
      <c r="Y27">
        <v>1.5356899999999999E-3</v>
      </c>
      <c r="Z27">
        <v>1.217125E-2</v>
      </c>
      <c r="AA27">
        <v>2.550179E-2</v>
      </c>
      <c r="AB27">
        <v>1.7101200000000001E-3</v>
      </c>
      <c r="AC27">
        <v>7.8463600000000001E-3</v>
      </c>
      <c r="AD27">
        <v>2.0308469999999999E-2</v>
      </c>
      <c r="AE27">
        <v>8.5275000000000004E-3</v>
      </c>
      <c r="AF27">
        <v>1.929815E-2</v>
      </c>
      <c r="AG27">
        <v>5.0254000000000002E-3</v>
      </c>
      <c r="AH27">
        <v>6.1028599999999999E-3</v>
      </c>
      <c r="AI27">
        <v>2.03885E-3</v>
      </c>
      <c r="AJ27">
        <v>7.6467599999999998E-3</v>
      </c>
      <c r="AK27">
        <v>1.966731E-2</v>
      </c>
      <c r="AL27">
        <v>1.38893E-3</v>
      </c>
      <c r="AM27">
        <v>7.2430899999999998E-3</v>
      </c>
      <c r="AN27">
        <v>4.5416900000000001E-3</v>
      </c>
      <c r="AO27">
        <v>6.4220099999999997E-3</v>
      </c>
      <c r="AP27">
        <v>6.3408300000000004E-3</v>
      </c>
      <c r="AQ27">
        <v>3.4840100000000001E-3</v>
      </c>
      <c r="AR27">
        <v>6.1759700000000002E-3</v>
      </c>
      <c r="AS27">
        <v>1.4393410000000001E-2</v>
      </c>
      <c r="AT27">
        <v>7.1608799999999997E-3</v>
      </c>
      <c r="AU27">
        <v>9.3692600000000008E-3</v>
      </c>
      <c r="AV27">
        <v>2.4764080000000001E-2</v>
      </c>
      <c r="AW27">
        <v>1.6011290000000001E-2</v>
      </c>
      <c r="AX27">
        <v>9.3285699999999996E-3</v>
      </c>
      <c r="AY27">
        <v>9.9905600000000008E-3</v>
      </c>
      <c r="AZ27">
        <v>8.7105700000000008E-3</v>
      </c>
      <c r="BA27">
        <v>4.1943099999999997E-3</v>
      </c>
      <c r="BB27">
        <v>5.99082E-3</v>
      </c>
      <c r="BC27">
        <v>7.8874199999999992E-3</v>
      </c>
      <c r="BD27">
        <v>1.789282E-2</v>
      </c>
      <c r="BE27">
        <v>7.2130700000000002E-3</v>
      </c>
      <c r="BF27">
        <v>1.5751250000000001E-2</v>
      </c>
      <c r="BG27">
        <v>-7.0663200000000001E-3</v>
      </c>
      <c r="BH27">
        <v>1.207019E-2</v>
      </c>
      <c r="BI27">
        <v>4.3041599999999996E-3</v>
      </c>
      <c r="BJ27">
        <v>3.9874000000000002E-4</v>
      </c>
      <c r="BK27">
        <v>1.176662E-2</v>
      </c>
      <c r="BL27">
        <v>3.66417E-3</v>
      </c>
      <c r="BM27">
        <v>6.2414300000000001E-3</v>
      </c>
      <c r="BN27">
        <v>1.3017519999999999E-2</v>
      </c>
      <c r="BO27">
        <v>1.0300739999999999E-2</v>
      </c>
      <c r="BP27">
        <v>3.91238E-3</v>
      </c>
      <c r="BQ27">
        <v>2.3813979999999998E-2</v>
      </c>
      <c r="BR27">
        <v>6.3160300000000003E-3</v>
      </c>
      <c r="BS27">
        <v>-3.4441900000000002E-3</v>
      </c>
      <c r="BT27">
        <v>5.0192800000000001E-3</v>
      </c>
      <c r="BU27">
        <v>1.0922650000000001E-2</v>
      </c>
      <c r="BV27">
        <v>1.6822899999999999E-3</v>
      </c>
      <c r="BW27">
        <v>9.3595799999999993E-3</v>
      </c>
      <c r="BX27">
        <v>2.6915200000000002E-3</v>
      </c>
      <c r="BY27">
        <v>1.58197E-3</v>
      </c>
      <c r="BZ27">
        <v>9.3962100000000003E-3</v>
      </c>
      <c r="CA27">
        <v>1.432887E-2</v>
      </c>
      <c r="CB27">
        <v>1.2463400000000001E-3</v>
      </c>
      <c r="CC27">
        <v>1.277463E-2</v>
      </c>
      <c r="CD27">
        <v>1.596E-3</v>
      </c>
      <c r="CE27">
        <v>4.7927200000000003E-3</v>
      </c>
      <c r="CF27">
        <v>-8.5736999999999999E-4</v>
      </c>
      <c r="CG27">
        <v>-2.6631100000000002E-3</v>
      </c>
      <c r="CH27">
        <v>2.1217730000000001E-2</v>
      </c>
      <c r="CI27">
        <v>-2.61021E-3</v>
      </c>
      <c r="CJ27">
        <v>1.5435500000000001E-3</v>
      </c>
      <c r="CK27">
        <v>1.8901499999999999E-3</v>
      </c>
      <c r="CL27">
        <v>-6.5002799999999998E-3</v>
      </c>
      <c r="CM27">
        <v>-1.0716679999999999E-2</v>
      </c>
      <c r="CN27">
        <v>1.069109E-2</v>
      </c>
      <c r="CO27">
        <v>1.220137E-2</v>
      </c>
      <c r="CP27">
        <v>1.050775E-2</v>
      </c>
      <c r="CQ27">
        <v>6.2771299999999997E-3</v>
      </c>
      <c r="CR27">
        <v>1.5400399999999999E-3</v>
      </c>
      <c r="CS27">
        <v>1.5449640000000001E-2</v>
      </c>
      <c r="CT27">
        <v>1.326311E-2</v>
      </c>
      <c r="CU27">
        <v>1.3692299999999999E-3</v>
      </c>
      <c r="CV27">
        <v>-3.6518399999999999E-3</v>
      </c>
      <c r="CW27">
        <v>7.7406599999999999E-3</v>
      </c>
      <c r="CX27">
        <v>1.9704260000000001E-2</v>
      </c>
      <c r="CY27">
        <v>4.7680200000000004E-3</v>
      </c>
      <c r="CZ27">
        <v>-4.0944299999999996E-3</v>
      </c>
      <c r="DA27">
        <v>-1.280918E-2</v>
      </c>
      <c r="DB27">
        <v>1.7524830000000002E-2</v>
      </c>
      <c r="DC27">
        <v>1.5355769999999999E-2</v>
      </c>
      <c r="DD27">
        <v>-4.9377600000000002E-3</v>
      </c>
      <c r="DE27">
        <v>1.484854E-2</v>
      </c>
      <c r="DF27">
        <v>-1.4232669999999999E-2</v>
      </c>
      <c r="DG27">
        <v>1.486494E-2</v>
      </c>
      <c r="DH27">
        <v>-2.48788E-3</v>
      </c>
      <c r="DI27">
        <v>1.297953E-2</v>
      </c>
      <c r="DJ27">
        <v>-3.76728E-3</v>
      </c>
      <c r="DK27">
        <v>8.5774000000000006E-3</v>
      </c>
      <c r="DL27">
        <v>9.7476699999999999E-3</v>
      </c>
      <c r="DM27">
        <v>9.7050499999999998E-3</v>
      </c>
      <c r="DN27">
        <v>4.5110699999999998E-3</v>
      </c>
      <c r="DO27">
        <v>1.1291219999999999E-2</v>
      </c>
      <c r="DP27">
        <v>-3.79562E-3</v>
      </c>
      <c r="DQ27">
        <v>4.4447699999999998E-3</v>
      </c>
      <c r="DR27">
        <v>1.176518E-2</v>
      </c>
      <c r="DS27">
        <v>3.0549599999999998E-3</v>
      </c>
      <c r="DT27">
        <v>-8.5417700000000006E-3</v>
      </c>
      <c r="DU27">
        <v>1.9555920000000001E-2</v>
      </c>
      <c r="DV27">
        <v>1.1815259999999999E-2</v>
      </c>
      <c r="DW27">
        <v>3.67951E-3</v>
      </c>
      <c r="DX27">
        <v>1.4000449999999999E-2</v>
      </c>
      <c r="DY27">
        <v>8.7000099999999993E-3</v>
      </c>
      <c r="DZ27">
        <v>3.37178E-3</v>
      </c>
      <c r="EA27">
        <v>9.8656400000000002E-3</v>
      </c>
      <c r="EB27">
        <v>6.7712500000000004E-3</v>
      </c>
      <c r="EC27">
        <v>-2.85491E-3</v>
      </c>
      <c r="ED27">
        <v>2.3234359999999999E-2</v>
      </c>
      <c r="EE27">
        <v>9.3280700000000008E-3</v>
      </c>
      <c r="EF27">
        <v>7.6983299999999998E-3</v>
      </c>
      <c r="EG27">
        <v>1.6898349999999999E-2</v>
      </c>
      <c r="EH27">
        <v>-4.9132300000000002E-3</v>
      </c>
      <c r="EI27">
        <v>3.6159500000000002E-3</v>
      </c>
      <c r="EJ27">
        <v>3.5192999999999997E-4</v>
      </c>
      <c r="EK27">
        <v>2.414732E-2</v>
      </c>
      <c r="EL27">
        <v>2.5103239999999999E-2</v>
      </c>
      <c r="EM27">
        <v>3.90304E-3</v>
      </c>
      <c r="EN27">
        <v>3.2906770000000002E-2</v>
      </c>
      <c r="EO27">
        <v>-3.9415400000000003E-3</v>
      </c>
      <c r="EP27">
        <f t="shared" si="0"/>
        <v>0</v>
      </c>
      <c r="EQ27">
        <f>SUMIF('Mi portafolio'!$A$8:$A$19,$A27,'Mi portafolio'!$B$8:$B$19)</f>
        <v>0</v>
      </c>
    </row>
    <row r="28" spans="1:147" x14ac:dyDescent="0.25">
      <c r="A28" s="34" t="s">
        <v>103</v>
      </c>
      <c r="B28">
        <v>1.272944E-2</v>
      </c>
      <c r="C28">
        <v>1.3091000000000001E-3</v>
      </c>
      <c r="D28">
        <v>7.6785000000000004E-4</v>
      </c>
      <c r="E28">
        <v>6.5588499999999997E-3</v>
      </c>
      <c r="F28">
        <v>1.2738700000000001E-3</v>
      </c>
      <c r="G28">
        <v>-1.29375E-3</v>
      </c>
      <c r="H28">
        <v>3.10612E-3</v>
      </c>
      <c r="I28">
        <v>7.8176099999999991E-3</v>
      </c>
      <c r="J28">
        <v>8.0646599999999995E-3</v>
      </c>
      <c r="K28">
        <v>6.4363500000000004E-3</v>
      </c>
      <c r="L28">
        <v>2.3794599999999999E-3</v>
      </c>
      <c r="M28">
        <v>1.724701E-2</v>
      </c>
      <c r="N28">
        <v>1.196092E-2</v>
      </c>
      <c r="O28">
        <v>1.0117259999999999E-2</v>
      </c>
      <c r="P28">
        <v>4.73683E-3</v>
      </c>
      <c r="Q28">
        <v>1.56339E-3</v>
      </c>
      <c r="R28">
        <v>6.3000199999999999E-3</v>
      </c>
      <c r="S28">
        <v>3.233E-4</v>
      </c>
      <c r="T28">
        <v>4.1408880000000002E-2</v>
      </c>
      <c r="U28">
        <v>1.1254729999999999E-2</v>
      </c>
      <c r="V28">
        <v>2.4299199999999999E-3</v>
      </c>
      <c r="W28">
        <v>6.6403399999999998E-3</v>
      </c>
      <c r="X28">
        <v>5.4986510000000002E-2</v>
      </c>
      <c r="Y28">
        <v>2.2364180000000001E-2</v>
      </c>
      <c r="Z28">
        <v>5.3841799999999997E-3</v>
      </c>
      <c r="AA28">
        <v>8.3679800000000006E-3</v>
      </c>
      <c r="AB28">
        <v>2.2648189999999999E-2</v>
      </c>
      <c r="AC28">
        <v>5.7180900000000003E-3</v>
      </c>
      <c r="AD28">
        <v>1.7369499999999999E-3</v>
      </c>
      <c r="AE28">
        <v>8.4502499999999994E-3</v>
      </c>
      <c r="AF28">
        <v>8.8992399999999992E-3</v>
      </c>
      <c r="AG28">
        <v>7.4681599999999997E-3</v>
      </c>
      <c r="AH28">
        <v>9.5095200000000005E-3</v>
      </c>
      <c r="AI28">
        <v>3.9948600000000003E-3</v>
      </c>
      <c r="AJ28">
        <v>2.5480699999999999E-3</v>
      </c>
      <c r="AK28">
        <v>1.255765E-2</v>
      </c>
      <c r="AL28">
        <v>1.561598E-2</v>
      </c>
      <c r="AM28">
        <v>1.649927E-2</v>
      </c>
      <c r="AN28">
        <v>1.8934079999999999E-2</v>
      </c>
      <c r="AO28">
        <v>8.3654100000000002E-3</v>
      </c>
      <c r="AP28">
        <v>1.9098500000000001E-2</v>
      </c>
      <c r="AQ28">
        <v>-4.6393999999999998E-4</v>
      </c>
      <c r="AR28">
        <v>4.6853029999999997E-2</v>
      </c>
      <c r="AS28">
        <v>8.1508099999999997E-3</v>
      </c>
      <c r="AT28">
        <v>3.7664099999999999E-2</v>
      </c>
      <c r="AU28">
        <v>5.2946399999999998E-3</v>
      </c>
      <c r="AV28">
        <v>9.8788299999999999E-3</v>
      </c>
      <c r="AW28">
        <v>6.6274899999999998E-3</v>
      </c>
      <c r="AX28">
        <v>1.9507179999999999E-2</v>
      </c>
      <c r="AY28">
        <v>1.826879E-2</v>
      </c>
      <c r="AZ28">
        <v>1.0739520000000001E-2</v>
      </c>
      <c r="BA28">
        <v>2.6302579999999999E-2</v>
      </c>
      <c r="BB28">
        <v>4.8586169999999998E-2</v>
      </c>
      <c r="BC28">
        <v>1.0067410000000001E-2</v>
      </c>
      <c r="BD28">
        <v>1.14772E-2</v>
      </c>
      <c r="BE28">
        <v>1.543895E-2</v>
      </c>
      <c r="BF28">
        <v>8.3343400000000008E-3</v>
      </c>
      <c r="BG28">
        <v>1.9315539999999999E-2</v>
      </c>
      <c r="BH28">
        <v>1.04654E-2</v>
      </c>
      <c r="BI28">
        <v>8.9916300000000005E-3</v>
      </c>
      <c r="BJ28">
        <v>5.3660999999999997E-4</v>
      </c>
      <c r="BK28">
        <v>1.069146E-2</v>
      </c>
      <c r="BL28">
        <v>2.4980260000000001E-2</v>
      </c>
      <c r="BM28">
        <v>1.4458220000000001E-2</v>
      </c>
      <c r="BN28">
        <v>1.527366E-2</v>
      </c>
      <c r="BO28">
        <v>1.9734910000000001E-2</v>
      </c>
      <c r="BP28">
        <v>9.5556900000000004E-3</v>
      </c>
      <c r="BQ28">
        <v>2.4776699999999999E-2</v>
      </c>
      <c r="BR28">
        <v>2.3924000000000001E-2</v>
      </c>
      <c r="BS28">
        <v>-1.3424000000000001E-3</v>
      </c>
      <c r="BT28">
        <v>3.7666159999999997E-2</v>
      </c>
      <c r="BU28">
        <v>1.518805E-2</v>
      </c>
      <c r="BV28">
        <v>1.85851E-2</v>
      </c>
      <c r="BW28">
        <v>1.3502699999999999E-2</v>
      </c>
      <c r="BX28">
        <v>1.4092769999999999E-2</v>
      </c>
      <c r="BY28">
        <v>2.5673419999999999E-2</v>
      </c>
      <c r="BZ28">
        <v>2.6878249999999999E-2</v>
      </c>
      <c r="CA28">
        <v>4.0817900000000001E-3</v>
      </c>
      <c r="CB28">
        <v>9.1206000000000002E-4</v>
      </c>
      <c r="CC28">
        <v>1.7186E-2</v>
      </c>
      <c r="CD28">
        <v>1.6651969999999999E-2</v>
      </c>
      <c r="CE28">
        <v>2.2869980000000002E-2</v>
      </c>
      <c r="CF28">
        <v>-1.9372300000000001E-3</v>
      </c>
      <c r="CG28">
        <v>2.7115810000000001E-2</v>
      </c>
      <c r="CH28">
        <v>2.147926E-2</v>
      </c>
      <c r="CI28">
        <v>-8.7100000000000003E-5</v>
      </c>
      <c r="CJ28">
        <v>8.5519499999999991E-3</v>
      </c>
      <c r="CK28">
        <v>1.6699390000000001E-2</v>
      </c>
      <c r="CL28">
        <v>1.8174780000000001E-2</v>
      </c>
      <c r="CM28">
        <v>1.7188680000000001E-2</v>
      </c>
      <c r="CN28">
        <v>7.8233E-3</v>
      </c>
      <c r="CO28">
        <v>8.6342999999999993E-3</v>
      </c>
      <c r="CP28">
        <v>1.226911E-2</v>
      </c>
      <c r="CQ28">
        <v>4.7143030000000002E-2</v>
      </c>
      <c r="CR28">
        <v>1.9556179999999999E-2</v>
      </c>
      <c r="CS28">
        <v>4.2251049999999998E-2</v>
      </c>
      <c r="CT28">
        <v>2.638269E-2</v>
      </c>
      <c r="CU28">
        <v>1.2153799999999999E-2</v>
      </c>
      <c r="CV28">
        <v>1.9952500000000001E-2</v>
      </c>
      <c r="CW28">
        <v>2.2627580000000001E-2</v>
      </c>
      <c r="CX28">
        <v>3.7754719999999999E-2</v>
      </c>
      <c r="CY28">
        <v>4.564849E-2</v>
      </c>
      <c r="CZ28">
        <v>1.4435709999999999E-2</v>
      </c>
      <c r="DA28">
        <v>1.4804039999999999E-2</v>
      </c>
      <c r="DB28">
        <v>1.9734890000000001E-2</v>
      </c>
      <c r="DC28">
        <v>2.9060240000000001E-2</v>
      </c>
      <c r="DD28">
        <v>3.6314560000000003E-2</v>
      </c>
      <c r="DE28">
        <v>3.1286359999999999E-2</v>
      </c>
      <c r="DF28">
        <v>1.035151E-2</v>
      </c>
      <c r="DG28">
        <v>2.5919930000000001E-2</v>
      </c>
      <c r="DH28">
        <v>2.1267370000000001E-2</v>
      </c>
      <c r="DI28">
        <v>4.6240299999999998E-2</v>
      </c>
      <c r="DJ28">
        <v>4.5063119999999998E-2</v>
      </c>
      <c r="DK28">
        <v>5.445473E-2</v>
      </c>
      <c r="DL28">
        <v>7.9498099999999999E-3</v>
      </c>
      <c r="DM28">
        <v>5.5426919999999998E-2</v>
      </c>
      <c r="DN28">
        <v>2.914537E-2</v>
      </c>
      <c r="DO28">
        <v>3.3713100000000003E-2</v>
      </c>
      <c r="DP28">
        <v>4.8318470000000002E-2</v>
      </c>
      <c r="DQ28">
        <v>2.4171769999999999E-2</v>
      </c>
      <c r="DR28">
        <v>3.327542E-2</v>
      </c>
      <c r="DS28">
        <v>1.672332E-2</v>
      </c>
      <c r="DT28">
        <v>1.9419760000000001E-2</v>
      </c>
      <c r="DU28">
        <v>4.9542990000000002E-2</v>
      </c>
      <c r="DV28">
        <v>2.6026509999999999E-2</v>
      </c>
      <c r="DW28">
        <v>3.0022549999999999E-2</v>
      </c>
      <c r="DX28">
        <v>3.7620059999999997E-2</v>
      </c>
      <c r="DY28">
        <v>4.41222E-2</v>
      </c>
      <c r="DZ28">
        <v>1.5163009999999999E-2</v>
      </c>
      <c r="EA28">
        <v>1.4211120000000001E-2</v>
      </c>
      <c r="EB28">
        <v>4.7633780000000001E-2</v>
      </c>
      <c r="EC28">
        <v>1.106627E-2</v>
      </c>
      <c r="ED28">
        <v>3.2697829999999997E-2</v>
      </c>
      <c r="EE28">
        <v>3.2396269999999998E-2</v>
      </c>
      <c r="EF28">
        <v>4.8428690000000003E-2</v>
      </c>
      <c r="EG28">
        <v>2.5464770000000001E-2</v>
      </c>
      <c r="EH28">
        <v>9.0059600000000004E-3</v>
      </c>
      <c r="EI28">
        <v>1.7593089999999999E-2</v>
      </c>
      <c r="EJ28">
        <v>3.757344E-2</v>
      </c>
      <c r="EK28">
        <v>5.9574759999999997E-2</v>
      </c>
      <c r="EL28">
        <v>5.5438540000000001E-2</v>
      </c>
      <c r="EM28">
        <v>3.0234440000000001E-2</v>
      </c>
      <c r="EN28">
        <v>2.4036269999999998E-2</v>
      </c>
      <c r="EO28">
        <v>3.0843430000000002E-2</v>
      </c>
      <c r="EP28">
        <f t="shared" si="0"/>
        <v>0</v>
      </c>
      <c r="EQ28">
        <f>SUMIF('Mi portafolio'!$A$8:$A$19,$A28,'Mi portafolio'!$B$8:$B$19)</f>
        <v>0</v>
      </c>
    </row>
    <row r="29" spans="1:147" x14ac:dyDescent="0.25">
      <c r="A29" s="34" t="s">
        <v>104</v>
      </c>
      <c r="B29">
        <v>1.7753720000000001E-2</v>
      </c>
      <c r="C29">
        <v>4.2257700000000002E-3</v>
      </c>
      <c r="D29">
        <v>2.1880000000000001E-5</v>
      </c>
      <c r="E29">
        <v>1.8774900000000001E-3</v>
      </c>
      <c r="F29">
        <v>1.47335E-2</v>
      </c>
      <c r="G29">
        <v>-2.5939499999999998E-3</v>
      </c>
      <c r="H29">
        <v>-4.2134599999999996E-3</v>
      </c>
      <c r="I29">
        <v>1.9845069999999999E-2</v>
      </c>
      <c r="J29">
        <v>1.2992160000000001E-2</v>
      </c>
      <c r="K29">
        <v>1.4969700000000001E-2</v>
      </c>
      <c r="L29">
        <v>8.3283200000000002E-3</v>
      </c>
      <c r="M29">
        <v>1.200583E-2</v>
      </c>
      <c r="N29">
        <v>1.37383E-2</v>
      </c>
      <c r="O29">
        <v>2.55303E-3</v>
      </c>
      <c r="P29">
        <v>1.9798420000000001E-2</v>
      </c>
      <c r="Q29">
        <v>2.4418600000000001E-3</v>
      </c>
      <c r="R29">
        <v>1.145149E-2</v>
      </c>
      <c r="S29">
        <v>7.7743200000000004E-3</v>
      </c>
      <c r="T29">
        <v>1.9630729999999999E-2</v>
      </c>
      <c r="U29">
        <v>2.70295E-3</v>
      </c>
      <c r="V29">
        <v>3.87229E-3</v>
      </c>
      <c r="W29">
        <v>1.5356899999999999E-3</v>
      </c>
      <c r="X29">
        <v>2.2364180000000001E-2</v>
      </c>
      <c r="Y29">
        <v>5.6843659999999997E-2</v>
      </c>
      <c r="Z29">
        <v>1.1887000000000001E-4</v>
      </c>
      <c r="AA29">
        <v>6.6757700000000001E-3</v>
      </c>
      <c r="AB29">
        <v>5.1005979999999999E-2</v>
      </c>
      <c r="AC29">
        <v>2.6406200000000002E-3</v>
      </c>
      <c r="AD29">
        <v>1.11819E-3</v>
      </c>
      <c r="AE29">
        <v>8.4380099999999993E-3</v>
      </c>
      <c r="AF29">
        <v>-1.3738800000000001E-3</v>
      </c>
      <c r="AG29">
        <v>1.1491970000000001E-2</v>
      </c>
      <c r="AH29">
        <v>8.0869199999999992E-3</v>
      </c>
      <c r="AI29">
        <v>5.4288299999999999E-3</v>
      </c>
      <c r="AJ29">
        <v>-3.9264699999999996E-3</v>
      </c>
      <c r="AK29">
        <v>-9.6560000000000005E-4</v>
      </c>
      <c r="AL29">
        <v>1.870581E-2</v>
      </c>
      <c r="AM29">
        <v>7.3076599999999997E-3</v>
      </c>
      <c r="AN29">
        <v>2.0755570000000001E-2</v>
      </c>
      <c r="AO29">
        <v>2.1702539999999999E-2</v>
      </c>
      <c r="AP29">
        <v>1.9124080000000002E-2</v>
      </c>
      <c r="AQ29">
        <v>5.1875100000000002E-3</v>
      </c>
      <c r="AR29">
        <v>2.1558379999999999E-2</v>
      </c>
      <c r="AS29">
        <v>2.7249599999999998E-3</v>
      </c>
      <c r="AT29">
        <v>3.4562710000000003E-2</v>
      </c>
      <c r="AU29">
        <v>1.278993E-2</v>
      </c>
      <c r="AV29">
        <v>7.5375099999999999E-3</v>
      </c>
      <c r="AW29">
        <v>3.2103399999999999E-3</v>
      </c>
      <c r="AX29">
        <v>1.916636E-2</v>
      </c>
      <c r="AY29">
        <v>3.0925620000000001E-2</v>
      </c>
      <c r="AZ29">
        <v>1.092711E-2</v>
      </c>
      <c r="BA29">
        <v>1.210313E-2</v>
      </c>
      <c r="BB29">
        <v>2.0303970000000001E-2</v>
      </c>
      <c r="BC29">
        <v>3.8935900000000002E-3</v>
      </c>
      <c r="BD29">
        <v>5.4440599999999997E-3</v>
      </c>
      <c r="BE29">
        <v>1.9068100000000001E-2</v>
      </c>
      <c r="BF29">
        <v>-2.1575800000000001E-3</v>
      </c>
      <c r="BG29">
        <v>2.3458039999999999E-2</v>
      </c>
      <c r="BH29">
        <v>2.01256E-3</v>
      </c>
      <c r="BI29">
        <v>2.6087200000000001E-3</v>
      </c>
      <c r="BJ29">
        <v>2.0723400000000002E-3</v>
      </c>
      <c r="BK29">
        <v>7.84405E-3</v>
      </c>
      <c r="BL29">
        <v>1.8415199999999999E-3</v>
      </c>
      <c r="BM29">
        <v>1.531333E-2</v>
      </c>
      <c r="BN29">
        <v>1.688684E-2</v>
      </c>
      <c r="BO29">
        <v>1.5697969999999999E-2</v>
      </c>
      <c r="BP29">
        <v>2.009323E-2</v>
      </c>
      <c r="BQ29">
        <v>3.4838E-3</v>
      </c>
      <c r="BR29">
        <v>1.4174930000000001E-2</v>
      </c>
      <c r="BS29">
        <v>-1.26819E-3</v>
      </c>
      <c r="BT29">
        <v>1.34994E-2</v>
      </c>
      <c r="BU29">
        <v>-1.54284E-3</v>
      </c>
      <c r="BV29">
        <v>1.995767E-2</v>
      </c>
      <c r="BW29">
        <v>1.6612160000000001E-2</v>
      </c>
      <c r="BX29">
        <v>9.3294099999999998E-3</v>
      </c>
      <c r="BY29">
        <v>1.496747E-2</v>
      </c>
      <c r="BZ29">
        <v>9.5437100000000004E-3</v>
      </c>
      <c r="CA29">
        <v>1.10651E-3</v>
      </c>
      <c r="CB29">
        <v>8.0910900000000004E-3</v>
      </c>
      <c r="CC29">
        <v>2.1293530000000001E-2</v>
      </c>
      <c r="CD29">
        <v>2.6545340000000001E-2</v>
      </c>
      <c r="CE29">
        <v>1.0834770000000001E-2</v>
      </c>
      <c r="CF29">
        <v>2.2373599999999999E-3</v>
      </c>
      <c r="CG29">
        <v>3.016404E-2</v>
      </c>
      <c r="CH29">
        <v>4.9392899999999998E-3</v>
      </c>
      <c r="CI29">
        <v>3.83805E-3</v>
      </c>
      <c r="CJ29">
        <v>2.912441E-2</v>
      </c>
      <c r="CK29">
        <v>2.89051E-2</v>
      </c>
      <c r="CL29">
        <v>6.5560599999999998E-3</v>
      </c>
      <c r="CM29">
        <v>-3.2244499999999998E-3</v>
      </c>
      <c r="CN29">
        <v>2.7834000000000002E-4</v>
      </c>
      <c r="CO29">
        <v>3.9161700000000001E-3</v>
      </c>
      <c r="CP29">
        <v>1.2697180000000001E-2</v>
      </c>
      <c r="CQ29">
        <v>2.6880950000000001E-2</v>
      </c>
      <c r="CR29">
        <v>1.6783999999999999E-4</v>
      </c>
      <c r="CS29">
        <v>4.1574E-4</v>
      </c>
      <c r="CT29">
        <v>2.449453E-2</v>
      </c>
      <c r="CU29">
        <v>1.2376399999999999E-3</v>
      </c>
      <c r="CV29">
        <v>2.3133819999999999E-2</v>
      </c>
      <c r="CW29">
        <v>3.4110359999999999E-2</v>
      </c>
      <c r="CX29">
        <v>3.1103800000000001E-2</v>
      </c>
      <c r="CY29">
        <v>2.9530210000000001E-2</v>
      </c>
      <c r="CZ29">
        <v>2.681948E-2</v>
      </c>
      <c r="DA29">
        <v>3.5567960000000003E-2</v>
      </c>
      <c r="DB29">
        <v>3.4796599999999999E-3</v>
      </c>
      <c r="DC29">
        <v>5.4091699999999996E-3</v>
      </c>
      <c r="DD29">
        <v>4.5576459999999999E-2</v>
      </c>
      <c r="DE29">
        <v>2.7128999999999999E-4</v>
      </c>
      <c r="DF29">
        <v>3.4513629999999997E-2</v>
      </c>
      <c r="DG29">
        <v>5.6811700000000001E-3</v>
      </c>
      <c r="DH29">
        <v>-2.5036199999999998E-3</v>
      </c>
      <c r="DI29">
        <v>2.826849E-2</v>
      </c>
      <c r="DJ29">
        <v>3.8900669999999998E-2</v>
      </c>
      <c r="DK29">
        <v>2.6617439999999999E-2</v>
      </c>
      <c r="DL29">
        <v>-7.7496099999999997E-3</v>
      </c>
      <c r="DM29">
        <v>4.2471870000000002E-2</v>
      </c>
      <c r="DN29">
        <v>3.6941370000000001E-2</v>
      </c>
      <c r="DO29">
        <v>7.4744399999999997E-3</v>
      </c>
      <c r="DP29">
        <v>4.5405679999999997E-2</v>
      </c>
      <c r="DQ29">
        <v>-1.293103E-2</v>
      </c>
      <c r="DR29">
        <v>-2.0188799999999998E-3</v>
      </c>
      <c r="DS29">
        <v>3.2735189999999997E-2</v>
      </c>
      <c r="DT29">
        <v>-1.108754E-2</v>
      </c>
      <c r="DU29">
        <v>1.228191E-2</v>
      </c>
      <c r="DV29">
        <v>2.7357550000000001E-2</v>
      </c>
      <c r="DW29">
        <v>4.7470039999999998E-2</v>
      </c>
      <c r="DX29">
        <v>-1.2096569999999999E-2</v>
      </c>
      <c r="DY29">
        <v>5.173846E-2</v>
      </c>
      <c r="DZ29">
        <v>1.361917E-2</v>
      </c>
      <c r="EA29">
        <v>9.9342200000000005E-3</v>
      </c>
      <c r="EB29">
        <v>3.6254019999999998E-2</v>
      </c>
      <c r="EC29">
        <v>5.3906700000000002E-3</v>
      </c>
      <c r="ED29">
        <v>9.2245199999999999E-3</v>
      </c>
      <c r="EE29">
        <v>-9.4982599999999997E-3</v>
      </c>
      <c r="EF29">
        <v>1.8612900000000002E-2</v>
      </c>
      <c r="EG29">
        <v>-5.8442700000000004E-3</v>
      </c>
      <c r="EH29">
        <v>4.0500420000000002E-2</v>
      </c>
      <c r="EI29">
        <v>-2.361686E-2</v>
      </c>
      <c r="EJ29">
        <v>1.3885430000000001E-2</v>
      </c>
      <c r="EK29">
        <v>1.69673E-3</v>
      </c>
      <c r="EL29">
        <v>-1.1124719999999999E-2</v>
      </c>
      <c r="EM29">
        <v>-4.4280600000000002E-3</v>
      </c>
      <c r="EN29">
        <v>2.6326100000000002E-2</v>
      </c>
      <c r="EO29">
        <v>1.6469109999999999E-2</v>
      </c>
      <c r="EP29">
        <f t="shared" si="0"/>
        <v>0</v>
      </c>
      <c r="EQ29">
        <f>SUMIF('Mi portafolio'!$A$8:$A$19,$A29,'Mi portafolio'!$B$8:$B$19)</f>
        <v>0</v>
      </c>
    </row>
    <row r="30" spans="1:147" x14ac:dyDescent="0.25">
      <c r="A30" s="34" t="s">
        <v>105</v>
      </c>
      <c r="B30">
        <v>1.6108299999999999E-3</v>
      </c>
      <c r="C30">
        <v>8.6161599999999994E-3</v>
      </c>
      <c r="D30">
        <v>4.3224300000000004E-3</v>
      </c>
      <c r="E30">
        <v>8.5955800000000002E-3</v>
      </c>
      <c r="F30">
        <v>4.7111599999999998E-3</v>
      </c>
      <c r="G30">
        <v>1.0803979999999999E-2</v>
      </c>
      <c r="H30">
        <v>1.404121E-2</v>
      </c>
      <c r="I30">
        <v>5.47979E-3</v>
      </c>
      <c r="J30">
        <v>2.9566599999999998E-3</v>
      </c>
      <c r="K30">
        <v>6.79438E-3</v>
      </c>
      <c r="L30">
        <v>1.499674E-2</v>
      </c>
      <c r="M30">
        <v>1.5108709999999999E-2</v>
      </c>
      <c r="N30">
        <v>6.3386400000000004E-3</v>
      </c>
      <c r="O30">
        <v>2.0538290000000001E-2</v>
      </c>
      <c r="P30">
        <v>3.5343000000000002E-3</v>
      </c>
      <c r="Q30">
        <v>6.6369200000000001E-3</v>
      </c>
      <c r="R30">
        <v>7.1850100000000004E-3</v>
      </c>
      <c r="S30">
        <v>1.443556E-2</v>
      </c>
      <c r="T30">
        <v>3.5673499999999999E-3</v>
      </c>
      <c r="U30">
        <v>1.6524179999999999E-2</v>
      </c>
      <c r="V30">
        <v>1.8524990000000002E-2</v>
      </c>
      <c r="W30">
        <v>1.217125E-2</v>
      </c>
      <c r="X30">
        <v>5.3841799999999997E-3</v>
      </c>
      <c r="Y30">
        <v>1.1887000000000001E-4</v>
      </c>
      <c r="Z30">
        <v>5.8201179999999998E-2</v>
      </c>
      <c r="AA30">
        <v>1.089394E-2</v>
      </c>
      <c r="AB30">
        <v>5.3501999999999998E-4</v>
      </c>
      <c r="AC30">
        <v>1.2185649999999999E-2</v>
      </c>
      <c r="AD30">
        <v>1.5864260000000002E-2</v>
      </c>
      <c r="AE30">
        <v>1.8698940000000001E-2</v>
      </c>
      <c r="AF30">
        <v>1.7778789999999999E-2</v>
      </c>
      <c r="AG30">
        <v>8.0232000000000003E-4</v>
      </c>
      <c r="AH30">
        <v>-1.8843200000000001E-3</v>
      </c>
      <c r="AI30">
        <v>-4.0248000000000003E-3</v>
      </c>
      <c r="AJ30">
        <v>1.104832E-2</v>
      </c>
      <c r="AK30">
        <v>2.534633E-2</v>
      </c>
      <c r="AL30">
        <v>2.2104E-3</v>
      </c>
      <c r="AM30">
        <v>2.0063669999999999E-2</v>
      </c>
      <c r="AN30">
        <v>1.1241930000000001E-2</v>
      </c>
      <c r="AO30">
        <v>4.8714E-4</v>
      </c>
      <c r="AP30">
        <v>3.73143E-3</v>
      </c>
      <c r="AQ30">
        <v>-1.5364E-3</v>
      </c>
      <c r="AR30">
        <v>1.4426300000000001E-3</v>
      </c>
      <c r="AS30">
        <v>2.1064490000000002E-2</v>
      </c>
      <c r="AT30">
        <v>3.6741199999999999E-3</v>
      </c>
      <c r="AU30">
        <v>7.3563400000000003E-3</v>
      </c>
      <c r="AV30">
        <v>1.7515630000000001E-2</v>
      </c>
      <c r="AW30">
        <v>2.5698479999999999E-2</v>
      </c>
      <c r="AX30">
        <v>6.8415999999999998E-3</v>
      </c>
      <c r="AY30">
        <v>1.33073E-3</v>
      </c>
      <c r="AZ30">
        <v>1.7424769999999999E-2</v>
      </c>
      <c r="BA30">
        <v>1.31792E-2</v>
      </c>
      <c r="BB30">
        <v>5.2659400000000002E-3</v>
      </c>
      <c r="BC30">
        <v>1.396095E-2</v>
      </c>
      <c r="BD30">
        <v>2.3387560000000002E-2</v>
      </c>
      <c r="BE30">
        <v>6.4442700000000002E-3</v>
      </c>
      <c r="BF30">
        <v>3.3419240000000003E-2</v>
      </c>
      <c r="BG30">
        <v>3.8710900000000002E-3</v>
      </c>
      <c r="BH30">
        <v>2.442536E-2</v>
      </c>
      <c r="BI30">
        <v>9.5363199999999992E-3</v>
      </c>
      <c r="BJ30">
        <v>-6.9659500000000003E-3</v>
      </c>
      <c r="BK30">
        <v>2.252846E-2</v>
      </c>
      <c r="BL30">
        <v>1.402609E-2</v>
      </c>
      <c r="BM30">
        <v>2.36075E-3</v>
      </c>
      <c r="BN30">
        <v>-1.5048000000000001E-4</v>
      </c>
      <c r="BO30">
        <v>4.0769300000000003E-3</v>
      </c>
      <c r="BP30">
        <v>1.8128700000000001E-3</v>
      </c>
      <c r="BQ30">
        <v>3.008332E-2</v>
      </c>
      <c r="BR30">
        <v>2.5392499999999998E-3</v>
      </c>
      <c r="BS30">
        <v>-9.0867099999999996E-3</v>
      </c>
      <c r="BT30">
        <v>9.9229499999999998E-3</v>
      </c>
      <c r="BU30">
        <v>2.347202E-2</v>
      </c>
      <c r="BV30">
        <v>7.6979000000000001E-4</v>
      </c>
      <c r="BW30">
        <v>6.6732099999999997E-3</v>
      </c>
      <c r="BX30">
        <v>-6.3310999999999999E-4</v>
      </c>
      <c r="BY30">
        <v>1.197379E-2</v>
      </c>
      <c r="BZ30">
        <v>9.2884899999999999E-3</v>
      </c>
      <c r="CA30">
        <v>1.87487E-2</v>
      </c>
      <c r="CB30">
        <v>-8.0928700000000003E-3</v>
      </c>
      <c r="CC30">
        <v>1.0207899999999999E-3</v>
      </c>
      <c r="CD30">
        <v>9.2635900000000004E-3</v>
      </c>
      <c r="CE30">
        <v>-1.34844E-3</v>
      </c>
      <c r="CF30">
        <v>-5.4917400000000002E-3</v>
      </c>
      <c r="CG30">
        <v>6.8348200000000001E-3</v>
      </c>
      <c r="CH30">
        <v>3.0579019999999998E-2</v>
      </c>
      <c r="CI30">
        <v>-9.0526800000000004E-3</v>
      </c>
      <c r="CJ30">
        <v>1.56964E-3</v>
      </c>
      <c r="CK30">
        <v>4.1040900000000003E-3</v>
      </c>
      <c r="CL30">
        <v>1.049873E-2</v>
      </c>
      <c r="CM30">
        <v>6.5640400000000002E-3</v>
      </c>
      <c r="CN30">
        <v>2.1515670000000001E-2</v>
      </c>
      <c r="CO30">
        <v>1.0856060000000001E-2</v>
      </c>
      <c r="CP30">
        <v>7.4109099999999997E-3</v>
      </c>
      <c r="CQ30">
        <v>1.0528819999999999E-2</v>
      </c>
      <c r="CR30">
        <v>1.003954E-2</v>
      </c>
      <c r="CS30">
        <v>1.323673E-2</v>
      </c>
      <c r="CT30">
        <v>1.458111E-2</v>
      </c>
      <c r="CU30">
        <v>1.471712E-2</v>
      </c>
      <c r="CV30">
        <v>9.7531900000000001E-3</v>
      </c>
      <c r="CW30">
        <v>1.0979589999999999E-2</v>
      </c>
      <c r="CX30">
        <v>1.362293E-2</v>
      </c>
      <c r="CY30">
        <v>1.318426E-2</v>
      </c>
      <c r="CZ30">
        <v>4.3197299999999999E-3</v>
      </c>
      <c r="DA30">
        <v>5.4025999999999998E-4</v>
      </c>
      <c r="DB30">
        <v>1.553596E-2</v>
      </c>
      <c r="DC30">
        <v>2.610285E-2</v>
      </c>
      <c r="DD30">
        <v>8.3163200000000003E-3</v>
      </c>
      <c r="DE30">
        <v>2.292845E-2</v>
      </c>
      <c r="DF30">
        <v>-4.3292999999999999E-4</v>
      </c>
      <c r="DG30">
        <v>2.700141E-2</v>
      </c>
      <c r="DH30">
        <v>1.1238150000000001E-2</v>
      </c>
      <c r="DI30">
        <v>1.1051109999999999E-2</v>
      </c>
      <c r="DJ30">
        <v>1.3100550000000001E-2</v>
      </c>
      <c r="DK30">
        <v>1.0364709999999999E-2</v>
      </c>
      <c r="DL30">
        <v>3.9795959999999998E-2</v>
      </c>
      <c r="DM30">
        <v>2.355809E-2</v>
      </c>
      <c r="DN30">
        <v>9.7677400000000004E-3</v>
      </c>
      <c r="DO30">
        <v>-4.0393E-3</v>
      </c>
      <c r="DP30">
        <v>1.921788E-2</v>
      </c>
      <c r="DQ30">
        <v>5.9427500000000001E-3</v>
      </c>
      <c r="DR30">
        <v>1.966654E-2</v>
      </c>
      <c r="DS30">
        <v>4.5336999999999998E-4</v>
      </c>
      <c r="DT30">
        <v>1.036284E-2</v>
      </c>
      <c r="DU30">
        <v>1.9827129999999998E-2</v>
      </c>
      <c r="DV30">
        <v>7.61708E-3</v>
      </c>
      <c r="DW30">
        <v>5.8967899999999998E-3</v>
      </c>
      <c r="DX30">
        <v>8.3503699999999993E-3</v>
      </c>
      <c r="DY30">
        <v>1.370322E-2</v>
      </c>
      <c r="DZ30">
        <v>5.0959400000000002E-3</v>
      </c>
      <c r="EA30">
        <v>2.527629E-2</v>
      </c>
      <c r="EB30">
        <v>2.2517530000000001E-2</v>
      </c>
      <c r="EC30">
        <v>1.4711989999999999E-2</v>
      </c>
      <c r="ED30">
        <v>2.6256160000000001E-2</v>
      </c>
      <c r="EE30">
        <v>1.2046869999999999E-2</v>
      </c>
      <c r="EF30">
        <v>2.6399740000000001E-2</v>
      </c>
      <c r="EG30">
        <v>9.1162399999999994E-3</v>
      </c>
      <c r="EH30">
        <v>4.34878E-3</v>
      </c>
      <c r="EI30">
        <v>1.8402089999999999E-2</v>
      </c>
      <c r="EJ30">
        <v>3.4951490000000002E-2</v>
      </c>
      <c r="EK30">
        <v>2.5784230000000002E-2</v>
      </c>
      <c r="EL30">
        <v>2.480104E-2</v>
      </c>
      <c r="EM30">
        <v>2.1018519999999999E-2</v>
      </c>
      <c r="EN30">
        <v>3.2178690000000003E-2</v>
      </c>
      <c r="EO30">
        <v>2.345912E-2</v>
      </c>
      <c r="EP30">
        <f t="shared" si="0"/>
        <v>0</v>
      </c>
      <c r="EQ30">
        <f>SUMIF('Mi portafolio'!$A$8:$A$19,$A30,'Mi portafolio'!$B$8:$B$19)</f>
        <v>0</v>
      </c>
    </row>
    <row r="31" spans="1:147" x14ac:dyDescent="0.25">
      <c r="A31" s="34" t="s">
        <v>106</v>
      </c>
      <c r="B31">
        <v>2.1379099999999998E-3</v>
      </c>
      <c r="C31">
        <v>3.6592500000000002E-3</v>
      </c>
      <c r="D31">
        <v>4.1253599999999998E-3</v>
      </c>
      <c r="E31">
        <v>9.6992699999999994E-3</v>
      </c>
      <c r="F31">
        <v>1.314017E-2</v>
      </c>
      <c r="G31">
        <v>4.0591100000000003E-3</v>
      </c>
      <c r="H31">
        <v>1.0521900000000001E-2</v>
      </c>
      <c r="I31">
        <v>1.04038E-2</v>
      </c>
      <c r="J31">
        <v>8.4655600000000004E-3</v>
      </c>
      <c r="K31">
        <v>1.058127E-2</v>
      </c>
      <c r="L31">
        <v>1.509801E-2</v>
      </c>
      <c r="M31">
        <v>1.0886689999999999E-2</v>
      </c>
      <c r="N31">
        <v>9.1482400000000002E-3</v>
      </c>
      <c r="O31">
        <v>1.9273510000000001E-2</v>
      </c>
      <c r="P31">
        <v>9.9522399999999994E-3</v>
      </c>
      <c r="Q31">
        <v>6.2730000000000004E-5</v>
      </c>
      <c r="R31">
        <v>1.2005419999999999E-2</v>
      </c>
      <c r="S31">
        <v>1.1893300000000001E-2</v>
      </c>
      <c r="T31">
        <v>6.5302299999999997E-3</v>
      </c>
      <c r="U31">
        <v>1.550171E-2</v>
      </c>
      <c r="V31">
        <v>1.4032299999999999E-2</v>
      </c>
      <c r="W31">
        <v>2.550179E-2</v>
      </c>
      <c r="X31">
        <v>8.3679800000000006E-3</v>
      </c>
      <c r="Y31">
        <v>6.6757700000000001E-3</v>
      </c>
      <c r="Z31">
        <v>1.089394E-2</v>
      </c>
      <c r="AA31">
        <v>5.6388489999999999E-2</v>
      </c>
      <c r="AB31">
        <v>7.1455399999999997E-3</v>
      </c>
      <c r="AC31">
        <v>8.2007399999999998E-3</v>
      </c>
      <c r="AD31">
        <v>1.14588E-2</v>
      </c>
      <c r="AE31">
        <v>1.7047730000000001E-2</v>
      </c>
      <c r="AF31">
        <v>1.9067319999999999E-2</v>
      </c>
      <c r="AG31">
        <v>4.8996300000000003E-3</v>
      </c>
      <c r="AH31">
        <v>9.16579E-3</v>
      </c>
      <c r="AI31">
        <v>-6.4041799999999998E-3</v>
      </c>
      <c r="AJ31">
        <v>1.289732E-2</v>
      </c>
      <c r="AK31">
        <v>1.372493E-2</v>
      </c>
      <c r="AL31">
        <v>9.7738200000000008E-3</v>
      </c>
      <c r="AM31">
        <v>1.5489940000000001E-2</v>
      </c>
      <c r="AN31">
        <v>1.4583270000000001E-2</v>
      </c>
      <c r="AO31">
        <v>1.1530200000000001E-2</v>
      </c>
      <c r="AP31">
        <v>1.4081369999999999E-2</v>
      </c>
      <c r="AQ31">
        <v>-5.8501500000000001E-3</v>
      </c>
      <c r="AR31">
        <v>9.8955599999999994E-3</v>
      </c>
      <c r="AS31">
        <v>1.6256369999999999E-2</v>
      </c>
      <c r="AT31">
        <v>7.9017299999999992E-3</v>
      </c>
      <c r="AU31">
        <v>1.0104810000000001E-2</v>
      </c>
      <c r="AV31">
        <v>1.169509E-2</v>
      </c>
      <c r="AW31">
        <v>3.8566799999999999E-3</v>
      </c>
      <c r="AX31">
        <v>1.6156650000000002E-2</v>
      </c>
      <c r="AY31">
        <v>9.0605100000000008E-3</v>
      </c>
      <c r="AZ31">
        <v>2.1285100000000001E-2</v>
      </c>
      <c r="BA31">
        <v>1.487545E-2</v>
      </c>
      <c r="BB31">
        <v>9.2685000000000007E-3</v>
      </c>
      <c r="BC31">
        <v>1.13682E-2</v>
      </c>
      <c r="BD31">
        <v>1.768956E-2</v>
      </c>
      <c r="BE31">
        <v>1.175724E-2</v>
      </c>
      <c r="BF31">
        <v>1.4947210000000001E-2</v>
      </c>
      <c r="BG31">
        <v>-1.3456200000000001E-3</v>
      </c>
      <c r="BH31">
        <v>5.0707800000000004E-3</v>
      </c>
      <c r="BI31">
        <v>1.62514E-3</v>
      </c>
      <c r="BJ31">
        <v>-6.3453999999999995E-4</v>
      </c>
      <c r="BK31">
        <v>1.870925E-2</v>
      </c>
      <c r="BL31">
        <v>8.9418599999999994E-3</v>
      </c>
      <c r="BM31">
        <v>1.3654390000000001E-2</v>
      </c>
      <c r="BN31">
        <v>1.13546E-3</v>
      </c>
      <c r="BO31">
        <v>4.6454900000000004E-3</v>
      </c>
      <c r="BP31">
        <v>7.0708999999999998E-3</v>
      </c>
      <c r="BQ31">
        <v>2.088129E-2</v>
      </c>
      <c r="BR31">
        <v>1.486824E-2</v>
      </c>
      <c r="BS31">
        <v>-1.121015E-2</v>
      </c>
      <c r="BT31">
        <v>1.19174E-2</v>
      </c>
      <c r="BU31">
        <v>9.7487000000000008E-3</v>
      </c>
      <c r="BV31">
        <v>2.2056799999999998E-3</v>
      </c>
      <c r="BW31">
        <v>1.251961E-2</v>
      </c>
      <c r="BX31">
        <v>1.8202400000000001E-3</v>
      </c>
      <c r="BY31">
        <v>1.7411670000000001E-2</v>
      </c>
      <c r="BZ31">
        <v>1.497278E-2</v>
      </c>
      <c r="CA31">
        <v>1.815346E-2</v>
      </c>
      <c r="CB31">
        <v>-7.1481799999999996E-3</v>
      </c>
      <c r="CC31">
        <v>-3.0441000000000002E-4</v>
      </c>
      <c r="CD31">
        <v>7.0920100000000002E-3</v>
      </c>
      <c r="CE31">
        <v>6.5578099999999999E-3</v>
      </c>
      <c r="CF31">
        <v>-5.5824200000000003E-3</v>
      </c>
      <c r="CG31">
        <v>5.9881500000000002E-3</v>
      </c>
      <c r="CH31">
        <v>1.6981340000000001E-2</v>
      </c>
      <c r="CI31">
        <v>-1.2897749999999999E-2</v>
      </c>
      <c r="CJ31">
        <v>1.65402E-3</v>
      </c>
      <c r="CK31">
        <v>-4.6367000000000001E-4</v>
      </c>
      <c r="CL31">
        <v>1.9076449999999998E-2</v>
      </c>
      <c r="CM31">
        <v>-6.3062200000000004E-3</v>
      </c>
      <c r="CN31">
        <v>1.144595E-2</v>
      </c>
      <c r="CO31">
        <v>2.5735799999999998E-3</v>
      </c>
      <c r="CP31">
        <v>3.9879299999999998E-3</v>
      </c>
      <c r="CQ31">
        <v>1.523185E-2</v>
      </c>
      <c r="CR31">
        <v>9.6895699999999998E-3</v>
      </c>
      <c r="CS31">
        <v>9.9921200000000002E-3</v>
      </c>
      <c r="CT31">
        <v>1.2522520000000001E-2</v>
      </c>
      <c r="CU31">
        <v>4.37741E-3</v>
      </c>
      <c r="CV31">
        <v>-3.2686799999999999E-3</v>
      </c>
      <c r="CW31">
        <v>2.2577750000000001E-2</v>
      </c>
      <c r="CX31">
        <v>1.8911890000000001E-2</v>
      </c>
      <c r="CY31">
        <v>1.262598E-2</v>
      </c>
      <c r="CZ31">
        <v>9.27096E-3</v>
      </c>
      <c r="DA31">
        <v>-5.2063999999999999E-3</v>
      </c>
      <c r="DB31">
        <v>6.2076800000000001E-3</v>
      </c>
      <c r="DC31">
        <v>3.1872270000000001E-2</v>
      </c>
      <c r="DD31">
        <v>5.3921300000000002E-3</v>
      </c>
      <c r="DE31">
        <v>1.024314E-2</v>
      </c>
      <c r="DF31">
        <v>2.38551E-3</v>
      </c>
      <c r="DG31">
        <v>7.5711900000000002E-3</v>
      </c>
      <c r="DH31">
        <v>1.8125800000000001E-3</v>
      </c>
      <c r="DI31">
        <v>2.1546289999999999E-2</v>
      </c>
      <c r="DJ31">
        <v>1.1289189999999999E-2</v>
      </c>
      <c r="DK31">
        <v>1.9531219999999998E-2</v>
      </c>
      <c r="DL31">
        <v>1.5129719999999999E-2</v>
      </c>
      <c r="DM31">
        <v>2.9526320000000002E-2</v>
      </c>
      <c r="DN31">
        <v>1.1007110000000001E-2</v>
      </c>
      <c r="DO31">
        <v>1.6083690000000001E-2</v>
      </c>
      <c r="DP31">
        <v>1.3727059999999999E-2</v>
      </c>
      <c r="DQ31">
        <v>8.5110499999999992E-3</v>
      </c>
      <c r="DR31">
        <v>8.1775500000000004E-3</v>
      </c>
      <c r="DS31">
        <v>6.3761299999999998E-3</v>
      </c>
      <c r="DT31">
        <v>1.5997E-4</v>
      </c>
      <c r="DU31">
        <v>5.0176999999999999E-3</v>
      </c>
      <c r="DV31">
        <v>-1.3398399999999999E-3</v>
      </c>
      <c r="DW31">
        <v>-2.2317700000000001E-3</v>
      </c>
      <c r="DX31">
        <v>9.8672099999999995E-3</v>
      </c>
      <c r="DY31">
        <v>2.63349E-3</v>
      </c>
      <c r="DZ31">
        <v>4.2616900000000003E-3</v>
      </c>
      <c r="EA31">
        <v>1.0305190000000001E-2</v>
      </c>
      <c r="EB31">
        <v>-1.2218999999999999E-3</v>
      </c>
      <c r="EC31">
        <v>3.6529100000000001E-3</v>
      </c>
      <c r="ED31">
        <v>1.9228550000000001E-2</v>
      </c>
      <c r="EE31">
        <v>1.2885829999999999E-2</v>
      </c>
      <c r="EF31">
        <v>7.0301999999999995E-4</v>
      </c>
      <c r="EG31">
        <v>2.1230260000000001E-2</v>
      </c>
      <c r="EH31">
        <v>3.4018899999999999E-3</v>
      </c>
      <c r="EI31">
        <v>1.1654609999999999E-2</v>
      </c>
      <c r="EJ31">
        <v>2.0053060000000001E-2</v>
      </c>
      <c r="EK31">
        <v>1.053286E-2</v>
      </c>
      <c r="EL31">
        <v>2.302835E-2</v>
      </c>
      <c r="EM31">
        <v>-3.44385E-3</v>
      </c>
      <c r="EN31">
        <v>4.7740749999999998E-2</v>
      </c>
      <c r="EO31">
        <v>-8.1677199999999998E-3</v>
      </c>
      <c r="EP31">
        <f t="shared" si="0"/>
        <v>0</v>
      </c>
      <c r="EQ31">
        <f>SUMIF('Mi portafolio'!$A$8:$A$19,$A31,'Mi portafolio'!$B$8:$B$19)</f>
        <v>0</v>
      </c>
    </row>
    <row r="32" spans="1:147" x14ac:dyDescent="0.25">
      <c r="A32" s="34" t="s">
        <v>107</v>
      </c>
      <c r="B32">
        <v>1.9524759999999999E-2</v>
      </c>
      <c r="C32">
        <v>1.38272E-3</v>
      </c>
      <c r="D32">
        <v>1.4982699999999999E-3</v>
      </c>
      <c r="E32">
        <v>2.5729400000000001E-3</v>
      </c>
      <c r="F32">
        <v>1.5871039999999999E-2</v>
      </c>
      <c r="G32">
        <v>-6.7086999999999995E-4</v>
      </c>
      <c r="H32">
        <v>-4.7863999999999997E-3</v>
      </c>
      <c r="I32">
        <v>2.0611419999999998E-2</v>
      </c>
      <c r="J32">
        <v>1.1427029999999999E-2</v>
      </c>
      <c r="K32">
        <v>1.5788509999999999E-2</v>
      </c>
      <c r="L32">
        <v>6.0051100000000001E-3</v>
      </c>
      <c r="M32">
        <v>1.263046E-2</v>
      </c>
      <c r="N32">
        <v>1.422937E-2</v>
      </c>
      <c r="O32">
        <v>1.48909E-3</v>
      </c>
      <c r="P32">
        <v>1.800235E-2</v>
      </c>
      <c r="Q32">
        <v>1.8725999999999999E-4</v>
      </c>
      <c r="R32">
        <v>1.1374159999999999E-2</v>
      </c>
      <c r="S32">
        <v>4.3020999999999997E-3</v>
      </c>
      <c r="T32">
        <v>2.1722890000000002E-2</v>
      </c>
      <c r="U32">
        <v>2.1394000000000001E-3</v>
      </c>
      <c r="V32">
        <v>1.73755E-3</v>
      </c>
      <c r="W32">
        <v>1.7101200000000001E-3</v>
      </c>
      <c r="X32">
        <v>2.2648189999999999E-2</v>
      </c>
      <c r="Y32">
        <v>5.1005979999999999E-2</v>
      </c>
      <c r="Z32">
        <v>5.3501999999999998E-4</v>
      </c>
      <c r="AA32">
        <v>7.1455399999999997E-3</v>
      </c>
      <c r="AB32">
        <v>5.8680059999999999E-2</v>
      </c>
      <c r="AC32">
        <v>1.06831E-3</v>
      </c>
      <c r="AD32">
        <v>-1.98351E-3</v>
      </c>
      <c r="AE32">
        <v>6.1945899999999998E-3</v>
      </c>
      <c r="AF32">
        <v>-3.8432599999999998E-3</v>
      </c>
      <c r="AG32">
        <v>1.1709860000000001E-2</v>
      </c>
      <c r="AH32">
        <v>9.0737700000000001E-3</v>
      </c>
      <c r="AI32">
        <v>5.5504899999999999E-3</v>
      </c>
      <c r="AJ32">
        <v>-5.0527599999999999E-3</v>
      </c>
      <c r="AK32">
        <v>-8.9508000000000003E-4</v>
      </c>
      <c r="AL32">
        <v>1.771644E-2</v>
      </c>
      <c r="AM32">
        <v>6.6127800000000004E-3</v>
      </c>
      <c r="AN32">
        <v>2.1819649999999999E-2</v>
      </c>
      <c r="AO32">
        <v>1.9139639999999999E-2</v>
      </c>
      <c r="AP32">
        <v>2.137472E-2</v>
      </c>
      <c r="AQ32">
        <v>5.2505E-3</v>
      </c>
      <c r="AR32">
        <v>2.3185979999999998E-2</v>
      </c>
      <c r="AS32">
        <v>-2.4812100000000002E-3</v>
      </c>
      <c r="AT32">
        <v>3.561893E-2</v>
      </c>
      <c r="AU32">
        <v>1.13849E-2</v>
      </c>
      <c r="AV32">
        <v>1.93644E-3</v>
      </c>
      <c r="AW32">
        <v>-7.4133999999999995E-4</v>
      </c>
      <c r="AX32">
        <v>1.9498229999999998E-2</v>
      </c>
      <c r="AY32">
        <v>2.7217209999999999E-2</v>
      </c>
      <c r="AZ32">
        <v>6.0552999999999996E-3</v>
      </c>
      <c r="BA32">
        <v>1.1469969999999999E-2</v>
      </c>
      <c r="BB32">
        <v>2.1579640000000001E-2</v>
      </c>
      <c r="BC32">
        <v>-1.0597899999999999E-3</v>
      </c>
      <c r="BD32">
        <v>3.3172499999999999E-3</v>
      </c>
      <c r="BE32">
        <v>1.8967419999999999E-2</v>
      </c>
      <c r="BF32">
        <v>-2.1591900000000001E-3</v>
      </c>
      <c r="BG32">
        <v>2.4440920000000001E-2</v>
      </c>
      <c r="BH32">
        <v>2.3766E-4</v>
      </c>
      <c r="BI32">
        <v>6.02135E-3</v>
      </c>
      <c r="BJ32">
        <v>1.50011E-3</v>
      </c>
      <c r="BK32">
        <v>5.68047E-3</v>
      </c>
      <c r="BL32">
        <v>4.2376000000000002E-4</v>
      </c>
      <c r="BM32">
        <v>1.7742069999999999E-2</v>
      </c>
      <c r="BN32">
        <v>1.5843059999999999E-2</v>
      </c>
      <c r="BO32">
        <v>1.404824E-2</v>
      </c>
      <c r="BP32">
        <v>2.4802009999999999E-2</v>
      </c>
      <c r="BQ32">
        <v>-1.20152E-3</v>
      </c>
      <c r="BR32">
        <v>1.889103E-2</v>
      </c>
      <c r="BS32">
        <v>-3.9723999999999998E-4</v>
      </c>
      <c r="BT32">
        <v>1.425769E-2</v>
      </c>
      <c r="BU32">
        <v>-1.80171E-3</v>
      </c>
      <c r="BV32">
        <v>2.2907009999999998E-2</v>
      </c>
      <c r="BW32">
        <v>1.6948459999999999E-2</v>
      </c>
      <c r="BX32">
        <v>6.5467399999999997E-3</v>
      </c>
      <c r="BY32">
        <v>1.8552519999999999E-2</v>
      </c>
      <c r="BZ32">
        <v>1.2576230000000001E-2</v>
      </c>
      <c r="CA32">
        <v>-5.47717E-3</v>
      </c>
      <c r="CB32">
        <v>3.14277E-3</v>
      </c>
      <c r="CC32">
        <v>2.3487859999999999E-2</v>
      </c>
      <c r="CD32">
        <v>2.933885E-2</v>
      </c>
      <c r="CE32">
        <v>6.8303299999999999E-3</v>
      </c>
      <c r="CF32">
        <v>1.5785199999999999E-3</v>
      </c>
      <c r="CG32">
        <v>3.2050420000000003E-2</v>
      </c>
      <c r="CH32">
        <v>7.2703000000000004E-4</v>
      </c>
      <c r="CI32">
        <v>2.9132300000000002E-3</v>
      </c>
      <c r="CJ32">
        <v>2.8085789999999999E-2</v>
      </c>
      <c r="CK32">
        <v>3.4095010000000002E-2</v>
      </c>
      <c r="CL32">
        <v>7.2574199999999997E-3</v>
      </c>
      <c r="CM32">
        <v>-3.4943800000000001E-3</v>
      </c>
      <c r="CN32">
        <v>1.09797E-3</v>
      </c>
      <c r="CO32">
        <v>6.3157700000000001E-3</v>
      </c>
      <c r="CP32">
        <v>1.1328909999999999E-2</v>
      </c>
      <c r="CQ32">
        <v>2.9353790000000001E-2</v>
      </c>
      <c r="CR32">
        <v>-2.3413800000000001E-3</v>
      </c>
      <c r="CS32">
        <v>-7.3941600000000003E-3</v>
      </c>
      <c r="CT32">
        <v>2.3939200000000001E-2</v>
      </c>
      <c r="CU32">
        <v>3.0453000000000001E-4</v>
      </c>
      <c r="CV32">
        <v>2.4848410000000001E-2</v>
      </c>
      <c r="CW32">
        <v>3.3676600000000001E-2</v>
      </c>
      <c r="CX32">
        <v>3.2462240000000003E-2</v>
      </c>
      <c r="CY32">
        <v>3.5908830000000003E-2</v>
      </c>
      <c r="CZ32">
        <v>2.4798939999999998E-2</v>
      </c>
      <c r="DA32">
        <v>3.3443359999999998E-2</v>
      </c>
      <c r="DB32">
        <v>1.8130799999999999E-3</v>
      </c>
      <c r="DC32">
        <v>7.00148E-3</v>
      </c>
      <c r="DD32">
        <v>4.3455550000000003E-2</v>
      </c>
      <c r="DE32">
        <v>-2.4946E-3</v>
      </c>
      <c r="DF32">
        <v>3.6546509999999997E-2</v>
      </c>
      <c r="DG32">
        <v>-1.6731999999999999E-3</v>
      </c>
      <c r="DH32">
        <v>-9.4575800000000002E-3</v>
      </c>
      <c r="DI32">
        <v>3.176876E-2</v>
      </c>
      <c r="DJ32">
        <v>4.3028900000000002E-2</v>
      </c>
      <c r="DK32">
        <v>2.894677E-2</v>
      </c>
      <c r="DL32">
        <v>-1.560626E-2</v>
      </c>
      <c r="DM32">
        <v>4.3439510000000001E-2</v>
      </c>
      <c r="DN32">
        <v>3.9000010000000002E-2</v>
      </c>
      <c r="DO32">
        <v>-2.57873E-3</v>
      </c>
      <c r="DP32">
        <v>3.9333180000000002E-2</v>
      </c>
      <c r="DQ32">
        <v>-1.7592279999999998E-2</v>
      </c>
      <c r="DR32">
        <v>-2.4275899999999999E-3</v>
      </c>
      <c r="DS32">
        <v>4.0133519999999999E-2</v>
      </c>
      <c r="DT32">
        <v>-5.7145900000000003E-3</v>
      </c>
      <c r="DU32">
        <v>1.9300959999999999E-2</v>
      </c>
      <c r="DV32">
        <v>2.581162E-2</v>
      </c>
      <c r="DW32">
        <v>5.0856249999999999E-2</v>
      </c>
      <c r="DX32">
        <v>-1.6361089999999998E-2</v>
      </c>
      <c r="DY32">
        <v>5.3580780000000001E-2</v>
      </c>
      <c r="DZ32">
        <v>1.371675E-2</v>
      </c>
      <c r="EA32">
        <v>4.8204099999999998E-3</v>
      </c>
      <c r="EB32">
        <v>3.8592580000000001E-2</v>
      </c>
      <c r="EC32">
        <v>2.52141E-3</v>
      </c>
      <c r="ED32">
        <v>1.5263840000000001E-2</v>
      </c>
      <c r="EE32">
        <v>-1.8627350000000001E-2</v>
      </c>
      <c r="EF32">
        <v>1.6089780000000001E-2</v>
      </c>
      <c r="EG32">
        <v>-1.203021E-2</v>
      </c>
      <c r="EH32">
        <v>3.9945229999999998E-2</v>
      </c>
      <c r="EI32">
        <v>-2.7780920000000001E-2</v>
      </c>
      <c r="EJ32">
        <v>1.8176230000000002E-2</v>
      </c>
      <c r="EK32">
        <v>-2.0038899999999999E-3</v>
      </c>
      <c r="EL32">
        <v>-1.374073E-2</v>
      </c>
      <c r="EM32">
        <v>1.426435E-2</v>
      </c>
      <c r="EN32">
        <v>2.3970020000000002E-2</v>
      </c>
      <c r="EO32">
        <v>1.788787E-2</v>
      </c>
      <c r="EP32">
        <f t="shared" si="0"/>
        <v>0</v>
      </c>
      <c r="EQ32">
        <f>SUMIF('Mi portafolio'!$A$8:$A$19,$A32,'Mi portafolio'!$B$8:$B$19)</f>
        <v>0</v>
      </c>
    </row>
    <row r="33" spans="1:147" x14ac:dyDescent="0.25">
      <c r="A33" s="34" t="s">
        <v>108</v>
      </c>
      <c r="B33">
        <v>1.4050499999999999E-3</v>
      </c>
      <c r="C33">
        <v>1.86414E-3</v>
      </c>
      <c r="D33">
        <v>3.7257100000000001E-3</v>
      </c>
      <c r="E33">
        <v>1.484684E-2</v>
      </c>
      <c r="F33">
        <v>-1.41898E-3</v>
      </c>
      <c r="G33">
        <v>7.8424399999999991E-3</v>
      </c>
      <c r="H33">
        <v>1.182163E-2</v>
      </c>
      <c r="I33">
        <v>1.37444E-3</v>
      </c>
      <c r="J33">
        <v>-7.6449899999999999E-3</v>
      </c>
      <c r="K33">
        <v>2.0266300000000002E-3</v>
      </c>
      <c r="L33">
        <v>6.1011599999999996E-3</v>
      </c>
      <c r="M33">
        <v>5.4500800000000004E-3</v>
      </c>
      <c r="N33">
        <v>1.57708E-3</v>
      </c>
      <c r="O33">
        <v>1.7067929999999999E-2</v>
      </c>
      <c r="P33">
        <v>5.8976999999999999E-4</v>
      </c>
      <c r="Q33">
        <v>7.0089999999999996E-4</v>
      </c>
      <c r="R33">
        <v>2.15899E-3</v>
      </c>
      <c r="S33">
        <v>5.9868200000000003E-3</v>
      </c>
      <c r="T33">
        <v>2.7742399999999999E-3</v>
      </c>
      <c r="U33">
        <v>1.3647029999999999E-2</v>
      </c>
      <c r="V33">
        <v>1.655059E-2</v>
      </c>
      <c r="W33">
        <v>7.8463600000000001E-3</v>
      </c>
      <c r="X33">
        <v>5.7180900000000003E-3</v>
      </c>
      <c r="Y33">
        <v>2.6406200000000002E-3</v>
      </c>
      <c r="Z33">
        <v>1.2185649999999999E-2</v>
      </c>
      <c r="AA33">
        <v>8.2007399999999998E-3</v>
      </c>
      <c r="AB33">
        <v>1.06831E-3</v>
      </c>
      <c r="AC33">
        <v>5.9317719999999997E-2</v>
      </c>
      <c r="AD33">
        <v>1.1771999999999999E-2</v>
      </c>
      <c r="AE33">
        <v>1.1398480000000001E-2</v>
      </c>
      <c r="AF33">
        <v>1.0191739999999999E-2</v>
      </c>
      <c r="AG33">
        <v>-2.8387400000000002E-3</v>
      </c>
      <c r="AH33">
        <v>-3.9651399999999998E-3</v>
      </c>
      <c r="AI33">
        <v>4.21223E-3</v>
      </c>
      <c r="AJ33">
        <v>6.8291200000000002E-3</v>
      </c>
      <c r="AK33">
        <v>1.3537759999999999E-2</v>
      </c>
      <c r="AL33">
        <v>-4.4787899999999999E-3</v>
      </c>
      <c r="AM33">
        <v>1.0348980000000001E-2</v>
      </c>
      <c r="AN33">
        <v>4.1697000000000001E-4</v>
      </c>
      <c r="AO33">
        <v>-9.2667700000000006E-3</v>
      </c>
      <c r="AP33">
        <v>1.25596E-3</v>
      </c>
      <c r="AQ33">
        <v>4.8225100000000003E-3</v>
      </c>
      <c r="AR33">
        <v>-1.1350399999999999E-3</v>
      </c>
      <c r="AS33">
        <v>5.3113300000000004E-3</v>
      </c>
      <c r="AT33">
        <v>1.43103E-3</v>
      </c>
      <c r="AU33">
        <v>-2.39113E-3</v>
      </c>
      <c r="AV33">
        <v>1.7788149999999999E-2</v>
      </c>
      <c r="AW33">
        <v>1.4838489999999999E-2</v>
      </c>
      <c r="AX33">
        <v>-4.9207299999999999E-3</v>
      </c>
      <c r="AY33">
        <v>-1.2120799999999999E-3</v>
      </c>
      <c r="AZ33">
        <v>9.3086899999999997E-3</v>
      </c>
      <c r="BA33">
        <v>4.3720599999999997E-3</v>
      </c>
      <c r="BB33">
        <v>4.1254899999999999E-3</v>
      </c>
      <c r="BC33">
        <v>1.6184589999999999E-2</v>
      </c>
      <c r="BD33">
        <v>1.010397E-2</v>
      </c>
      <c r="BE33">
        <v>-3.5253999999999998E-4</v>
      </c>
      <c r="BF33">
        <v>1.3274609999999999E-2</v>
      </c>
      <c r="BG33">
        <v>8.9209000000000001E-4</v>
      </c>
      <c r="BH33">
        <v>1.9536020000000001E-2</v>
      </c>
      <c r="BI33">
        <v>1.394246E-2</v>
      </c>
      <c r="BJ33">
        <v>3.3763500000000002E-3</v>
      </c>
      <c r="BK33">
        <v>1.066373E-2</v>
      </c>
      <c r="BL33">
        <v>-5.2981999999999997E-4</v>
      </c>
      <c r="BM33">
        <v>-2.0290600000000001E-3</v>
      </c>
      <c r="BN33">
        <v>-1.82646E-3</v>
      </c>
      <c r="BO33">
        <v>3.2934000000000001E-3</v>
      </c>
      <c r="BP33">
        <v>6.0644100000000001E-3</v>
      </c>
      <c r="BQ33">
        <v>9.3876600000000008E-3</v>
      </c>
      <c r="BR33">
        <v>-5.5725499999999999E-3</v>
      </c>
      <c r="BS33">
        <v>5.8726999999999998E-4</v>
      </c>
      <c r="BT33">
        <v>8.9617599999999992E-3</v>
      </c>
      <c r="BU33">
        <v>6.5699399999999998E-3</v>
      </c>
      <c r="BV33">
        <v>8.2845E-4</v>
      </c>
      <c r="BW33">
        <v>9.1323999999999995E-4</v>
      </c>
      <c r="BX33">
        <v>-9.1936399999999995E-3</v>
      </c>
      <c r="BY33">
        <v>8.6986500000000005E-3</v>
      </c>
      <c r="BZ33">
        <v>2.9626399999999999E-3</v>
      </c>
      <c r="CA33">
        <v>2.4847279999999999E-2</v>
      </c>
      <c r="CB33">
        <v>-3.4281200000000002E-3</v>
      </c>
      <c r="CC33">
        <v>-7.2622399999999997E-3</v>
      </c>
      <c r="CD33">
        <v>-4.5875100000000004E-3</v>
      </c>
      <c r="CE33">
        <v>6.4379800000000003E-3</v>
      </c>
      <c r="CF33">
        <v>-4.3568900000000004E-3</v>
      </c>
      <c r="CG33">
        <v>-8.0522100000000006E-3</v>
      </c>
      <c r="CH33">
        <v>1.9931750000000002E-2</v>
      </c>
      <c r="CI33">
        <v>-2.2384999999999999E-4</v>
      </c>
      <c r="CJ33">
        <v>6.7088299999999998E-3</v>
      </c>
      <c r="CK33">
        <v>-3.3453699999999999E-3</v>
      </c>
      <c r="CL33">
        <v>4.1475899999999996E-3</v>
      </c>
      <c r="CM33">
        <v>-1.46002E-3</v>
      </c>
      <c r="CN33">
        <v>1.604498E-2</v>
      </c>
      <c r="CO33">
        <v>-4.9180999999999999E-3</v>
      </c>
      <c r="CP33">
        <v>-3.0376499999999998E-3</v>
      </c>
      <c r="CQ33">
        <v>4.7193900000000004E-3</v>
      </c>
      <c r="CR33">
        <v>6.0724999999999998E-3</v>
      </c>
      <c r="CS33">
        <v>1.051678E-2</v>
      </c>
      <c r="CT33">
        <v>1.352356E-2</v>
      </c>
      <c r="CU33">
        <v>2.75347E-3</v>
      </c>
      <c r="CV33">
        <v>1.132886E-2</v>
      </c>
      <c r="CW33">
        <v>1.081389E-2</v>
      </c>
      <c r="CX33">
        <v>4.8657400000000003E-3</v>
      </c>
      <c r="CY33">
        <v>8.7007400000000002E-3</v>
      </c>
      <c r="CZ33">
        <v>-5.2235399999999996E-3</v>
      </c>
      <c r="DA33">
        <v>-1.110153E-2</v>
      </c>
      <c r="DB33">
        <v>1.76417E-2</v>
      </c>
      <c r="DC33">
        <v>1.3460700000000001E-2</v>
      </c>
      <c r="DD33">
        <v>8.1190199999999994E-3</v>
      </c>
      <c r="DE33">
        <v>8.7239399999999995E-3</v>
      </c>
      <c r="DF33">
        <v>-3.4287900000000001E-3</v>
      </c>
      <c r="DG33">
        <v>1.4533040000000001E-2</v>
      </c>
      <c r="DH33">
        <v>1.219371E-2</v>
      </c>
      <c r="DI33">
        <v>1.4533010000000001E-2</v>
      </c>
      <c r="DJ33">
        <v>-8.2633999999999995E-4</v>
      </c>
      <c r="DK33">
        <v>4.4146599999999999E-3</v>
      </c>
      <c r="DL33">
        <v>2.7029379999999999E-2</v>
      </c>
      <c r="DM33">
        <v>1.3640040000000001E-2</v>
      </c>
      <c r="DN33">
        <v>-1.8269099999999999E-3</v>
      </c>
      <c r="DO33">
        <v>1.9418149999999999E-2</v>
      </c>
      <c r="DP33">
        <v>6.4683500000000003E-3</v>
      </c>
      <c r="DQ33">
        <v>1.035469E-2</v>
      </c>
      <c r="DR33">
        <v>8.50185E-3</v>
      </c>
      <c r="DS33">
        <v>-1.0137719999999999E-2</v>
      </c>
      <c r="DT33">
        <v>1.7189739999999998E-2</v>
      </c>
      <c r="DU33">
        <v>1.578893E-2</v>
      </c>
      <c r="DV33">
        <v>7.7447699999999998E-3</v>
      </c>
      <c r="DW33">
        <v>-6.3454799999999997E-3</v>
      </c>
      <c r="DX33">
        <v>6.57809E-3</v>
      </c>
      <c r="DY33">
        <v>5.8693999999999999E-4</v>
      </c>
      <c r="DZ33">
        <v>-1.106177E-2</v>
      </c>
      <c r="EA33">
        <v>-1.001694E-2</v>
      </c>
      <c r="EB33">
        <v>5.9092299999999997E-3</v>
      </c>
      <c r="EC33">
        <v>2.334425E-2</v>
      </c>
      <c r="ED33">
        <v>9.4620599999999996E-3</v>
      </c>
      <c r="EE33">
        <v>1.8823309999999999E-2</v>
      </c>
      <c r="EF33">
        <v>-5.4458199999999997E-3</v>
      </c>
      <c r="EG33">
        <v>3.4064199999999998E-3</v>
      </c>
      <c r="EH33">
        <v>-1.948956E-2</v>
      </c>
      <c r="EI33">
        <v>4.3097500000000002E-3</v>
      </c>
      <c r="EJ33">
        <v>2.0100099999999999E-2</v>
      </c>
      <c r="EK33">
        <v>2.9828449999999999E-2</v>
      </c>
      <c r="EL33">
        <v>2.6674349999999999E-2</v>
      </c>
      <c r="EM33">
        <v>-2.2209600000000001E-3</v>
      </c>
      <c r="EN33">
        <v>8.1668000000000001E-3</v>
      </c>
      <c r="EO33">
        <v>9.0978900000000008E-3</v>
      </c>
      <c r="EP33">
        <f t="shared" si="0"/>
        <v>0</v>
      </c>
      <c r="EQ33">
        <f>SUMIF('Mi portafolio'!$A$8:$A$19,$A33,'Mi portafolio'!$B$8:$B$19)</f>
        <v>0</v>
      </c>
    </row>
    <row r="34" spans="1:147" x14ac:dyDescent="0.25">
      <c r="A34" s="34" t="s">
        <v>109</v>
      </c>
      <c r="B34">
        <v>2.5251000000000002E-3</v>
      </c>
      <c r="C34">
        <v>8.4078499999999997E-3</v>
      </c>
      <c r="D34">
        <v>8.6386999999999998E-4</v>
      </c>
      <c r="E34">
        <v>1.17208E-2</v>
      </c>
      <c r="F34">
        <v>6.7176500000000004E-3</v>
      </c>
      <c r="G34">
        <v>1.9474E-3</v>
      </c>
      <c r="H34">
        <v>1.0936090000000001E-2</v>
      </c>
      <c r="I34">
        <v>3.58947E-3</v>
      </c>
      <c r="J34">
        <v>5.9400800000000004E-3</v>
      </c>
      <c r="K34">
        <v>7.4002900000000003E-3</v>
      </c>
      <c r="L34">
        <v>1.1129770000000001E-2</v>
      </c>
      <c r="M34">
        <v>8.8676299999999996E-3</v>
      </c>
      <c r="N34">
        <v>9.6022000000000002E-4</v>
      </c>
      <c r="O34">
        <v>1.5742240000000001E-2</v>
      </c>
      <c r="P34">
        <v>5.9172299999999999E-3</v>
      </c>
      <c r="Q34">
        <v>1.6791200000000001E-3</v>
      </c>
      <c r="R34">
        <v>3.7720700000000002E-3</v>
      </c>
      <c r="S34">
        <v>1.527879E-2</v>
      </c>
      <c r="T34">
        <v>-2.4694500000000002E-3</v>
      </c>
      <c r="U34">
        <v>1.521144E-2</v>
      </c>
      <c r="V34">
        <v>1.5543619999999999E-2</v>
      </c>
      <c r="W34">
        <v>2.0308469999999999E-2</v>
      </c>
      <c r="X34">
        <v>1.7369499999999999E-3</v>
      </c>
      <c r="Y34">
        <v>1.11819E-3</v>
      </c>
      <c r="Z34">
        <v>1.5864260000000002E-2</v>
      </c>
      <c r="AA34">
        <v>1.14588E-2</v>
      </c>
      <c r="AB34">
        <v>-1.98351E-3</v>
      </c>
      <c r="AC34">
        <v>1.1771999999999999E-2</v>
      </c>
      <c r="AD34">
        <v>5.965724E-2</v>
      </c>
      <c r="AE34">
        <v>1.7459390000000002E-2</v>
      </c>
      <c r="AF34">
        <v>1.91174E-2</v>
      </c>
      <c r="AG34">
        <v>8.0167199999999997E-3</v>
      </c>
      <c r="AH34">
        <v>4.7361199999999999E-3</v>
      </c>
      <c r="AI34">
        <v>1.97583E-3</v>
      </c>
      <c r="AJ34">
        <v>9.7907299999999992E-3</v>
      </c>
      <c r="AK34">
        <v>1.8482169999999999E-2</v>
      </c>
      <c r="AL34">
        <v>2.9670299999999998E-3</v>
      </c>
      <c r="AM34">
        <v>8.5878599999999992E-3</v>
      </c>
      <c r="AN34">
        <v>4.2896599999999998E-3</v>
      </c>
      <c r="AO34">
        <v>6.6140999999999997E-4</v>
      </c>
      <c r="AP34">
        <v>-2.5000600000000001E-3</v>
      </c>
      <c r="AQ34">
        <v>3.2525499999999999E-3</v>
      </c>
      <c r="AR34">
        <v>-1.7105099999999999E-3</v>
      </c>
      <c r="AS34">
        <v>1.08278E-2</v>
      </c>
      <c r="AT34">
        <v>-4.1577599999999999E-3</v>
      </c>
      <c r="AU34">
        <v>3.4142899999999999E-3</v>
      </c>
      <c r="AV34">
        <v>1.8373400000000002E-2</v>
      </c>
      <c r="AW34">
        <v>2.2764710000000001E-2</v>
      </c>
      <c r="AX34">
        <v>2.49125E-3</v>
      </c>
      <c r="AY34">
        <v>6.0653800000000004E-3</v>
      </c>
      <c r="AZ34">
        <v>1.2364780000000001E-2</v>
      </c>
      <c r="BA34">
        <v>1.333077E-2</v>
      </c>
      <c r="BB34">
        <v>-4.7509999999999997E-5</v>
      </c>
      <c r="BC34">
        <v>1.7148630000000002E-2</v>
      </c>
      <c r="BD34">
        <v>2.029922E-2</v>
      </c>
      <c r="BE34">
        <v>9.1859699999999999E-3</v>
      </c>
      <c r="BF34">
        <v>1.5085350000000001E-2</v>
      </c>
      <c r="BG34">
        <v>-5.7253999999999996E-4</v>
      </c>
      <c r="BH34">
        <v>1.510972E-2</v>
      </c>
      <c r="BI34">
        <v>1.7634300000000001E-3</v>
      </c>
      <c r="BJ34">
        <v>2.8843300000000001E-3</v>
      </c>
      <c r="BK34">
        <v>1.6544960000000001E-2</v>
      </c>
      <c r="BL34">
        <v>1.3063699999999999E-2</v>
      </c>
      <c r="BM34">
        <v>1.76542E-3</v>
      </c>
      <c r="BN34">
        <v>8.2765300000000007E-3</v>
      </c>
      <c r="BO34">
        <v>5.7728600000000003E-3</v>
      </c>
      <c r="BP34">
        <v>-5.5099499999999996E-3</v>
      </c>
      <c r="BQ34">
        <v>2.6527149999999999E-2</v>
      </c>
      <c r="BR34">
        <v>2.8693500000000001E-3</v>
      </c>
      <c r="BS34">
        <v>5.6396500000000004E-3</v>
      </c>
      <c r="BT34">
        <v>1.441166E-2</v>
      </c>
      <c r="BU34">
        <v>1.7215790000000002E-2</v>
      </c>
      <c r="BV34">
        <v>9.5060300000000004E-3</v>
      </c>
      <c r="BW34">
        <v>4.7289899999999998E-3</v>
      </c>
      <c r="BX34">
        <v>2.5046999999999999E-3</v>
      </c>
      <c r="BY34">
        <v>6.7216400000000001E-3</v>
      </c>
      <c r="BZ34">
        <v>8.4485299999999992E-3</v>
      </c>
      <c r="CA34">
        <v>2.79043E-2</v>
      </c>
      <c r="CB34">
        <v>-6.4429400000000003E-3</v>
      </c>
      <c r="CC34">
        <v>9.2301000000000004E-4</v>
      </c>
      <c r="CD34">
        <v>-3.61663E-3</v>
      </c>
      <c r="CE34">
        <v>6.0981500000000001E-3</v>
      </c>
      <c r="CF34">
        <v>7.7413999999999998E-3</v>
      </c>
      <c r="CG34">
        <v>-6.6865199999999996E-3</v>
      </c>
      <c r="CH34">
        <v>2.2890589999999999E-2</v>
      </c>
      <c r="CI34">
        <v>4.2754000000000002E-4</v>
      </c>
      <c r="CJ34">
        <v>5.1866600000000001E-3</v>
      </c>
      <c r="CK34">
        <v>3.2946899999999999E-3</v>
      </c>
      <c r="CL34">
        <v>8.9479099999999999E-3</v>
      </c>
      <c r="CM34">
        <v>-7.648E-5</v>
      </c>
      <c r="CN34">
        <v>1.4714069999999999E-2</v>
      </c>
      <c r="CO34">
        <v>1.2635189999999999E-2</v>
      </c>
      <c r="CP34">
        <v>-4.6382400000000001E-3</v>
      </c>
      <c r="CQ34">
        <v>5.5201399999999998E-3</v>
      </c>
      <c r="CR34">
        <v>1.6244629999999999E-2</v>
      </c>
      <c r="CS34">
        <v>2.041552E-2</v>
      </c>
      <c r="CT34">
        <v>1.013178E-2</v>
      </c>
      <c r="CU34">
        <v>5.6430899999999999E-3</v>
      </c>
      <c r="CV34">
        <v>4.3835599999999999E-3</v>
      </c>
      <c r="CW34">
        <v>1.2150859999999999E-2</v>
      </c>
      <c r="CX34">
        <v>1.440114E-2</v>
      </c>
      <c r="CY34">
        <v>9.60657E-3</v>
      </c>
      <c r="CZ34">
        <v>-5.4498999999999997E-3</v>
      </c>
      <c r="DA34">
        <v>-2.3225899999999998E-3</v>
      </c>
      <c r="DB34">
        <v>1.355614E-2</v>
      </c>
      <c r="DC34">
        <v>5.6706899999999999E-3</v>
      </c>
      <c r="DD34">
        <v>4.1022599999999999E-3</v>
      </c>
      <c r="DE34">
        <v>1.9760920000000001E-2</v>
      </c>
      <c r="DF34">
        <v>-2.3713060000000001E-2</v>
      </c>
      <c r="DG34">
        <v>1.3226979999999999E-2</v>
      </c>
      <c r="DH34">
        <v>1.377539E-2</v>
      </c>
      <c r="DI34">
        <v>7.4635300000000003E-3</v>
      </c>
      <c r="DJ34">
        <v>6.5200099999999997E-3</v>
      </c>
      <c r="DK34">
        <v>1.0491800000000001E-2</v>
      </c>
      <c r="DL34">
        <v>1.4698589999999999E-2</v>
      </c>
      <c r="DM34">
        <v>1.511087E-2</v>
      </c>
      <c r="DN34">
        <v>-1.38767E-2</v>
      </c>
      <c r="DO34">
        <v>1.512549E-2</v>
      </c>
      <c r="DP34">
        <v>6.3664699999999999E-3</v>
      </c>
      <c r="DQ34">
        <v>1.7276489999999999E-2</v>
      </c>
      <c r="DR34">
        <v>1.0164110000000001E-2</v>
      </c>
      <c r="DS34">
        <v>-9.64514E-3</v>
      </c>
      <c r="DT34">
        <v>-1.5429669999999999E-2</v>
      </c>
      <c r="DU34">
        <v>1.202599E-2</v>
      </c>
      <c r="DV34">
        <v>-7.5723300000000004E-3</v>
      </c>
      <c r="DW34">
        <v>-1.6786720000000002E-2</v>
      </c>
      <c r="DX34">
        <v>2.4316890000000001E-2</v>
      </c>
      <c r="DY34">
        <v>6.4461800000000001E-3</v>
      </c>
      <c r="DZ34">
        <v>-5.8641800000000001E-3</v>
      </c>
      <c r="EA34">
        <v>1.5914709999999999E-2</v>
      </c>
      <c r="EB34">
        <v>-1.6082999999999999E-4</v>
      </c>
      <c r="EC34">
        <v>7.16054E-3</v>
      </c>
      <c r="ED34">
        <v>9.6189399999999994E-3</v>
      </c>
      <c r="EE34">
        <v>2.9721620000000001E-2</v>
      </c>
      <c r="EF34">
        <v>1.356182E-2</v>
      </c>
      <c r="EG34">
        <v>3.7125329999999998E-2</v>
      </c>
      <c r="EH34">
        <v>-1.524344E-2</v>
      </c>
      <c r="EI34">
        <v>2.263014E-2</v>
      </c>
      <c r="EJ34">
        <v>2.7420369999999999E-2</v>
      </c>
      <c r="EK34">
        <v>2.3557410000000001E-2</v>
      </c>
      <c r="EL34">
        <v>3.4596950000000001E-2</v>
      </c>
      <c r="EM34">
        <v>1.6401829999999999E-2</v>
      </c>
      <c r="EN34">
        <v>1.2883E-2</v>
      </c>
      <c r="EO34">
        <v>-1.4017470000000001E-2</v>
      </c>
      <c r="EP34">
        <f t="shared" si="0"/>
        <v>0</v>
      </c>
      <c r="EQ34">
        <f>SUMIF('Mi portafolio'!$A$8:$A$19,$A34,'Mi portafolio'!$B$8:$B$19)</f>
        <v>0</v>
      </c>
    </row>
    <row r="35" spans="1:147" x14ac:dyDescent="0.25">
      <c r="A35" s="34" t="s">
        <v>110</v>
      </c>
      <c r="B35">
        <v>2.1880000000000001E-5</v>
      </c>
      <c r="C35">
        <v>8.6914799999999997E-3</v>
      </c>
      <c r="D35">
        <v>9.0071300000000003E-3</v>
      </c>
      <c r="E35">
        <v>9.32528E-3</v>
      </c>
      <c r="F35">
        <v>-3.6952E-3</v>
      </c>
      <c r="G35">
        <v>1.1111950000000001E-2</v>
      </c>
      <c r="H35">
        <v>1.09847E-2</v>
      </c>
      <c r="I35">
        <v>2.4706099999999998E-3</v>
      </c>
      <c r="J35">
        <v>-4.6543000000000001E-3</v>
      </c>
      <c r="K35">
        <v>2.1811999999999999E-3</v>
      </c>
      <c r="L35">
        <v>1.276506E-2</v>
      </c>
      <c r="M35">
        <v>1.306234E-2</v>
      </c>
      <c r="N35">
        <v>1.6710000000000001E-5</v>
      </c>
      <c r="O35">
        <v>1.769983E-2</v>
      </c>
      <c r="P35">
        <v>1.4569299999999999E-3</v>
      </c>
      <c r="Q35">
        <v>3.9814300000000002E-3</v>
      </c>
      <c r="R35">
        <v>1.1452999999999999E-3</v>
      </c>
      <c r="S35">
        <v>1.307177E-2</v>
      </c>
      <c r="T35">
        <v>9.2168600000000003E-3</v>
      </c>
      <c r="U35">
        <v>1.8894830000000001E-2</v>
      </c>
      <c r="V35">
        <v>1.489888E-2</v>
      </c>
      <c r="W35">
        <v>8.5275000000000004E-3</v>
      </c>
      <c r="X35">
        <v>8.4502499999999994E-3</v>
      </c>
      <c r="Y35">
        <v>8.4380099999999993E-3</v>
      </c>
      <c r="Z35">
        <v>1.8698940000000001E-2</v>
      </c>
      <c r="AA35">
        <v>1.7047730000000001E-2</v>
      </c>
      <c r="AB35">
        <v>6.1945899999999998E-3</v>
      </c>
      <c r="AC35">
        <v>1.1398480000000001E-2</v>
      </c>
      <c r="AD35">
        <v>1.7459390000000002E-2</v>
      </c>
      <c r="AE35">
        <v>6.2031799999999998E-2</v>
      </c>
      <c r="AF35">
        <v>2.8105910000000001E-2</v>
      </c>
      <c r="AG35">
        <v>-5.2295800000000002E-3</v>
      </c>
      <c r="AH35">
        <v>-3.5216700000000002E-3</v>
      </c>
      <c r="AI35">
        <v>-1.821592E-2</v>
      </c>
      <c r="AJ35">
        <v>1.5112530000000001E-2</v>
      </c>
      <c r="AK35">
        <v>2.454775E-2</v>
      </c>
      <c r="AL35">
        <v>7.0923399999999999E-3</v>
      </c>
      <c r="AM35">
        <v>1.6240810000000001E-2</v>
      </c>
      <c r="AN35">
        <v>1.4728420000000001E-2</v>
      </c>
      <c r="AO35">
        <v>-2.2000000000000001E-3</v>
      </c>
      <c r="AP35">
        <v>5.5219600000000002E-3</v>
      </c>
      <c r="AQ35">
        <v>-1.6578610000000001E-2</v>
      </c>
      <c r="AR35">
        <v>1.0439759999999999E-2</v>
      </c>
      <c r="AS35">
        <v>2.5380550000000002E-2</v>
      </c>
      <c r="AT35">
        <v>1.507971E-2</v>
      </c>
      <c r="AU35">
        <v>-2.4739200000000001E-3</v>
      </c>
      <c r="AV35">
        <v>2.2493180000000002E-2</v>
      </c>
      <c r="AW35">
        <v>2.1717E-2</v>
      </c>
      <c r="AX35">
        <v>3.9807799999999997E-3</v>
      </c>
      <c r="AY35">
        <v>5.6823200000000003E-3</v>
      </c>
      <c r="AZ35">
        <v>4.7981929999999999E-2</v>
      </c>
      <c r="BA35">
        <v>1.605032E-2</v>
      </c>
      <c r="BB35">
        <v>1.9046859999999999E-2</v>
      </c>
      <c r="BC35">
        <v>1.563954E-2</v>
      </c>
      <c r="BD35">
        <v>3.086974E-2</v>
      </c>
      <c r="BE35">
        <v>3.8036400000000001E-3</v>
      </c>
      <c r="BF35">
        <v>2.4060519999999998E-2</v>
      </c>
      <c r="BG35">
        <v>8.9810500000000008E-3</v>
      </c>
      <c r="BH35">
        <v>1.9025259999999999E-2</v>
      </c>
      <c r="BI35">
        <v>1.047322E-2</v>
      </c>
      <c r="BJ35">
        <v>6.4715700000000003E-3</v>
      </c>
      <c r="BK35">
        <v>5.3320119999999999E-2</v>
      </c>
      <c r="BL35">
        <v>1.229602E-2</v>
      </c>
      <c r="BM35">
        <v>2.6054300000000002E-3</v>
      </c>
      <c r="BN35">
        <v>-4.0842300000000003E-3</v>
      </c>
      <c r="BO35">
        <v>1.173044E-2</v>
      </c>
      <c r="BP35">
        <v>3.4212000000000001E-3</v>
      </c>
      <c r="BQ35">
        <v>2.8502710000000001E-2</v>
      </c>
      <c r="BR35">
        <v>1.3079439999999999E-2</v>
      </c>
      <c r="BS35">
        <v>-1.9312329999999999E-2</v>
      </c>
      <c r="BT35">
        <v>2.492337E-2</v>
      </c>
      <c r="BU35">
        <v>2.3421580000000001E-2</v>
      </c>
      <c r="BV35">
        <v>9.5549899999999993E-3</v>
      </c>
      <c r="BW35">
        <v>1.2489999999999999E-2</v>
      </c>
      <c r="BX35">
        <v>-2.95182E-3</v>
      </c>
      <c r="BY35">
        <v>1.5933249999999999E-2</v>
      </c>
      <c r="BZ35">
        <v>1.388297E-2</v>
      </c>
      <c r="CA35">
        <v>2.5357970000000001E-2</v>
      </c>
      <c r="CB35">
        <v>-6.3968300000000001E-3</v>
      </c>
      <c r="CC35">
        <v>-3.4857299999999998E-3</v>
      </c>
      <c r="CD35">
        <v>9.8171600000000001E-3</v>
      </c>
      <c r="CE35">
        <v>1.306183E-2</v>
      </c>
      <c r="CF35">
        <v>-1.973101E-2</v>
      </c>
      <c r="CG35">
        <v>1.1455069999999999E-2</v>
      </c>
      <c r="CH35">
        <v>3.4024060000000002E-2</v>
      </c>
      <c r="CI35">
        <v>-2.3135269999999999E-2</v>
      </c>
      <c r="CJ35">
        <v>-8.6874000000000001E-4</v>
      </c>
      <c r="CK35">
        <v>4.5031100000000003E-3</v>
      </c>
      <c r="CL35">
        <v>1.054624E-2</v>
      </c>
      <c r="CM35">
        <v>1.053367E-2</v>
      </c>
      <c r="CN35">
        <v>1.3064849999999999E-2</v>
      </c>
      <c r="CO35">
        <v>1.174387E-2</v>
      </c>
      <c r="CP35">
        <v>-1.5754899999999999E-3</v>
      </c>
      <c r="CQ35">
        <v>2.2647339999999998E-2</v>
      </c>
      <c r="CR35">
        <v>2.1939879999999998E-2</v>
      </c>
      <c r="CS35">
        <v>2.570329E-2</v>
      </c>
      <c r="CT35">
        <v>1.104258E-2</v>
      </c>
      <c r="CU35">
        <v>1.3571659999999999E-2</v>
      </c>
      <c r="CV35">
        <v>1.4216080000000001E-2</v>
      </c>
      <c r="CW35">
        <v>1.545696E-2</v>
      </c>
      <c r="CX35">
        <v>2.2169299999999999E-2</v>
      </c>
      <c r="CY35">
        <v>2.942467E-2</v>
      </c>
      <c r="CZ35">
        <v>3.2400599999999999E-3</v>
      </c>
      <c r="DA35">
        <v>7.4810999999999996E-4</v>
      </c>
      <c r="DB35">
        <v>1.4891980000000001E-2</v>
      </c>
      <c r="DC35">
        <v>4.9201990000000001E-2</v>
      </c>
      <c r="DD35">
        <v>2.2052120000000001E-2</v>
      </c>
      <c r="DE35">
        <v>3.5448300000000002E-2</v>
      </c>
      <c r="DF35">
        <v>-1.6163770000000001E-2</v>
      </c>
      <c r="DG35">
        <v>2.6687900000000001E-2</v>
      </c>
      <c r="DH35">
        <v>1.934891E-2</v>
      </c>
      <c r="DI35">
        <v>2.9173109999999999E-2</v>
      </c>
      <c r="DJ35">
        <v>2.178486E-2</v>
      </c>
      <c r="DK35">
        <v>3.3162949999999997E-2</v>
      </c>
      <c r="DL35">
        <v>3.6790299999999998E-2</v>
      </c>
      <c r="DM35">
        <v>3.8645329999999999E-2</v>
      </c>
      <c r="DN35">
        <v>-8.7609100000000002E-3</v>
      </c>
      <c r="DO35">
        <v>1.9664129999999998E-2</v>
      </c>
      <c r="DP35">
        <v>2.9967520000000001E-2</v>
      </c>
      <c r="DQ35">
        <v>1.5655450000000001E-2</v>
      </c>
      <c r="DR35">
        <v>6.1862899999999997E-3</v>
      </c>
      <c r="DS35">
        <v>-4.13978E-3</v>
      </c>
      <c r="DT35">
        <v>6.0302999999999997E-3</v>
      </c>
      <c r="DU35">
        <v>2.2633710000000001E-2</v>
      </c>
      <c r="DV35">
        <v>2.1707000000000001E-4</v>
      </c>
      <c r="DW35">
        <v>9.1138299999999998E-3</v>
      </c>
      <c r="DX35">
        <v>3.4896049999999998E-2</v>
      </c>
      <c r="DY35">
        <v>2.455278E-2</v>
      </c>
      <c r="DZ35">
        <v>-5.0553799999999999E-3</v>
      </c>
      <c r="EA35">
        <v>2.5357359999999999E-2</v>
      </c>
      <c r="EB35">
        <v>2.293098E-2</v>
      </c>
      <c r="EC35">
        <v>2.1219829999999999E-2</v>
      </c>
      <c r="ED35">
        <v>4.1471510000000003E-2</v>
      </c>
      <c r="EE35">
        <v>3.012913E-2</v>
      </c>
      <c r="EF35">
        <v>1.7055029999999999E-2</v>
      </c>
      <c r="EG35">
        <v>2.6017760000000001E-2</v>
      </c>
      <c r="EH35">
        <v>-1.2940439999999999E-2</v>
      </c>
      <c r="EI35">
        <v>3.5316630000000002E-2</v>
      </c>
      <c r="EJ35">
        <v>4.9199020000000003E-2</v>
      </c>
      <c r="EK35">
        <v>2.2517949999999998E-2</v>
      </c>
      <c r="EL35">
        <v>4.1571829999999997E-2</v>
      </c>
      <c r="EM35">
        <v>-1.550345E-2</v>
      </c>
      <c r="EN35">
        <v>2.2817199999999999E-2</v>
      </c>
      <c r="EO35">
        <v>2.1459300000000001E-2</v>
      </c>
      <c r="EP35">
        <f t="shared" si="0"/>
        <v>0</v>
      </c>
      <c r="EQ35">
        <f>SUMIF('Mi portafolio'!$A$8:$A$19,$A35,'Mi portafolio'!$B$8:$B$19)</f>
        <v>0</v>
      </c>
    </row>
    <row r="36" spans="1:147" x14ac:dyDescent="0.25">
      <c r="A36" s="34" t="s">
        <v>111</v>
      </c>
      <c r="B36">
        <v>-6.0646199999999997E-3</v>
      </c>
      <c r="C36">
        <v>1.049109E-2</v>
      </c>
      <c r="D36">
        <v>8.6347500000000001E-3</v>
      </c>
      <c r="E36">
        <v>1.7051409999999999E-2</v>
      </c>
      <c r="F36">
        <v>-5.0852900000000001E-3</v>
      </c>
      <c r="G36">
        <v>1.01251E-2</v>
      </c>
      <c r="H36">
        <v>1.356655E-2</v>
      </c>
      <c r="I36">
        <v>-7.0627999999999999E-4</v>
      </c>
      <c r="J36">
        <v>-4.5646E-4</v>
      </c>
      <c r="K36">
        <v>-3.3827699999999998E-3</v>
      </c>
      <c r="L36">
        <v>1.53432E-2</v>
      </c>
      <c r="M36">
        <v>6.8284499999999998E-3</v>
      </c>
      <c r="N36">
        <v>-2.9140999999999998E-4</v>
      </c>
      <c r="O36">
        <v>2.5083609999999999E-2</v>
      </c>
      <c r="P36">
        <v>3.4954000000000002E-4</v>
      </c>
      <c r="Q36">
        <v>2.5713899999999998E-3</v>
      </c>
      <c r="R36">
        <v>-1.5554200000000001E-3</v>
      </c>
      <c r="S36">
        <v>1.7006230000000001E-2</v>
      </c>
      <c r="T36">
        <v>4.6031099999999997E-3</v>
      </c>
      <c r="U36">
        <v>2.4170190000000001E-2</v>
      </c>
      <c r="V36">
        <v>2.473732E-2</v>
      </c>
      <c r="W36">
        <v>1.929815E-2</v>
      </c>
      <c r="X36">
        <v>8.8992399999999992E-3</v>
      </c>
      <c r="Y36">
        <v>-1.3738800000000001E-3</v>
      </c>
      <c r="Z36">
        <v>1.7778789999999999E-2</v>
      </c>
      <c r="AA36">
        <v>1.9067319999999999E-2</v>
      </c>
      <c r="AB36">
        <v>-3.8432599999999998E-3</v>
      </c>
      <c r="AC36">
        <v>1.0191739999999999E-2</v>
      </c>
      <c r="AD36">
        <v>1.91174E-2</v>
      </c>
      <c r="AE36">
        <v>2.8105910000000001E-2</v>
      </c>
      <c r="AF36">
        <v>6.5339289999999994E-2</v>
      </c>
      <c r="AG36">
        <v>-3.8178399999999999E-3</v>
      </c>
      <c r="AH36">
        <v>-3.2684400000000001E-3</v>
      </c>
      <c r="AI36">
        <v>-1.065376E-2</v>
      </c>
      <c r="AJ36">
        <v>1.6090759999999999E-2</v>
      </c>
      <c r="AK36">
        <v>3.2570990000000001E-2</v>
      </c>
      <c r="AL36">
        <v>1.4021999999999999E-3</v>
      </c>
      <c r="AM36">
        <v>1.933089E-2</v>
      </c>
      <c r="AN36">
        <v>-1.9073000000000001E-4</v>
      </c>
      <c r="AO36">
        <v>-3.46875E-3</v>
      </c>
      <c r="AP36">
        <v>2.8025699999999999E-3</v>
      </c>
      <c r="AQ36">
        <v>-5.7637900000000004E-3</v>
      </c>
      <c r="AR36">
        <v>5.9994499999999999E-3</v>
      </c>
      <c r="AS36">
        <v>2.9325469999999999E-2</v>
      </c>
      <c r="AT36">
        <v>7.2457000000000001E-4</v>
      </c>
      <c r="AU36">
        <v>8.653E-5</v>
      </c>
      <c r="AV36">
        <v>2.304343E-2</v>
      </c>
      <c r="AW36">
        <v>2.405465E-2</v>
      </c>
      <c r="AX36">
        <v>-4.3810000000000002E-5</v>
      </c>
      <c r="AY36">
        <v>2.7293700000000001E-3</v>
      </c>
      <c r="AZ36">
        <v>3.1224080000000001E-2</v>
      </c>
      <c r="BA36">
        <v>5.3884800000000002E-3</v>
      </c>
      <c r="BB36">
        <v>1.214585E-2</v>
      </c>
      <c r="BC36">
        <v>1.773723E-2</v>
      </c>
      <c r="BD36">
        <v>2.681149E-2</v>
      </c>
      <c r="BE36">
        <v>3.9567500000000002E-3</v>
      </c>
      <c r="BF36">
        <v>2.2778530000000002E-2</v>
      </c>
      <c r="BG36">
        <v>3.3697000000000002E-4</v>
      </c>
      <c r="BH36">
        <v>1.863631E-2</v>
      </c>
      <c r="BI36">
        <v>1.621241E-2</v>
      </c>
      <c r="BJ36">
        <v>1.1304750000000001E-2</v>
      </c>
      <c r="BK36">
        <v>3.4207509999999997E-2</v>
      </c>
      <c r="BL36">
        <v>1.048733E-2</v>
      </c>
      <c r="BM36">
        <v>7.1885999999999999E-4</v>
      </c>
      <c r="BN36">
        <v>1.02881E-3</v>
      </c>
      <c r="BO36">
        <v>5.6039699999999998E-3</v>
      </c>
      <c r="BP36">
        <v>3.1160200000000002E-3</v>
      </c>
      <c r="BQ36">
        <v>3.5364810000000003E-2</v>
      </c>
      <c r="BR36">
        <v>9.7631799999999998E-3</v>
      </c>
      <c r="BS36">
        <v>-9.0840299999999999E-3</v>
      </c>
      <c r="BT36">
        <v>1.623867E-2</v>
      </c>
      <c r="BU36">
        <v>2.2951619999999999E-2</v>
      </c>
      <c r="BV36">
        <v>1.77691E-3</v>
      </c>
      <c r="BW36">
        <v>1.498527E-2</v>
      </c>
      <c r="BX36">
        <v>-3.8243999999999999E-3</v>
      </c>
      <c r="BY36">
        <v>1.93961E-3</v>
      </c>
      <c r="BZ36">
        <v>9.7245300000000003E-3</v>
      </c>
      <c r="CA36">
        <v>3.5445829999999998E-2</v>
      </c>
      <c r="CB36">
        <v>-3.37376E-3</v>
      </c>
      <c r="CC36">
        <v>1.5438299999999999E-3</v>
      </c>
      <c r="CD36">
        <v>-4.3772000000000004E-3</v>
      </c>
      <c r="CE36">
        <v>7.7308300000000002E-3</v>
      </c>
      <c r="CF36">
        <v>-7.5687599999999999E-3</v>
      </c>
      <c r="CG36">
        <v>-4.1007800000000001E-3</v>
      </c>
      <c r="CH36">
        <v>4.826573E-2</v>
      </c>
      <c r="CI36">
        <v>-1.014724E-2</v>
      </c>
      <c r="CJ36">
        <v>-9.7602299999999999E-3</v>
      </c>
      <c r="CK36">
        <v>-5.49527E-3</v>
      </c>
      <c r="CL36">
        <v>1.01268E-3</v>
      </c>
      <c r="CM36">
        <v>1.303793E-2</v>
      </c>
      <c r="CN36">
        <v>3.0886279999999999E-2</v>
      </c>
      <c r="CO36">
        <v>2.2581319999999998E-2</v>
      </c>
      <c r="CP36">
        <v>1.4195499999999999E-3</v>
      </c>
      <c r="CQ36">
        <v>1.262719E-2</v>
      </c>
      <c r="CR36">
        <v>1.436438E-2</v>
      </c>
      <c r="CS36">
        <v>2.6070400000000001E-2</v>
      </c>
      <c r="CT36">
        <v>1.6203149999999999E-2</v>
      </c>
      <c r="CU36">
        <v>8.4192699999999995E-3</v>
      </c>
      <c r="CV36">
        <v>1.9064669999999999E-2</v>
      </c>
      <c r="CW36">
        <v>1.4041339999999999E-2</v>
      </c>
      <c r="CX36">
        <v>1.9018500000000001E-2</v>
      </c>
      <c r="CY36">
        <v>7.7509399999999996E-3</v>
      </c>
      <c r="CZ36">
        <v>1.082137E-2</v>
      </c>
      <c r="DA36">
        <v>-1.543045E-2</v>
      </c>
      <c r="DB36">
        <v>3.0649559999999999E-2</v>
      </c>
      <c r="DC36">
        <v>3.3755640000000003E-2</v>
      </c>
      <c r="DD36">
        <v>8.3909299999999996E-3</v>
      </c>
      <c r="DE36">
        <v>3.879142E-2</v>
      </c>
      <c r="DF36">
        <v>-7.90918E-3</v>
      </c>
      <c r="DG36">
        <v>3.2371129999999998E-2</v>
      </c>
      <c r="DH36">
        <v>1.5320240000000001E-2</v>
      </c>
      <c r="DI36">
        <v>1.3693520000000001E-2</v>
      </c>
      <c r="DJ36">
        <v>-8.3272999999999995E-4</v>
      </c>
      <c r="DK36">
        <v>1.6202589999999999E-2</v>
      </c>
      <c r="DL36">
        <v>4.6354270000000003E-2</v>
      </c>
      <c r="DM36">
        <v>1.214491E-2</v>
      </c>
      <c r="DN36">
        <v>-1.4991500000000001E-3</v>
      </c>
      <c r="DO36">
        <v>2.380813E-2</v>
      </c>
      <c r="DP36">
        <v>1.16175E-3</v>
      </c>
      <c r="DQ36">
        <v>1.314823E-2</v>
      </c>
      <c r="DR36">
        <v>2.891326E-2</v>
      </c>
      <c r="DS36">
        <v>-6.97681E-3</v>
      </c>
      <c r="DT36">
        <v>8.4177999999999996E-3</v>
      </c>
      <c r="DU36">
        <v>2.4047700000000002E-2</v>
      </c>
      <c r="DV36">
        <v>2.279863E-2</v>
      </c>
      <c r="DW36">
        <v>-2.91005E-3</v>
      </c>
      <c r="DX36">
        <v>3.4457109999999999E-2</v>
      </c>
      <c r="DY36">
        <v>1.3003560000000001E-2</v>
      </c>
      <c r="DZ36">
        <v>7.6779999999999993E-5</v>
      </c>
      <c r="EA36">
        <v>2.0297610000000001E-2</v>
      </c>
      <c r="EB36">
        <v>1.3598270000000001E-2</v>
      </c>
      <c r="EC36">
        <v>2.1617460000000002E-2</v>
      </c>
      <c r="ED36">
        <v>3.152112E-2</v>
      </c>
      <c r="EE36">
        <v>2.847906E-2</v>
      </c>
      <c r="EF36">
        <v>2.8690650000000002E-2</v>
      </c>
      <c r="EG36">
        <v>4.1313709999999997E-2</v>
      </c>
      <c r="EH36">
        <v>-2.5380380000000001E-2</v>
      </c>
      <c r="EI36">
        <v>2.4293390000000002E-2</v>
      </c>
      <c r="EJ36">
        <v>3.1879680000000001E-2</v>
      </c>
      <c r="EK36">
        <v>2.189203E-2</v>
      </c>
      <c r="EL36">
        <v>3.7810200000000002E-2</v>
      </c>
      <c r="EM36">
        <v>3.1240399999999998E-3</v>
      </c>
      <c r="EN36">
        <v>1.3860330000000001E-2</v>
      </c>
      <c r="EO36">
        <v>-2.6179250000000001E-2</v>
      </c>
      <c r="EP36">
        <f t="shared" si="0"/>
        <v>0</v>
      </c>
      <c r="EQ36">
        <f>SUMIF('Mi portafolio'!$A$8:$A$19,$A36,'Mi portafolio'!$B$8:$B$19)</f>
        <v>0</v>
      </c>
    </row>
    <row r="37" spans="1:147" x14ac:dyDescent="0.25">
      <c r="A37" s="34" t="s">
        <v>112</v>
      </c>
      <c r="B37">
        <v>1.1331269999999999E-2</v>
      </c>
      <c r="C37">
        <v>-7.9843999999999998E-4</v>
      </c>
      <c r="D37">
        <v>-9.5644000000000002E-4</v>
      </c>
      <c r="E37">
        <v>3.9439100000000001E-3</v>
      </c>
      <c r="F37">
        <v>2.087926E-2</v>
      </c>
      <c r="G37">
        <v>-4.5873600000000004E-3</v>
      </c>
      <c r="H37">
        <v>-1.7437500000000001E-3</v>
      </c>
      <c r="I37">
        <v>1.6512059999999999E-2</v>
      </c>
      <c r="J37">
        <v>1.6376749999999999E-2</v>
      </c>
      <c r="K37">
        <v>1.9370330000000002E-2</v>
      </c>
      <c r="L37">
        <v>-1.1417E-3</v>
      </c>
      <c r="M37">
        <v>1.56908E-3</v>
      </c>
      <c r="N37">
        <v>1.1022499999999999E-2</v>
      </c>
      <c r="O37">
        <v>2.6212200000000001E-3</v>
      </c>
      <c r="P37">
        <v>1.7732290000000001E-2</v>
      </c>
      <c r="Q37">
        <v>8.7270999999999996E-4</v>
      </c>
      <c r="R37">
        <v>2.1639530000000001E-2</v>
      </c>
      <c r="S37">
        <v>6.6010299999999999E-3</v>
      </c>
      <c r="T37">
        <v>4.1620499999999996E-3</v>
      </c>
      <c r="U37">
        <v>4.0222000000000001E-3</v>
      </c>
      <c r="V37">
        <v>1.5294000000000001E-4</v>
      </c>
      <c r="W37">
        <v>5.0254000000000002E-3</v>
      </c>
      <c r="X37">
        <v>7.4681599999999997E-3</v>
      </c>
      <c r="Y37">
        <v>1.1491970000000001E-2</v>
      </c>
      <c r="Z37">
        <v>8.0232000000000003E-4</v>
      </c>
      <c r="AA37">
        <v>4.8996300000000003E-3</v>
      </c>
      <c r="AB37">
        <v>1.1709860000000001E-2</v>
      </c>
      <c r="AC37">
        <v>-2.8387400000000002E-3</v>
      </c>
      <c r="AD37">
        <v>8.0167199999999997E-3</v>
      </c>
      <c r="AE37">
        <v>-5.2295800000000002E-3</v>
      </c>
      <c r="AF37">
        <v>-3.8178399999999999E-3</v>
      </c>
      <c r="AG37">
        <v>6.7516190000000004E-2</v>
      </c>
      <c r="AH37">
        <v>5.3102169999999997E-2</v>
      </c>
      <c r="AI37">
        <v>2.3664359999999999E-2</v>
      </c>
      <c r="AJ37">
        <v>-1.0359499999999999E-3</v>
      </c>
      <c r="AK37">
        <v>-1.4680100000000001E-3</v>
      </c>
      <c r="AL37">
        <v>9.5857800000000003E-3</v>
      </c>
      <c r="AM37">
        <v>4.3458799999999999E-3</v>
      </c>
      <c r="AN37">
        <v>1.200708E-2</v>
      </c>
      <c r="AO37">
        <v>1.6537550000000002E-2</v>
      </c>
      <c r="AP37">
        <v>1.198082E-2</v>
      </c>
      <c r="AQ37">
        <v>1.9995539999999999E-2</v>
      </c>
      <c r="AR37">
        <v>7.2292700000000003E-3</v>
      </c>
      <c r="AS37">
        <v>-6.7587999999999997E-3</v>
      </c>
      <c r="AT37">
        <v>-1.14145E-3</v>
      </c>
      <c r="AU37">
        <v>1.7964129999999998E-2</v>
      </c>
      <c r="AV37">
        <v>3.6670299999999999E-3</v>
      </c>
      <c r="AW37">
        <v>-1.98336E-3</v>
      </c>
      <c r="AX37">
        <v>1.5633660000000001E-2</v>
      </c>
      <c r="AY37">
        <v>8.4505299999999995E-3</v>
      </c>
      <c r="AZ37">
        <v>-1.9707399999999999E-3</v>
      </c>
      <c r="BA37">
        <v>1.4332950000000001E-2</v>
      </c>
      <c r="BB37">
        <v>-3.3640599999999999E-3</v>
      </c>
      <c r="BC37">
        <v>3.5031E-4</v>
      </c>
      <c r="BD37">
        <v>2.8565299999999999E-3</v>
      </c>
      <c r="BE37">
        <v>2.2125200000000001E-2</v>
      </c>
      <c r="BF37">
        <v>-2.5029000000000002E-3</v>
      </c>
      <c r="BG37">
        <v>-5.1303000000000004E-4</v>
      </c>
      <c r="BH37">
        <v>-2.28831E-3</v>
      </c>
      <c r="BI37">
        <v>-4.9495199999999998E-3</v>
      </c>
      <c r="BJ37">
        <v>-1.5407800000000001E-3</v>
      </c>
      <c r="BK37">
        <v>-2.18345E-3</v>
      </c>
      <c r="BL37">
        <v>4.3687500000000002E-3</v>
      </c>
      <c r="BM37">
        <v>2.5417459999999999E-2</v>
      </c>
      <c r="BN37">
        <v>1.9341609999999999E-2</v>
      </c>
      <c r="BO37">
        <v>-2.9662600000000001E-3</v>
      </c>
      <c r="BP37">
        <v>-4.6265899999999999E-3</v>
      </c>
      <c r="BQ37">
        <v>-4.3829100000000003E-3</v>
      </c>
      <c r="BR37">
        <v>2.2064099999999998E-3</v>
      </c>
      <c r="BS37">
        <v>1.9087570000000002E-2</v>
      </c>
      <c r="BT37">
        <v>-5.78738E-3</v>
      </c>
      <c r="BU37">
        <v>-3.24077E-3</v>
      </c>
      <c r="BV37">
        <v>1.17925E-3</v>
      </c>
      <c r="BW37">
        <v>-5.3747899999999999E-3</v>
      </c>
      <c r="BX37">
        <v>1.004816E-2</v>
      </c>
      <c r="BY37">
        <v>8.43087E-3</v>
      </c>
      <c r="BZ37">
        <v>3.5811300000000001E-3</v>
      </c>
      <c r="CA37">
        <v>-3.3925000000000001E-3</v>
      </c>
      <c r="CB37">
        <v>3.8993600000000002E-3</v>
      </c>
      <c r="CC37">
        <v>1.1434069999999999E-2</v>
      </c>
      <c r="CD37">
        <v>1.3525000000000001E-4</v>
      </c>
      <c r="CE37">
        <v>-1.83343E-3</v>
      </c>
      <c r="CF37">
        <v>2.3723439999999998E-2</v>
      </c>
      <c r="CG37">
        <v>4.1958000000000004E-3</v>
      </c>
      <c r="CH37">
        <v>-1.229071E-2</v>
      </c>
      <c r="CI37">
        <v>2.470673E-2</v>
      </c>
      <c r="CJ37">
        <v>2.1494780000000002E-2</v>
      </c>
      <c r="CK37">
        <v>1.414175E-2</v>
      </c>
      <c r="CL37">
        <v>6.9057600000000004E-3</v>
      </c>
      <c r="CM37">
        <v>-1.850547E-2</v>
      </c>
      <c r="CN37">
        <v>-8.6671999999999997E-4</v>
      </c>
      <c r="CO37">
        <v>1.4776000000000001E-4</v>
      </c>
      <c r="CP37">
        <v>-7.3336800000000004E-3</v>
      </c>
      <c r="CQ37">
        <v>4.6444399999999997E-3</v>
      </c>
      <c r="CR37">
        <v>-2.306807E-2</v>
      </c>
      <c r="CS37">
        <v>-7.6852800000000001E-3</v>
      </c>
      <c r="CT37">
        <v>-5.4054999999999999E-4</v>
      </c>
      <c r="CU37">
        <v>-1.1397499999999999E-3</v>
      </c>
      <c r="CV37">
        <v>6.5793999999999998E-4</v>
      </c>
      <c r="CW37">
        <v>1.62487E-3</v>
      </c>
      <c r="CX37">
        <v>4.4371000000000002E-3</v>
      </c>
      <c r="CY37">
        <v>1.015428E-2</v>
      </c>
      <c r="CZ37">
        <v>7.1427900000000004E-3</v>
      </c>
      <c r="DA37">
        <v>1.047786E-2</v>
      </c>
      <c r="DB37">
        <v>-9.8406799999999992E-3</v>
      </c>
      <c r="DC37">
        <v>-1.5462760000000001E-2</v>
      </c>
      <c r="DD37">
        <v>-3.9419999999999999E-5</v>
      </c>
      <c r="DE37">
        <v>-1.8140860000000002E-2</v>
      </c>
      <c r="DF37">
        <v>8.7132800000000003E-3</v>
      </c>
      <c r="DG37">
        <v>-1.471305E-2</v>
      </c>
      <c r="DH37">
        <v>-1.715442E-2</v>
      </c>
      <c r="DI37">
        <v>3.6135899999999999E-3</v>
      </c>
      <c r="DJ37">
        <v>4.3980199999999999E-3</v>
      </c>
      <c r="DK37">
        <v>4.5716000000000002E-4</v>
      </c>
      <c r="DL37">
        <v>-2.059124E-2</v>
      </c>
      <c r="DM37">
        <v>2.44809E-3</v>
      </c>
      <c r="DN37">
        <v>6.9592899999999999E-3</v>
      </c>
      <c r="DO37">
        <v>-1.69068E-3</v>
      </c>
      <c r="DP37">
        <v>3.3554399999999999E-3</v>
      </c>
      <c r="DQ37">
        <v>1.3836499999999999E-3</v>
      </c>
      <c r="DR37">
        <v>-1.3421789999999999E-2</v>
      </c>
      <c r="DS37">
        <v>-5.6636000000000002E-4</v>
      </c>
      <c r="DT37">
        <v>-2.7220580000000001E-2</v>
      </c>
      <c r="DU37">
        <v>-5.9546900000000003E-3</v>
      </c>
      <c r="DV37">
        <v>-3.70243E-3</v>
      </c>
      <c r="DW37">
        <v>-5.5617599999999998E-3</v>
      </c>
      <c r="DX37">
        <v>-4.1396919999999997E-2</v>
      </c>
      <c r="DY37">
        <v>-8.7362499999999992E-3</v>
      </c>
      <c r="DZ37">
        <v>-1.3129429999999999E-2</v>
      </c>
      <c r="EA37">
        <v>-2.8416050000000002E-2</v>
      </c>
      <c r="EB37">
        <v>-1.4808740000000001E-2</v>
      </c>
      <c r="EC37">
        <v>-2.6106109999999998E-2</v>
      </c>
      <c r="ED37">
        <v>-1.311884E-2</v>
      </c>
      <c r="EE37">
        <v>-2.7144069999999999E-2</v>
      </c>
      <c r="EF37">
        <v>1.7597999999999999E-3</v>
      </c>
      <c r="EG37">
        <v>-4.1612209999999997E-2</v>
      </c>
      <c r="EH37">
        <v>7.8949199999999997E-3</v>
      </c>
      <c r="EI37">
        <v>-4.7925719999999998E-2</v>
      </c>
      <c r="EJ37">
        <v>-6.5269600000000001E-3</v>
      </c>
      <c r="EK37">
        <v>-9.8216699999999994E-3</v>
      </c>
      <c r="EL37">
        <v>-4.0728350000000003E-2</v>
      </c>
      <c r="EM37">
        <v>-2.1844619999999999E-2</v>
      </c>
      <c r="EN37">
        <v>-1.550809E-2</v>
      </c>
      <c r="EO37">
        <v>-4.3681240000000003E-2</v>
      </c>
      <c r="EP37">
        <f t="shared" si="0"/>
        <v>0</v>
      </c>
      <c r="EQ37">
        <f>SUMIF('Mi portafolio'!$A$8:$A$19,$A37,'Mi portafolio'!$B$8:$B$19)</f>
        <v>0</v>
      </c>
    </row>
    <row r="38" spans="1:147" x14ac:dyDescent="0.25">
      <c r="A38" s="34" t="s">
        <v>113</v>
      </c>
      <c r="B38">
        <v>1.336448E-2</v>
      </c>
      <c r="C38">
        <v>-1.1662E-4</v>
      </c>
      <c r="D38">
        <v>-1.55692E-3</v>
      </c>
      <c r="E38">
        <v>4.3075199999999996E-3</v>
      </c>
      <c r="F38">
        <v>2.1898560000000001E-2</v>
      </c>
      <c r="G38">
        <v>-4.6732199999999996E-3</v>
      </c>
      <c r="H38">
        <v>1.3360999999999999E-4</v>
      </c>
      <c r="I38">
        <v>1.6338950000000001E-2</v>
      </c>
      <c r="J38">
        <v>1.57523E-2</v>
      </c>
      <c r="K38">
        <v>1.989525E-2</v>
      </c>
      <c r="L38">
        <v>5.0456000000000003E-4</v>
      </c>
      <c r="M38">
        <v>2.69521E-3</v>
      </c>
      <c r="N38">
        <v>1.421974E-2</v>
      </c>
      <c r="O38">
        <v>4.2110200000000002E-3</v>
      </c>
      <c r="P38">
        <v>1.655382E-2</v>
      </c>
      <c r="Q38">
        <v>8.2540999999999995E-4</v>
      </c>
      <c r="R38">
        <v>2.5469289999999999E-2</v>
      </c>
      <c r="S38">
        <v>4.78839E-3</v>
      </c>
      <c r="T38">
        <v>4.4898999999999998E-3</v>
      </c>
      <c r="U38">
        <v>5.5947699999999998E-3</v>
      </c>
      <c r="V38">
        <v>-5.7386E-3</v>
      </c>
      <c r="W38">
        <v>6.1028599999999999E-3</v>
      </c>
      <c r="X38">
        <v>9.5095200000000005E-3</v>
      </c>
      <c r="Y38">
        <v>8.0869199999999992E-3</v>
      </c>
      <c r="Z38">
        <v>-1.8843200000000001E-3</v>
      </c>
      <c r="AA38">
        <v>9.16579E-3</v>
      </c>
      <c r="AB38">
        <v>9.0737700000000001E-3</v>
      </c>
      <c r="AC38">
        <v>-3.9651399999999998E-3</v>
      </c>
      <c r="AD38">
        <v>4.7361199999999999E-3</v>
      </c>
      <c r="AE38">
        <v>-3.5216700000000002E-3</v>
      </c>
      <c r="AF38">
        <v>-3.2684400000000001E-3</v>
      </c>
      <c r="AG38">
        <v>5.3102169999999997E-2</v>
      </c>
      <c r="AH38">
        <v>6.8344039999999995E-2</v>
      </c>
      <c r="AI38">
        <v>2.4619120000000001E-2</v>
      </c>
      <c r="AJ38">
        <v>7.4989000000000002E-4</v>
      </c>
      <c r="AK38">
        <v>-7.1832800000000002E-3</v>
      </c>
      <c r="AL38">
        <v>7.9200499999999997E-3</v>
      </c>
      <c r="AM38">
        <v>-5.2727000000000004E-4</v>
      </c>
      <c r="AN38">
        <v>1.5551010000000001E-2</v>
      </c>
      <c r="AO38">
        <v>1.7866320000000002E-2</v>
      </c>
      <c r="AP38">
        <v>1.5274090000000001E-2</v>
      </c>
      <c r="AQ38">
        <v>1.7584260000000001E-2</v>
      </c>
      <c r="AR38">
        <v>7.5745200000000004E-3</v>
      </c>
      <c r="AS38">
        <v>-4.88625E-3</v>
      </c>
      <c r="AT38">
        <v>6.9864000000000005E-4</v>
      </c>
      <c r="AU38">
        <v>1.8789520000000001E-2</v>
      </c>
      <c r="AV38">
        <v>4.8860900000000001E-3</v>
      </c>
      <c r="AW38">
        <v>-5.2948300000000004E-3</v>
      </c>
      <c r="AX38">
        <v>1.8755170000000002E-2</v>
      </c>
      <c r="AY38">
        <v>9.3887599999999995E-3</v>
      </c>
      <c r="AZ38">
        <v>-3.6258100000000001E-3</v>
      </c>
      <c r="BA38">
        <v>1.84555E-2</v>
      </c>
      <c r="BB38">
        <v>-3.83659E-3</v>
      </c>
      <c r="BC38">
        <v>-1.61418E-3</v>
      </c>
      <c r="BD38">
        <v>2.9638799999999999E-3</v>
      </c>
      <c r="BE38">
        <v>2.082084E-2</v>
      </c>
      <c r="BF38">
        <v>-1.89083E-3</v>
      </c>
      <c r="BG38">
        <v>-1.4541000000000001E-4</v>
      </c>
      <c r="BH38">
        <v>6.6394999999999996E-4</v>
      </c>
      <c r="BI38">
        <v>-3.49073E-3</v>
      </c>
      <c r="BJ38">
        <v>-8.1780900000000007E-3</v>
      </c>
      <c r="BK38">
        <v>-3.5159100000000001E-3</v>
      </c>
      <c r="BL38">
        <v>3.1941299999999999E-3</v>
      </c>
      <c r="BM38">
        <v>2.824072E-2</v>
      </c>
      <c r="BN38">
        <v>1.759782E-2</v>
      </c>
      <c r="BO38">
        <v>2.45195E-3</v>
      </c>
      <c r="BP38">
        <v>-1.2371299999999999E-3</v>
      </c>
      <c r="BQ38">
        <v>-2.6400799999999999E-3</v>
      </c>
      <c r="BR38">
        <v>5.2649100000000002E-3</v>
      </c>
      <c r="BS38">
        <v>1.8409979999999999E-2</v>
      </c>
      <c r="BT38">
        <v>1.128E-4</v>
      </c>
      <c r="BU38">
        <v>-8.52405E-3</v>
      </c>
      <c r="BV38">
        <v>2.4510500000000002E-3</v>
      </c>
      <c r="BW38">
        <v>5.3637099999999998E-3</v>
      </c>
      <c r="BX38">
        <v>1.383672E-2</v>
      </c>
      <c r="BY38">
        <v>2.53958E-3</v>
      </c>
      <c r="BZ38">
        <v>7.0875499999999998E-3</v>
      </c>
      <c r="CA38">
        <v>-2.9309800000000001E-3</v>
      </c>
      <c r="CB38">
        <v>4.6481200000000004E-3</v>
      </c>
      <c r="CC38">
        <v>6.3156200000000001E-3</v>
      </c>
      <c r="CD38">
        <v>4.7142499999999997E-3</v>
      </c>
      <c r="CE38">
        <v>-3.0591500000000001E-3</v>
      </c>
      <c r="CF38">
        <v>2.0993080000000001E-2</v>
      </c>
      <c r="CG38">
        <v>4.5575099999999999E-3</v>
      </c>
      <c r="CH38">
        <v>-1.309576E-2</v>
      </c>
      <c r="CI38">
        <v>2.3698859999999999E-2</v>
      </c>
      <c r="CJ38">
        <v>2.2711430000000001E-2</v>
      </c>
      <c r="CK38">
        <v>1.7435860000000001E-2</v>
      </c>
      <c r="CL38">
        <v>8.4716300000000008E-3</v>
      </c>
      <c r="CM38">
        <v>-1.8400159999999999E-2</v>
      </c>
      <c r="CN38">
        <v>2.52323E-3</v>
      </c>
      <c r="CO38">
        <v>-8.2215000000000001E-4</v>
      </c>
      <c r="CP38">
        <v>4.7731500000000003E-3</v>
      </c>
      <c r="CQ38">
        <v>5.0999699999999997E-3</v>
      </c>
      <c r="CR38">
        <v>-2.5387360000000001E-2</v>
      </c>
      <c r="CS38">
        <v>-1.1594299999999999E-3</v>
      </c>
      <c r="CT38">
        <v>-9.9236000000000007E-4</v>
      </c>
      <c r="CU38">
        <v>-3.4792199999999999E-3</v>
      </c>
      <c r="CV38">
        <v>-4.5815200000000004E-3</v>
      </c>
      <c r="CW38">
        <v>1.5525199999999999E-3</v>
      </c>
      <c r="CX38">
        <v>3.9856000000000001E-4</v>
      </c>
      <c r="CY38">
        <v>5.4036900000000001E-3</v>
      </c>
      <c r="CZ38">
        <v>9.7914000000000005E-3</v>
      </c>
      <c r="DA38">
        <v>5.4298799999999998E-3</v>
      </c>
      <c r="DB38">
        <v>-3.00556E-3</v>
      </c>
      <c r="DC38">
        <v>-1.2585809999999999E-2</v>
      </c>
      <c r="DD38">
        <v>1.36962E-3</v>
      </c>
      <c r="DE38">
        <v>-1.722895E-2</v>
      </c>
      <c r="DF38">
        <v>1.400505E-2</v>
      </c>
      <c r="DG38">
        <v>-1.9912820000000001E-2</v>
      </c>
      <c r="DH38">
        <v>-1.6764680000000001E-2</v>
      </c>
      <c r="DI38">
        <v>6.28569E-3</v>
      </c>
      <c r="DJ38">
        <v>-4.3651999999999997E-4</v>
      </c>
      <c r="DK38">
        <v>2.5158899999999998E-3</v>
      </c>
      <c r="DL38">
        <v>-2.8735779999999999E-2</v>
      </c>
      <c r="DM38">
        <v>2.2552900000000001E-3</v>
      </c>
      <c r="DN38">
        <v>2.6221700000000001E-3</v>
      </c>
      <c r="DO38">
        <v>2.2218300000000002E-3</v>
      </c>
      <c r="DP38">
        <v>2.6847300000000002E-3</v>
      </c>
      <c r="DQ38">
        <v>4.7148900000000002E-3</v>
      </c>
      <c r="DR38">
        <v>-8.88422E-3</v>
      </c>
      <c r="DS38">
        <v>9.2629999999999999E-5</v>
      </c>
      <c r="DT38">
        <v>-2.0629100000000001E-2</v>
      </c>
      <c r="DU38">
        <v>-8.2619000000000008E-3</v>
      </c>
      <c r="DV38">
        <v>-2.9567500000000002E-3</v>
      </c>
      <c r="DW38">
        <v>-1.7120280000000002E-2</v>
      </c>
      <c r="DX38">
        <v>-3.8851009999999998E-2</v>
      </c>
      <c r="DY38">
        <v>-7.2138999999999997E-3</v>
      </c>
      <c r="DZ38">
        <v>-7.8143799999999992E-3</v>
      </c>
      <c r="EA38">
        <v>-2.0985319999999998E-2</v>
      </c>
      <c r="EB38">
        <v>-1.781802E-2</v>
      </c>
      <c r="EC38">
        <v>-4.1416509999999997E-2</v>
      </c>
      <c r="ED38">
        <v>-9.3460100000000001E-3</v>
      </c>
      <c r="EE38">
        <v>-3.1919240000000002E-2</v>
      </c>
      <c r="EF38">
        <v>3.78496E-3</v>
      </c>
      <c r="EG38">
        <v>-3.6682770000000003E-2</v>
      </c>
      <c r="EH38">
        <v>6.156E-4</v>
      </c>
      <c r="EI38">
        <v>-4.4824240000000001E-2</v>
      </c>
      <c r="EJ38">
        <v>-4.6475199999999996E-3</v>
      </c>
      <c r="EK38">
        <v>-7.2876099999999999E-3</v>
      </c>
      <c r="EL38">
        <v>-4.4661800000000001E-2</v>
      </c>
      <c r="EM38">
        <v>-9.8882399999999995E-3</v>
      </c>
      <c r="EN38">
        <v>-6.8139100000000003E-3</v>
      </c>
      <c r="EO38">
        <v>-1.559984E-2</v>
      </c>
      <c r="EP38">
        <f t="shared" ref="EP38:EP69" si="1">SUMPRODUCT(B38:EO38,$B$5:$EO$5)</f>
        <v>0</v>
      </c>
      <c r="EQ38">
        <f>SUMIF('Mi portafolio'!$A$8:$A$19,$A38,'Mi portafolio'!$B$8:$B$19)</f>
        <v>0</v>
      </c>
    </row>
    <row r="39" spans="1:147" x14ac:dyDescent="0.25">
      <c r="A39" s="34" t="s">
        <v>114</v>
      </c>
      <c r="B39">
        <v>7.4306700000000003E-3</v>
      </c>
      <c r="C39">
        <v>-8.5767999999999999E-4</v>
      </c>
      <c r="D39">
        <v>-5.4905800000000001E-3</v>
      </c>
      <c r="E39">
        <v>3.3233899999999999E-3</v>
      </c>
      <c r="F39">
        <v>1.207886E-2</v>
      </c>
      <c r="G39">
        <v>-3.4911600000000001E-3</v>
      </c>
      <c r="H39">
        <v>-6.6414200000000003E-3</v>
      </c>
      <c r="I39">
        <v>5.4869599999999999E-3</v>
      </c>
      <c r="J39">
        <v>1.1465889999999999E-2</v>
      </c>
      <c r="K39">
        <v>3.81277E-3</v>
      </c>
      <c r="L39">
        <v>-1.2075199999999999E-3</v>
      </c>
      <c r="M39">
        <v>-3.9634900000000001E-3</v>
      </c>
      <c r="N39">
        <v>7.0310199999999998E-3</v>
      </c>
      <c r="O39">
        <v>-2.3192299999999998E-3</v>
      </c>
      <c r="P39">
        <v>1.5030999999999999E-2</v>
      </c>
      <c r="Q39">
        <v>2.6942999999999997E-4</v>
      </c>
      <c r="R39">
        <v>1.487461E-2</v>
      </c>
      <c r="S39">
        <v>-5.6308499999999997E-3</v>
      </c>
      <c r="T39">
        <v>2.4209800000000001E-3</v>
      </c>
      <c r="U39">
        <v>-5.2162900000000002E-3</v>
      </c>
      <c r="V39">
        <v>-1.102614E-2</v>
      </c>
      <c r="W39">
        <v>2.03885E-3</v>
      </c>
      <c r="X39">
        <v>3.9948600000000003E-3</v>
      </c>
      <c r="Y39">
        <v>5.4288299999999999E-3</v>
      </c>
      <c r="Z39">
        <v>-4.0248000000000003E-3</v>
      </c>
      <c r="AA39">
        <v>-6.4041799999999998E-3</v>
      </c>
      <c r="AB39">
        <v>5.5504899999999999E-3</v>
      </c>
      <c r="AC39">
        <v>4.21223E-3</v>
      </c>
      <c r="AD39">
        <v>1.97583E-3</v>
      </c>
      <c r="AE39">
        <v>-1.821592E-2</v>
      </c>
      <c r="AF39">
        <v>-1.065376E-2</v>
      </c>
      <c r="AG39">
        <v>2.3664359999999999E-2</v>
      </c>
      <c r="AH39">
        <v>2.4619120000000001E-2</v>
      </c>
      <c r="AI39">
        <v>6.7759760000000002E-2</v>
      </c>
      <c r="AJ39">
        <v>-3.9680999999999996E-3</v>
      </c>
      <c r="AK39">
        <v>-1.1735829999999999E-2</v>
      </c>
      <c r="AL39">
        <v>-1.2776000000000001E-4</v>
      </c>
      <c r="AM39">
        <v>-9.1663500000000002E-3</v>
      </c>
      <c r="AN39">
        <v>-8.42913E-3</v>
      </c>
      <c r="AO39">
        <v>7.5235099999999997E-3</v>
      </c>
      <c r="AP39">
        <v>-3.82095E-3</v>
      </c>
      <c r="AQ39">
        <v>6.2066459999999997E-2</v>
      </c>
      <c r="AR39">
        <v>6.9203499999999996E-3</v>
      </c>
      <c r="AS39">
        <v>-1.609882E-2</v>
      </c>
      <c r="AT39">
        <v>-1.9130200000000001E-3</v>
      </c>
      <c r="AU39">
        <v>1.151635E-2</v>
      </c>
      <c r="AV39">
        <v>2.0618099999999999E-3</v>
      </c>
      <c r="AW39">
        <v>-8.2832700000000006E-3</v>
      </c>
      <c r="AX39">
        <v>8.1463100000000004E-3</v>
      </c>
      <c r="AY39">
        <v>4.35083E-3</v>
      </c>
      <c r="AZ39">
        <v>-1.8809429999999999E-2</v>
      </c>
      <c r="BA39">
        <v>4.7653000000000002E-4</v>
      </c>
      <c r="BB39">
        <v>-6.81046E-3</v>
      </c>
      <c r="BC39">
        <v>-2.1405399999999998E-3</v>
      </c>
      <c r="BD39">
        <v>-1.4529169999999999E-2</v>
      </c>
      <c r="BE39">
        <v>1.2147969999999999E-2</v>
      </c>
      <c r="BF39">
        <v>-5.2022800000000001E-3</v>
      </c>
      <c r="BG39">
        <v>2.8497800000000001E-3</v>
      </c>
      <c r="BH39">
        <v>-1.1089730000000001E-2</v>
      </c>
      <c r="BI39">
        <v>3.5410000000000001E-5</v>
      </c>
      <c r="BJ39">
        <v>-2.0775099999999999E-3</v>
      </c>
      <c r="BK39">
        <v>-1.5691199999999999E-2</v>
      </c>
      <c r="BL39">
        <v>-3.85295E-3</v>
      </c>
      <c r="BM39">
        <v>8.7735899999999995E-3</v>
      </c>
      <c r="BN39">
        <v>1.116178E-2</v>
      </c>
      <c r="BO39">
        <v>-1.1148119999999999E-2</v>
      </c>
      <c r="BP39">
        <v>-4.1078000000000002E-4</v>
      </c>
      <c r="BQ39">
        <v>-1.232394E-2</v>
      </c>
      <c r="BR39">
        <v>-3.8785199999999999E-3</v>
      </c>
      <c r="BS39">
        <v>6.3511419999999999E-2</v>
      </c>
      <c r="BT39">
        <v>-2.0134849999999999E-2</v>
      </c>
      <c r="BU39">
        <v>-1.0381980000000001E-2</v>
      </c>
      <c r="BV39">
        <v>-4.3893700000000001E-3</v>
      </c>
      <c r="BW39">
        <v>2.4451500000000001E-3</v>
      </c>
      <c r="BX39">
        <v>-2.0054000000000001E-3</v>
      </c>
      <c r="BY39">
        <v>-8.7282899999999997E-3</v>
      </c>
      <c r="BZ39">
        <v>-1.703793E-2</v>
      </c>
      <c r="CA39">
        <v>-9.7328299999999996E-3</v>
      </c>
      <c r="CB39">
        <v>1.5983279999999999E-2</v>
      </c>
      <c r="CC39">
        <v>2.8438199999999999E-3</v>
      </c>
      <c r="CD39">
        <v>-7.66675E-3</v>
      </c>
      <c r="CE39">
        <v>1.029689E-2</v>
      </c>
      <c r="CF39">
        <v>7.048393E-2</v>
      </c>
      <c r="CG39">
        <v>-9.4847000000000004E-3</v>
      </c>
      <c r="CH39">
        <v>-2.009872E-2</v>
      </c>
      <c r="CI39">
        <v>7.3726230000000004E-2</v>
      </c>
      <c r="CJ39">
        <v>1.0584730000000001E-2</v>
      </c>
      <c r="CK39">
        <v>1.139356E-2</v>
      </c>
      <c r="CL39">
        <v>-1.178917E-2</v>
      </c>
      <c r="CM39">
        <v>-1.2814620000000001E-2</v>
      </c>
      <c r="CN39">
        <v>-4.5089999999999997E-5</v>
      </c>
      <c r="CO39">
        <v>-1.1014690000000001E-2</v>
      </c>
      <c r="CP39">
        <v>1.0834130000000001E-2</v>
      </c>
      <c r="CQ39">
        <v>-2.321022E-2</v>
      </c>
      <c r="CR39">
        <v>-2.0882620000000001E-2</v>
      </c>
      <c r="CS39">
        <v>-4.0227400000000003E-3</v>
      </c>
      <c r="CT39">
        <v>-5.0402099999999998E-3</v>
      </c>
      <c r="CU39">
        <v>-9.9660000000000005E-5</v>
      </c>
      <c r="CV39">
        <v>-1.7035160000000001E-2</v>
      </c>
      <c r="CW39">
        <v>-6.0908999999999998E-3</v>
      </c>
      <c r="CX39">
        <v>-1.065993E-2</v>
      </c>
      <c r="CY39">
        <v>-3.0901540000000002E-2</v>
      </c>
      <c r="CZ39">
        <v>1.186092E-2</v>
      </c>
      <c r="DA39">
        <v>1.4023499999999999E-3</v>
      </c>
      <c r="DB39">
        <v>-9.1770399999999992E-3</v>
      </c>
      <c r="DC39">
        <v>-4.5597699999999998E-2</v>
      </c>
      <c r="DD39">
        <v>-1.305007E-2</v>
      </c>
      <c r="DE39">
        <v>-1.731912E-2</v>
      </c>
      <c r="DF39">
        <v>1.5869729999999999E-2</v>
      </c>
      <c r="DG39">
        <v>-1.8613379999999999E-2</v>
      </c>
      <c r="DH39">
        <v>-1.01659E-2</v>
      </c>
      <c r="DI39">
        <v>-3.8805050000000001E-2</v>
      </c>
      <c r="DJ39">
        <v>-2.6369529999999999E-2</v>
      </c>
      <c r="DK39">
        <v>-3.963991E-2</v>
      </c>
      <c r="DL39">
        <v>-3.2535149999999999E-2</v>
      </c>
      <c r="DM39">
        <v>-3.485999E-2</v>
      </c>
      <c r="DN39">
        <v>-3.51652E-3</v>
      </c>
      <c r="DO39">
        <v>-3.1098300000000001E-3</v>
      </c>
      <c r="DP39">
        <v>-3.7592920000000002E-2</v>
      </c>
      <c r="DQ39">
        <v>-4.9412099999999997E-3</v>
      </c>
      <c r="DR39">
        <v>1.113769E-2</v>
      </c>
      <c r="DS39">
        <v>-5.0079399999999998E-3</v>
      </c>
      <c r="DT39">
        <v>-4.2319599999999999E-3</v>
      </c>
      <c r="DU39">
        <v>-1.660172E-2</v>
      </c>
      <c r="DV39">
        <v>3.5155400000000002E-3</v>
      </c>
      <c r="DW39">
        <v>-2.530924E-2</v>
      </c>
      <c r="DX39">
        <v>-2.377578E-2</v>
      </c>
      <c r="DY39">
        <v>-2.422063E-2</v>
      </c>
      <c r="DZ39">
        <v>4.5666600000000002E-3</v>
      </c>
      <c r="EA39">
        <v>-2.8262720000000002E-2</v>
      </c>
      <c r="EB39">
        <v>-1.8420820000000001E-2</v>
      </c>
      <c r="EC39">
        <v>-2.1470800000000002E-2</v>
      </c>
      <c r="ED39">
        <v>-1.326802E-2</v>
      </c>
      <c r="EE39">
        <v>-2.8419710000000001E-2</v>
      </c>
      <c r="EF39">
        <v>2.6814600000000001E-3</v>
      </c>
      <c r="EG39">
        <v>-3.0496209999999999E-2</v>
      </c>
      <c r="EH39">
        <v>-1.1749010000000001E-2</v>
      </c>
      <c r="EI39">
        <v>-4.140804E-2</v>
      </c>
      <c r="EJ39">
        <v>-6.5284599999999998E-3</v>
      </c>
      <c r="EK39">
        <v>1.041972E-2</v>
      </c>
      <c r="EL39">
        <v>-3.9319479999999997E-2</v>
      </c>
      <c r="EM39">
        <v>-1.9427429999999999E-2</v>
      </c>
      <c r="EN39">
        <v>-1.9846220000000001E-2</v>
      </c>
      <c r="EO39">
        <v>-7.3339199999999998E-3</v>
      </c>
      <c r="EP39">
        <f t="shared" si="1"/>
        <v>0</v>
      </c>
      <c r="EQ39">
        <f>SUMIF('Mi portafolio'!$A$8:$A$19,$A39,'Mi portafolio'!$B$8:$B$19)</f>
        <v>0</v>
      </c>
    </row>
    <row r="40" spans="1:147" x14ac:dyDescent="0.25">
      <c r="A40" s="34" t="s">
        <v>115</v>
      </c>
      <c r="B40">
        <v>1.3282000000000001E-3</v>
      </c>
      <c r="C40">
        <v>4.7988500000000003E-3</v>
      </c>
      <c r="D40">
        <v>1.052179E-2</v>
      </c>
      <c r="E40">
        <v>5.1101899999999997E-3</v>
      </c>
      <c r="F40">
        <v>-1.72554E-3</v>
      </c>
      <c r="G40">
        <v>4.5125299999999998E-3</v>
      </c>
      <c r="H40">
        <v>1.4647449999999999E-2</v>
      </c>
      <c r="I40">
        <v>2.1416899999999999E-3</v>
      </c>
      <c r="J40">
        <v>2.6271999999999998E-4</v>
      </c>
      <c r="K40">
        <v>1.9321200000000001E-3</v>
      </c>
      <c r="L40">
        <v>1.233162E-2</v>
      </c>
      <c r="M40">
        <v>9.2219000000000003E-4</v>
      </c>
      <c r="N40">
        <v>8.8727300000000005E-3</v>
      </c>
      <c r="O40">
        <v>1.489999E-2</v>
      </c>
      <c r="P40">
        <v>-1.6423099999999999E-3</v>
      </c>
      <c r="Q40">
        <v>8.7588E-4</v>
      </c>
      <c r="R40">
        <v>-7.1114400000000001E-3</v>
      </c>
      <c r="S40">
        <v>9.89546E-3</v>
      </c>
      <c r="T40">
        <v>-2.73347E-3</v>
      </c>
      <c r="U40">
        <v>1.7958849999999998E-2</v>
      </c>
      <c r="V40">
        <v>1.12706E-2</v>
      </c>
      <c r="W40">
        <v>7.6467599999999998E-3</v>
      </c>
      <c r="X40">
        <v>2.5480699999999999E-3</v>
      </c>
      <c r="Y40">
        <v>-3.9264699999999996E-3</v>
      </c>
      <c r="Z40">
        <v>1.104832E-2</v>
      </c>
      <c r="AA40">
        <v>1.289732E-2</v>
      </c>
      <c r="AB40">
        <v>-5.0527599999999999E-3</v>
      </c>
      <c r="AC40">
        <v>6.8291200000000002E-3</v>
      </c>
      <c r="AD40">
        <v>9.7907299999999992E-3</v>
      </c>
      <c r="AE40">
        <v>1.5112530000000001E-2</v>
      </c>
      <c r="AF40">
        <v>1.6090759999999999E-2</v>
      </c>
      <c r="AG40">
        <v>-1.0359499999999999E-3</v>
      </c>
      <c r="AH40">
        <v>7.4989000000000002E-4</v>
      </c>
      <c r="AI40">
        <v>-3.9680999999999996E-3</v>
      </c>
      <c r="AJ40">
        <v>6.6164290000000001E-2</v>
      </c>
      <c r="AK40">
        <v>1.102296E-2</v>
      </c>
      <c r="AL40">
        <v>5.0997600000000001E-3</v>
      </c>
      <c r="AM40">
        <v>1.058194E-2</v>
      </c>
      <c r="AN40">
        <v>-1.0221399999999999E-3</v>
      </c>
      <c r="AO40">
        <v>-2.63255E-3</v>
      </c>
      <c r="AP40">
        <v>5.9159800000000004E-3</v>
      </c>
      <c r="AQ40">
        <v>-3.3871399999999999E-3</v>
      </c>
      <c r="AR40">
        <v>1.0692099999999999E-3</v>
      </c>
      <c r="AS40">
        <v>2.0086670000000001E-2</v>
      </c>
      <c r="AT40">
        <v>-2.8790199999999999E-3</v>
      </c>
      <c r="AU40">
        <v>-4.8404099999999999E-3</v>
      </c>
      <c r="AV40">
        <v>1.5666469999999998E-2</v>
      </c>
      <c r="AW40">
        <v>6.6499000000000003E-3</v>
      </c>
      <c r="AX40">
        <v>5.7140300000000002E-3</v>
      </c>
      <c r="AY40">
        <v>-2.8715099999999999E-3</v>
      </c>
      <c r="AZ40">
        <v>1.5842390000000001E-2</v>
      </c>
      <c r="BA40">
        <v>7.3253800000000003E-3</v>
      </c>
      <c r="BB40">
        <v>6.5350399999999998E-3</v>
      </c>
      <c r="BC40">
        <v>1.0824790000000001E-2</v>
      </c>
      <c r="BD40">
        <v>2.2497010000000001E-2</v>
      </c>
      <c r="BE40">
        <v>4.5107799999999998E-3</v>
      </c>
      <c r="BF40">
        <v>1.771522E-2</v>
      </c>
      <c r="BG40">
        <v>1.26848E-3</v>
      </c>
      <c r="BH40">
        <v>1.262042E-2</v>
      </c>
      <c r="BI40">
        <v>2.5048000000000002E-3</v>
      </c>
      <c r="BJ40">
        <v>1.297101E-2</v>
      </c>
      <c r="BK40">
        <v>1.6259969999999999E-2</v>
      </c>
      <c r="BL40">
        <v>1.034059E-2</v>
      </c>
      <c r="BM40">
        <v>-7.2420200000000001E-3</v>
      </c>
      <c r="BN40">
        <v>4.6725E-4</v>
      </c>
      <c r="BO40">
        <v>1.0806100000000001E-3</v>
      </c>
      <c r="BP40">
        <v>6.0221399999999996E-3</v>
      </c>
      <c r="BQ40">
        <v>1.4402689999999999E-2</v>
      </c>
      <c r="BR40">
        <v>1.014834E-2</v>
      </c>
      <c r="BS40">
        <v>-5.8989899999999998E-3</v>
      </c>
      <c r="BT40">
        <v>5.0110700000000003E-3</v>
      </c>
      <c r="BU40">
        <v>1.4060960000000001E-2</v>
      </c>
      <c r="BV40">
        <v>1.79619E-3</v>
      </c>
      <c r="BW40">
        <v>4.40399E-3</v>
      </c>
      <c r="BX40">
        <v>2.93334E-3</v>
      </c>
      <c r="BY40">
        <v>-1.9015099999999999E-3</v>
      </c>
      <c r="BZ40">
        <v>9.6102800000000006E-3</v>
      </c>
      <c r="CA40">
        <v>2.03553E-2</v>
      </c>
      <c r="CB40">
        <v>-1.1192000000000001E-3</v>
      </c>
      <c r="CC40">
        <v>-3.1415800000000002E-3</v>
      </c>
      <c r="CD40">
        <v>-6.8353600000000004E-3</v>
      </c>
      <c r="CE40">
        <v>7.3634499999999997E-3</v>
      </c>
      <c r="CF40">
        <v>-2.9165300000000001E-3</v>
      </c>
      <c r="CG40">
        <v>5.6506300000000002E-3</v>
      </c>
      <c r="CH40">
        <v>1.9235599999999999E-2</v>
      </c>
      <c r="CI40">
        <v>-1.5058000000000001E-4</v>
      </c>
      <c r="CJ40">
        <v>-5.8424699999999998E-3</v>
      </c>
      <c r="CK40">
        <v>3.5229200000000001E-3</v>
      </c>
      <c r="CL40">
        <v>4.4166700000000001E-3</v>
      </c>
      <c r="CM40">
        <v>1.5543200000000001E-3</v>
      </c>
      <c r="CN40">
        <v>2.082647E-2</v>
      </c>
      <c r="CO40">
        <v>4.9940999999999996E-3</v>
      </c>
      <c r="CP40">
        <v>3.4444900000000001E-3</v>
      </c>
      <c r="CQ40">
        <v>1.1455770000000001E-2</v>
      </c>
      <c r="CR40">
        <v>7.5319499999999999E-3</v>
      </c>
      <c r="CS40">
        <v>8.6640199999999997E-3</v>
      </c>
      <c r="CT40">
        <v>1.3073120000000001E-2</v>
      </c>
      <c r="CU40">
        <v>7.6348099999999997E-3</v>
      </c>
      <c r="CV40">
        <v>-8.5546800000000003E-3</v>
      </c>
      <c r="CW40">
        <v>4.9689799999999996E-3</v>
      </c>
      <c r="CX40">
        <v>5.0838999999999995E-4</v>
      </c>
      <c r="CY40">
        <v>6.27298E-3</v>
      </c>
      <c r="CZ40">
        <v>4.6434099999999997E-3</v>
      </c>
      <c r="DA40">
        <v>6.6631999999999998E-4</v>
      </c>
      <c r="DB40">
        <v>1.174241E-2</v>
      </c>
      <c r="DC40">
        <v>3.3904289999999997E-2</v>
      </c>
      <c r="DD40">
        <v>4.7000899999999997E-3</v>
      </c>
      <c r="DE40">
        <v>1.4598450000000001E-2</v>
      </c>
      <c r="DF40">
        <v>1.2085500000000001E-3</v>
      </c>
      <c r="DG40">
        <v>2.675541E-2</v>
      </c>
      <c r="DH40">
        <v>6.5981099999999999E-3</v>
      </c>
      <c r="DI40">
        <v>5.1156800000000001E-3</v>
      </c>
      <c r="DJ40">
        <v>1.9748500000000002E-3</v>
      </c>
      <c r="DK40">
        <v>9.0871500000000004E-3</v>
      </c>
      <c r="DL40">
        <v>3.7366240000000002E-2</v>
      </c>
      <c r="DM40">
        <v>1.5310499999999999E-2</v>
      </c>
      <c r="DN40">
        <v>2.6806400000000002E-3</v>
      </c>
      <c r="DO40">
        <v>1.9359270000000001E-2</v>
      </c>
      <c r="DP40">
        <v>1.096482E-2</v>
      </c>
      <c r="DQ40">
        <v>2.1014330000000001E-2</v>
      </c>
      <c r="DR40">
        <v>1.157041E-2</v>
      </c>
      <c r="DS40">
        <v>-1.8933390000000001E-2</v>
      </c>
      <c r="DT40">
        <v>7.0720000000000002E-3</v>
      </c>
      <c r="DU40">
        <v>1.24031E-2</v>
      </c>
      <c r="DV40">
        <v>-7.7684E-3</v>
      </c>
      <c r="DW40">
        <v>3.1607599999999999E-3</v>
      </c>
      <c r="DX40">
        <v>2.06853E-2</v>
      </c>
      <c r="DY40">
        <v>-2.50505E-3</v>
      </c>
      <c r="DZ40">
        <v>6.3700900000000001E-3</v>
      </c>
      <c r="EA40">
        <v>3.0753349999999999E-2</v>
      </c>
      <c r="EB40">
        <v>-1.52925E-3</v>
      </c>
      <c r="EC40">
        <v>4.3130499999999997E-3</v>
      </c>
      <c r="ED40">
        <v>3.0633130000000001E-2</v>
      </c>
      <c r="EE40">
        <v>1.344833E-2</v>
      </c>
      <c r="EF40">
        <v>1.799425E-2</v>
      </c>
      <c r="EG40">
        <v>8.1559700000000002E-3</v>
      </c>
      <c r="EH40">
        <v>-7.40722E-3</v>
      </c>
      <c r="EI40">
        <v>1.5182380000000001E-2</v>
      </c>
      <c r="EJ40">
        <v>1.4816080000000001E-2</v>
      </c>
      <c r="EK40">
        <v>2.7220459999999998E-2</v>
      </c>
      <c r="EL40">
        <v>3.9189469999999997E-2</v>
      </c>
      <c r="EM40">
        <v>7.1061099999999997E-3</v>
      </c>
      <c r="EN40">
        <v>3.832315E-2</v>
      </c>
      <c r="EO40">
        <v>1.015752E-2</v>
      </c>
      <c r="EP40">
        <f t="shared" si="1"/>
        <v>0</v>
      </c>
      <c r="EQ40">
        <f>SUMIF('Mi portafolio'!$A$8:$A$19,$A40,'Mi portafolio'!$B$8:$B$19)</f>
        <v>0</v>
      </c>
    </row>
    <row r="41" spans="1:147" x14ac:dyDescent="0.25">
      <c r="A41" s="34" t="s">
        <v>116</v>
      </c>
      <c r="B41">
        <v>-1.2109200000000001E-3</v>
      </c>
      <c r="C41">
        <v>1.0168490000000001E-2</v>
      </c>
      <c r="D41">
        <v>1.30726E-3</v>
      </c>
      <c r="E41">
        <v>1.5762100000000001E-2</v>
      </c>
      <c r="F41">
        <v>-2.0096300000000001E-3</v>
      </c>
      <c r="G41">
        <v>7.4140300000000003E-3</v>
      </c>
      <c r="H41">
        <v>1.4356519999999999E-2</v>
      </c>
      <c r="I41">
        <v>2.57997E-3</v>
      </c>
      <c r="J41">
        <v>4.4859799999999997E-3</v>
      </c>
      <c r="K41">
        <v>1.33686E-3</v>
      </c>
      <c r="L41">
        <v>1.4763160000000001E-2</v>
      </c>
      <c r="M41">
        <v>1.3754590000000001E-2</v>
      </c>
      <c r="N41">
        <v>2.5657000000000002E-3</v>
      </c>
      <c r="O41">
        <v>2.6836800000000001E-2</v>
      </c>
      <c r="P41">
        <v>1.3493400000000001E-3</v>
      </c>
      <c r="Q41">
        <v>-1.01059E-3</v>
      </c>
      <c r="R41">
        <v>4.3932900000000002E-3</v>
      </c>
      <c r="S41">
        <v>1.2223100000000001E-2</v>
      </c>
      <c r="T41">
        <v>8.7330600000000008E-3</v>
      </c>
      <c r="U41">
        <v>3.2261449999999997E-2</v>
      </c>
      <c r="V41">
        <v>2.312937E-2</v>
      </c>
      <c r="W41">
        <v>1.966731E-2</v>
      </c>
      <c r="X41">
        <v>1.255765E-2</v>
      </c>
      <c r="Y41">
        <v>-9.6560000000000005E-4</v>
      </c>
      <c r="Z41">
        <v>2.534633E-2</v>
      </c>
      <c r="AA41">
        <v>1.372493E-2</v>
      </c>
      <c r="AB41">
        <v>-8.9508000000000003E-4</v>
      </c>
      <c r="AC41">
        <v>1.3537759999999999E-2</v>
      </c>
      <c r="AD41">
        <v>1.8482169999999999E-2</v>
      </c>
      <c r="AE41">
        <v>2.454775E-2</v>
      </c>
      <c r="AF41">
        <v>3.2570990000000001E-2</v>
      </c>
      <c r="AG41">
        <v>-1.4680100000000001E-3</v>
      </c>
      <c r="AH41">
        <v>-7.1832800000000002E-3</v>
      </c>
      <c r="AI41">
        <v>-1.1735829999999999E-2</v>
      </c>
      <c r="AJ41">
        <v>1.102296E-2</v>
      </c>
      <c r="AK41">
        <v>6.9066000000000002E-2</v>
      </c>
      <c r="AL41">
        <v>3.0274500000000001E-3</v>
      </c>
      <c r="AM41">
        <v>2.4555219999999999E-2</v>
      </c>
      <c r="AN41">
        <v>1.237399E-2</v>
      </c>
      <c r="AO41">
        <v>-5.2389899999999998E-3</v>
      </c>
      <c r="AP41">
        <v>9.4513700000000006E-3</v>
      </c>
      <c r="AQ41">
        <v>-5.5747899999999996E-3</v>
      </c>
      <c r="AR41">
        <v>5.3009499999999996E-3</v>
      </c>
      <c r="AS41">
        <v>3.6570039999999998E-2</v>
      </c>
      <c r="AT41">
        <v>6.0096999999999998E-3</v>
      </c>
      <c r="AU41">
        <v>4.4701000000000003E-3</v>
      </c>
      <c r="AV41">
        <v>2.3684960000000001E-2</v>
      </c>
      <c r="AW41">
        <v>2.8550559999999999E-2</v>
      </c>
      <c r="AX41">
        <v>3.1180999999999998E-4</v>
      </c>
      <c r="AY41">
        <v>6.2850400000000004E-3</v>
      </c>
      <c r="AZ41">
        <v>2.6365590000000001E-2</v>
      </c>
      <c r="BA41">
        <v>1.7277319999999999E-2</v>
      </c>
      <c r="BB41">
        <v>1.554854E-2</v>
      </c>
      <c r="BC41">
        <v>1.4006070000000001E-2</v>
      </c>
      <c r="BD41">
        <v>4.2856169999999999E-2</v>
      </c>
      <c r="BE41">
        <v>6.4120599999999998E-3</v>
      </c>
      <c r="BF41">
        <v>2.0195350000000001E-2</v>
      </c>
      <c r="BG41">
        <v>8.1139000000000005E-4</v>
      </c>
      <c r="BH41">
        <v>2.445553E-2</v>
      </c>
      <c r="BI41">
        <v>3.3746599999999998E-3</v>
      </c>
      <c r="BJ41">
        <v>6.3323700000000004E-3</v>
      </c>
      <c r="BK41">
        <v>2.4588349999999998E-2</v>
      </c>
      <c r="BL41">
        <v>1.761602E-2</v>
      </c>
      <c r="BM41">
        <v>3.7483899999999999E-3</v>
      </c>
      <c r="BN41">
        <v>5.2128799999999996E-3</v>
      </c>
      <c r="BO41">
        <v>9.8478400000000001E-3</v>
      </c>
      <c r="BP41">
        <v>-5.7281900000000002E-3</v>
      </c>
      <c r="BQ41">
        <v>3.3948800000000001E-2</v>
      </c>
      <c r="BR41">
        <v>9.2171300000000005E-3</v>
      </c>
      <c r="BS41">
        <v>-1.3273770000000001E-2</v>
      </c>
      <c r="BT41">
        <v>2.4241209999999999E-2</v>
      </c>
      <c r="BU41">
        <v>3.3445339999999997E-2</v>
      </c>
      <c r="BV41">
        <v>4.3504199999999998E-3</v>
      </c>
      <c r="BW41">
        <v>7.8732899999999998E-3</v>
      </c>
      <c r="BX41">
        <v>-3.1466699999999998E-3</v>
      </c>
      <c r="BY41">
        <v>1.847727E-2</v>
      </c>
      <c r="BZ41">
        <v>1.6072690000000001E-2</v>
      </c>
      <c r="CA41">
        <v>3.1454570000000001E-2</v>
      </c>
      <c r="CB41">
        <v>3.2377999999999999E-3</v>
      </c>
      <c r="CC41">
        <v>4.67637E-3</v>
      </c>
      <c r="CD41">
        <v>-2.2338599999999998E-3</v>
      </c>
      <c r="CE41">
        <v>4.4118600000000001E-3</v>
      </c>
      <c r="CF41">
        <v>-1.82615E-2</v>
      </c>
      <c r="CG41">
        <v>-1.4675300000000001E-3</v>
      </c>
      <c r="CH41">
        <v>4.9337890000000002E-2</v>
      </c>
      <c r="CI41">
        <v>-1.7859799999999999E-2</v>
      </c>
      <c r="CJ41">
        <v>-2.6218700000000001E-3</v>
      </c>
      <c r="CK41">
        <v>6.6778200000000001E-3</v>
      </c>
      <c r="CL41">
        <v>8.8824500000000001E-3</v>
      </c>
      <c r="CM41">
        <v>1.2689880000000001E-2</v>
      </c>
      <c r="CN41">
        <v>2.6829849999999999E-2</v>
      </c>
      <c r="CO41">
        <v>1.6051550000000001E-2</v>
      </c>
      <c r="CP41">
        <v>-4.1571000000000004E-3</v>
      </c>
      <c r="CQ41">
        <v>1.931211E-2</v>
      </c>
      <c r="CR41">
        <v>2.0980039999999998E-2</v>
      </c>
      <c r="CS41">
        <v>2.679318E-2</v>
      </c>
      <c r="CT41">
        <v>2.217065E-2</v>
      </c>
      <c r="CU41">
        <v>1.049369E-2</v>
      </c>
      <c r="CV41">
        <v>1.3324330000000001E-2</v>
      </c>
      <c r="CW41">
        <v>8.3738200000000006E-3</v>
      </c>
      <c r="CX41">
        <v>2.3424819999999999E-2</v>
      </c>
      <c r="CY41">
        <v>2.7074270000000001E-2</v>
      </c>
      <c r="CZ41">
        <v>1.3189300000000001E-3</v>
      </c>
      <c r="DA41">
        <v>-1.1618679999999999E-2</v>
      </c>
      <c r="DB41">
        <v>2.2229140000000001E-2</v>
      </c>
      <c r="DC41">
        <v>4.2029869999999997E-2</v>
      </c>
      <c r="DD41">
        <v>4.4234299999999999E-3</v>
      </c>
      <c r="DE41">
        <v>4.1676860000000003E-2</v>
      </c>
      <c r="DF41">
        <v>-2.112669E-2</v>
      </c>
      <c r="DG41">
        <v>2.974572E-2</v>
      </c>
      <c r="DH41">
        <v>1.0287289999999999E-2</v>
      </c>
      <c r="DI41">
        <v>2.329724E-2</v>
      </c>
      <c r="DJ41">
        <v>2.453586E-2</v>
      </c>
      <c r="DK41">
        <v>2.4103989999999999E-2</v>
      </c>
      <c r="DL41">
        <v>4.3923370000000003E-2</v>
      </c>
      <c r="DM41">
        <v>3.6276839999999998E-2</v>
      </c>
      <c r="DN41">
        <v>4.78197E-3</v>
      </c>
      <c r="DO41">
        <v>2.0017239999999999E-2</v>
      </c>
      <c r="DP41">
        <v>2.3714409999999998E-2</v>
      </c>
      <c r="DQ41">
        <v>1.9842809999999999E-2</v>
      </c>
      <c r="DR41">
        <v>1.9416820000000001E-2</v>
      </c>
      <c r="DS41">
        <v>-5.86916E-3</v>
      </c>
      <c r="DT41">
        <v>4.5649200000000001E-3</v>
      </c>
      <c r="DU41">
        <v>2.3652400000000001E-2</v>
      </c>
      <c r="DV41">
        <v>-9.7283000000000005E-4</v>
      </c>
      <c r="DW41">
        <v>1.056199E-2</v>
      </c>
      <c r="DX41">
        <v>3.383887E-2</v>
      </c>
      <c r="DY41">
        <v>6.8223600000000004E-3</v>
      </c>
      <c r="DZ41">
        <v>-1.1959819999999999E-2</v>
      </c>
      <c r="EA41">
        <v>1.7917990000000002E-2</v>
      </c>
      <c r="EB41">
        <v>1.9327359999999998E-2</v>
      </c>
      <c r="EC41">
        <v>3.8788469999999999E-2</v>
      </c>
      <c r="ED41">
        <v>2.602368E-2</v>
      </c>
      <c r="EE41">
        <v>3.6220929999999998E-2</v>
      </c>
      <c r="EF41">
        <v>2.5770789999999998E-2</v>
      </c>
      <c r="EG41">
        <v>4.0980259999999998E-2</v>
      </c>
      <c r="EH41">
        <v>-7.7894399999999999E-3</v>
      </c>
      <c r="EI41">
        <v>3.496602E-2</v>
      </c>
      <c r="EJ41">
        <v>3.177808E-2</v>
      </c>
      <c r="EK41">
        <v>3.1416800000000002E-2</v>
      </c>
      <c r="EL41">
        <v>6.1615660000000003E-2</v>
      </c>
      <c r="EM41">
        <v>3.81124E-3</v>
      </c>
      <c r="EN41">
        <v>1.102593E-2</v>
      </c>
      <c r="EO41">
        <v>3.1999529999999998E-2</v>
      </c>
      <c r="EP41">
        <f t="shared" si="1"/>
        <v>0</v>
      </c>
      <c r="EQ41">
        <f>SUMIF('Mi portafolio'!$A$8:$A$19,$A41,'Mi portafolio'!$B$8:$B$19)</f>
        <v>0</v>
      </c>
    </row>
    <row r="42" spans="1:147" x14ac:dyDescent="0.25">
      <c r="A42" s="34" t="s">
        <v>117</v>
      </c>
      <c r="B42">
        <v>1.2296069999999999E-2</v>
      </c>
      <c r="C42">
        <v>-4.9695000000000002E-4</v>
      </c>
      <c r="D42">
        <v>2.3602300000000001E-3</v>
      </c>
      <c r="E42">
        <v>7.3359499999999999E-3</v>
      </c>
      <c r="F42">
        <v>1.404468E-2</v>
      </c>
      <c r="G42">
        <v>-3.5066199999999998E-3</v>
      </c>
      <c r="H42">
        <v>5.4982999999999996E-4</v>
      </c>
      <c r="I42">
        <v>1.5918769999999999E-2</v>
      </c>
      <c r="J42">
        <v>1.1181780000000001E-2</v>
      </c>
      <c r="K42">
        <v>1.5112799999999999E-2</v>
      </c>
      <c r="L42">
        <v>5.7858700000000002E-3</v>
      </c>
      <c r="M42">
        <v>1.513362E-2</v>
      </c>
      <c r="N42">
        <v>1.780377E-2</v>
      </c>
      <c r="O42">
        <v>6.2185499999999998E-3</v>
      </c>
      <c r="P42">
        <v>1.359927E-2</v>
      </c>
      <c r="Q42">
        <v>5.62467E-3</v>
      </c>
      <c r="R42">
        <v>1.7229270000000001E-2</v>
      </c>
      <c r="S42">
        <v>1.4967699999999999E-3</v>
      </c>
      <c r="T42">
        <v>1.8135229999999999E-2</v>
      </c>
      <c r="U42">
        <v>6.4234399999999999E-3</v>
      </c>
      <c r="V42">
        <v>2.55712E-3</v>
      </c>
      <c r="W42">
        <v>1.38893E-3</v>
      </c>
      <c r="X42">
        <v>1.561598E-2</v>
      </c>
      <c r="Y42">
        <v>1.870581E-2</v>
      </c>
      <c r="Z42">
        <v>2.2104E-3</v>
      </c>
      <c r="AA42">
        <v>9.7738200000000008E-3</v>
      </c>
      <c r="AB42">
        <v>1.771644E-2</v>
      </c>
      <c r="AC42">
        <v>-4.4787899999999999E-3</v>
      </c>
      <c r="AD42">
        <v>2.9670299999999998E-3</v>
      </c>
      <c r="AE42">
        <v>7.0923399999999999E-3</v>
      </c>
      <c r="AF42">
        <v>1.4021999999999999E-3</v>
      </c>
      <c r="AG42">
        <v>9.5857800000000003E-3</v>
      </c>
      <c r="AH42">
        <v>7.9200499999999997E-3</v>
      </c>
      <c r="AI42">
        <v>-1.2776000000000001E-4</v>
      </c>
      <c r="AJ42">
        <v>5.0997600000000001E-3</v>
      </c>
      <c r="AK42">
        <v>3.0274500000000001E-3</v>
      </c>
      <c r="AL42">
        <v>6.8308530000000006E-2</v>
      </c>
      <c r="AM42">
        <v>6.7773800000000004E-3</v>
      </c>
      <c r="AN42">
        <v>1.9401160000000001E-2</v>
      </c>
      <c r="AO42">
        <v>1.515471E-2</v>
      </c>
      <c r="AP42">
        <v>2.0759409999999999E-2</v>
      </c>
      <c r="AQ42">
        <v>4.0624999999999998E-4</v>
      </c>
      <c r="AR42">
        <v>2.0001649999999999E-2</v>
      </c>
      <c r="AS42">
        <v>8.4761100000000002E-3</v>
      </c>
      <c r="AT42">
        <v>2.216158E-2</v>
      </c>
      <c r="AU42">
        <v>1.3499529999999999E-2</v>
      </c>
      <c r="AV42">
        <v>8.5113500000000009E-3</v>
      </c>
      <c r="AW42">
        <v>2.52871E-3</v>
      </c>
      <c r="AX42">
        <v>1.793952E-2</v>
      </c>
      <c r="AY42">
        <v>1.7434709999999999E-2</v>
      </c>
      <c r="AZ42">
        <v>9.6184500000000006E-3</v>
      </c>
      <c r="BA42">
        <v>1.4173679999999999E-2</v>
      </c>
      <c r="BB42">
        <v>2.2073140000000002E-2</v>
      </c>
      <c r="BC42">
        <v>7.0728099999999997E-3</v>
      </c>
      <c r="BD42">
        <v>-2.9708000000000002E-4</v>
      </c>
      <c r="BE42">
        <v>2.0818389999999999E-2</v>
      </c>
      <c r="BF42">
        <v>1.126368E-2</v>
      </c>
      <c r="BG42">
        <v>1.0983700000000001E-2</v>
      </c>
      <c r="BH42">
        <v>4.3899799999999999E-3</v>
      </c>
      <c r="BI42">
        <v>1.67501E-3</v>
      </c>
      <c r="BJ42">
        <v>-7.1944000000000001E-3</v>
      </c>
      <c r="BK42">
        <v>4.0032999999999996E-3</v>
      </c>
      <c r="BL42">
        <v>1.5689950000000001E-2</v>
      </c>
      <c r="BM42">
        <v>2.0485199999999999E-2</v>
      </c>
      <c r="BN42">
        <v>3.8075399999999999E-3</v>
      </c>
      <c r="BO42">
        <v>1.9390040000000001E-2</v>
      </c>
      <c r="BP42">
        <v>1.5967350000000002E-2</v>
      </c>
      <c r="BQ42">
        <v>8.0111699999999997E-3</v>
      </c>
      <c r="BR42">
        <v>2.586422E-2</v>
      </c>
      <c r="BS42">
        <v>-1.08591E-3</v>
      </c>
      <c r="BT42">
        <v>2.040807E-2</v>
      </c>
      <c r="BU42">
        <v>7.4828100000000003E-3</v>
      </c>
      <c r="BV42">
        <v>1.4193020000000001E-2</v>
      </c>
      <c r="BW42">
        <v>2.1070869999999998E-2</v>
      </c>
      <c r="BX42">
        <v>2.193324E-2</v>
      </c>
      <c r="BY42">
        <v>2.5004950000000001E-2</v>
      </c>
      <c r="BZ42">
        <v>2.4549229999999998E-2</v>
      </c>
      <c r="CA42">
        <v>7.0774999999999996E-3</v>
      </c>
      <c r="CB42">
        <v>-4.1455499999999996E-3</v>
      </c>
      <c r="CC42">
        <v>-2.46744E-3</v>
      </c>
      <c r="CD42">
        <v>1.761039E-2</v>
      </c>
      <c r="CE42">
        <v>1.9668640000000001E-2</v>
      </c>
      <c r="CF42">
        <v>8.1101999999999997E-4</v>
      </c>
      <c r="CG42">
        <v>3.2107940000000001E-2</v>
      </c>
      <c r="CH42">
        <v>1.1696059999999999E-2</v>
      </c>
      <c r="CI42">
        <v>-5.0519400000000004E-3</v>
      </c>
      <c r="CJ42">
        <v>2.2284499999999999E-2</v>
      </c>
      <c r="CK42">
        <v>2.6510740000000001E-2</v>
      </c>
      <c r="CL42">
        <v>2.51498E-2</v>
      </c>
      <c r="CM42">
        <v>1.321431E-2</v>
      </c>
      <c r="CN42">
        <v>-2.5019700000000001E-3</v>
      </c>
      <c r="CO42">
        <v>4.8702900000000002E-3</v>
      </c>
      <c r="CP42">
        <v>3.3181240000000001E-2</v>
      </c>
      <c r="CQ42">
        <v>3.3692979999999997E-2</v>
      </c>
      <c r="CR42">
        <v>1.7820119999999998E-2</v>
      </c>
      <c r="CS42">
        <v>1.3343809999999999E-2</v>
      </c>
      <c r="CT42">
        <v>2.3101569999999998E-2</v>
      </c>
      <c r="CU42">
        <v>2.2849629999999999E-2</v>
      </c>
      <c r="CV42">
        <v>1.7252969999999999E-2</v>
      </c>
      <c r="CW42">
        <v>2.464059E-2</v>
      </c>
      <c r="CX42">
        <v>1.9907950000000001E-2</v>
      </c>
      <c r="CY42">
        <v>3.2829619999999997E-2</v>
      </c>
      <c r="CZ42">
        <v>2.6366500000000001E-2</v>
      </c>
      <c r="DA42">
        <v>3.1399490000000002E-2</v>
      </c>
      <c r="DB42">
        <v>2.5681470000000001E-2</v>
      </c>
      <c r="DC42">
        <v>1.073371E-2</v>
      </c>
      <c r="DD42">
        <v>3.170597E-2</v>
      </c>
      <c r="DE42">
        <v>1.8554620000000001E-2</v>
      </c>
      <c r="DF42">
        <v>2.3099140000000001E-2</v>
      </c>
      <c r="DG42">
        <v>1.9934899999999998E-2</v>
      </c>
      <c r="DH42">
        <v>2.4359510000000001E-2</v>
      </c>
      <c r="DI42">
        <v>3.7144759999999999E-2</v>
      </c>
      <c r="DJ42">
        <v>3.4793879999999999E-2</v>
      </c>
      <c r="DK42">
        <v>3.8096850000000002E-2</v>
      </c>
      <c r="DL42">
        <v>-1.29401E-3</v>
      </c>
      <c r="DM42">
        <v>4.1216330000000002E-2</v>
      </c>
      <c r="DN42">
        <v>3.1476509999999999E-2</v>
      </c>
      <c r="DO42">
        <v>3.7439849999999997E-2</v>
      </c>
      <c r="DP42">
        <v>4.1127219999999999E-2</v>
      </c>
      <c r="DQ42">
        <v>2.593022E-2</v>
      </c>
      <c r="DR42">
        <v>9.2334200000000009E-3</v>
      </c>
      <c r="DS42">
        <v>3.50262E-2</v>
      </c>
      <c r="DT42">
        <v>5.6111599999999996E-3</v>
      </c>
      <c r="DU42">
        <v>3.0475700000000001E-2</v>
      </c>
      <c r="DV42">
        <v>3.3725669999999999E-2</v>
      </c>
      <c r="DW42">
        <v>3.9365860000000003E-2</v>
      </c>
      <c r="DX42">
        <v>-4.2805300000000003E-3</v>
      </c>
      <c r="DY42">
        <v>4.3872830000000002E-2</v>
      </c>
      <c r="DZ42">
        <v>2.3311470000000001E-2</v>
      </c>
      <c r="EA42">
        <v>3.6374030000000002E-2</v>
      </c>
      <c r="EB42">
        <v>4.4411409999999998E-2</v>
      </c>
      <c r="EC42">
        <v>3.6206999999999998E-4</v>
      </c>
      <c r="ED42">
        <v>3.6047469999999998E-2</v>
      </c>
      <c r="EE42">
        <v>1.9714209999999999E-2</v>
      </c>
      <c r="EF42">
        <v>4.9198640000000002E-2</v>
      </c>
      <c r="EG42">
        <v>1.8529589999999999E-2</v>
      </c>
      <c r="EH42">
        <v>4.4087170000000002E-2</v>
      </c>
      <c r="EI42">
        <v>-3.2920000000000003E-5</v>
      </c>
      <c r="EJ42">
        <v>4.2265539999999997E-2</v>
      </c>
      <c r="EK42">
        <v>1.709196E-2</v>
      </c>
      <c r="EL42">
        <v>2.3432580000000001E-2</v>
      </c>
      <c r="EM42">
        <v>2.2091699999999999E-2</v>
      </c>
      <c r="EN42">
        <v>6.0003460000000002E-2</v>
      </c>
      <c r="EO42">
        <v>5.5462459999999998E-2</v>
      </c>
      <c r="EP42">
        <f t="shared" si="1"/>
        <v>0</v>
      </c>
      <c r="EQ42">
        <f>SUMIF('Mi portafolio'!$A$8:$A$19,$A42,'Mi portafolio'!$B$8:$B$19)</f>
        <v>0</v>
      </c>
    </row>
    <row r="43" spans="1:147" x14ac:dyDescent="0.25">
      <c r="A43" s="34" t="s">
        <v>118</v>
      </c>
      <c r="B43">
        <v>1.6102099999999999E-3</v>
      </c>
      <c r="C43">
        <v>3.9793399999999996E-3</v>
      </c>
      <c r="D43">
        <v>4.6753999999999997E-3</v>
      </c>
      <c r="E43">
        <v>8.5647499999999994E-3</v>
      </c>
      <c r="F43">
        <v>-2.0037000000000001E-4</v>
      </c>
      <c r="G43">
        <v>9.5459800000000008E-3</v>
      </c>
      <c r="H43">
        <v>9.4760999999999995E-3</v>
      </c>
      <c r="I43">
        <v>2.3712300000000002E-3</v>
      </c>
      <c r="J43">
        <v>4.8948400000000001E-3</v>
      </c>
      <c r="K43">
        <v>1.31558E-3</v>
      </c>
      <c r="L43">
        <v>9.1397200000000005E-3</v>
      </c>
      <c r="M43">
        <v>1.170799E-2</v>
      </c>
      <c r="N43">
        <v>6.6221800000000001E-3</v>
      </c>
      <c r="O43">
        <v>1.5929289999999999E-2</v>
      </c>
      <c r="P43">
        <v>4.4306500000000004E-3</v>
      </c>
      <c r="Q43">
        <v>3.6712099999999998E-3</v>
      </c>
      <c r="R43">
        <v>6.1914300000000004E-3</v>
      </c>
      <c r="S43">
        <v>8.97126E-3</v>
      </c>
      <c r="T43">
        <v>1.190186E-2</v>
      </c>
      <c r="U43">
        <v>1.781895E-2</v>
      </c>
      <c r="V43">
        <v>1.018578E-2</v>
      </c>
      <c r="W43">
        <v>7.2430899999999998E-3</v>
      </c>
      <c r="X43">
        <v>1.649927E-2</v>
      </c>
      <c r="Y43">
        <v>7.3076599999999997E-3</v>
      </c>
      <c r="Z43">
        <v>2.0063669999999999E-2</v>
      </c>
      <c r="AA43">
        <v>1.5489940000000001E-2</v>
      </c>
      <c r="AB43">
        <v>6.6127800000000004E-3</v>
      </c>
      <c r="AC43">
        <v>1.0348980000000001E-2</v>
      </c>
      <c r="AD43">
        <v>8.5878599999999992E-3</v>
      </c>
      <c r="AE43">
        <v>1.6240810000000001E-2</v>
      </c>
      <c r="AF43">
        <v>1.933089E-2</v>
      </c>
      <c r="AG43">
        <v>4.3458799999999999E-3</v>
      </c>
      <c r="AH43">
        <v>-5.2727000000000004E-4</v>
      </c>
      <c r="AI43">
        <v>-9.1663500000000002E-3</v>
      </c>
      <c r="AJ43">
        <v>1.058194E-2</v>
      </c>
      <c r="AK43">
        <v>2.4555219999999999E-2</v>
      </c>
      <c r="AL43">
        <v>6.7773800000000004E-3</v>
      </c>
      <c r="AM43">
        <v>7.3023210000000005E-2</v>
      </c>
      <c r="AN43">
        <v>7.3922399999999996E-3</v>
      </c>
      <c r="AO43">
        <v>7.8174200000000003E-3</v>
      </c>
      <c r="AP43">
        <v>9.0660399999999992E-3</v>
      </c>
      <c r="AQ43">
        <v>-1.158669E-2</v>
      </c>
      <c r="AR43">
        <v>1.104115E-2</v>
      </c>
      <c r="AS43">
        <v>1.544017E-2</v>
      </c>
      <c r="AT43">
        <v>7.6729099999999998E-3</v>
      </c>
      <c r="AU43">
        <v>4.57385E-3</v>
      </c>
      <c r="AV43">
        <v>9.7133600000000007E-3</v>
      </c>
      <c r="AW43">
        <v>1.3635420000000001E-2</v>
      </c>
      <c r="AX43">
        <v>1.3613220000000001E-2</v>
      </c>
      <c r="AY43">
        <v>5.6273900000000003E-3</v>
      </c>
      <c r="AZ43">
        <v>1.587624E-2</v>
      </c>
      <c r="BA43">
        <v>1.5001570000000001E-2</v>
      </c>
      <c r="BB43">
        <v>1.713744E-2</v>
      </c>
      <c r="BC43">
        <v>1.767941E-2</v>
      </c>
      <c r="BD43">
        <v>2.5665460000000001E-2</v>
      </c>
      <c r="BE43">
        <v>9.4716699999999997E-3</v>
      </c>
      <c r="BF43">
        <v>1.9222779999999998E-2</v>
      </c>
      <c r="BG43">
        <v>7.2204299999999999E-3</v>
      </c>
      <c r="BH43">
        <v>1.3875449999999999E-2</v>
      </c>
      <c r="BI43">
        <v>8.9039600000000007E-3</v>
      </c>
      <c r="BJ43">
        <v>3.0895300000000001E-3</v>
      </c>
      <c r="BK43">
        <v>2.461195E-2</v>
      </c>
      <c r="BL43">
        <v>8.3706700000000002E-3</v>
      </c>
      <c r="BM43">
        <v>6.3691700000000004E-3</v>
      </c>
      <c r="BN43">
        <v>1.2753489999999999E-2</v>
      </c>
      <c r="BO43">
        <v>1.406163E-2</v>
      </c>
      <c r="BP43">
        <v>5.0690600000000002E-3</v>
      </c>
      <c r="BQ43">
        <v>2.5200650000000002E-2</v>
      </c>
      <c r="BR43">
        <v>1.494265E-2</v>
      </c>
      <c r="BS43">
        <v>-1.115172E-2</v>
      </c>
      <c r="BT43">
        <v>2.5027609999999999E-2</v>
      </c>
      <c r="BU43">
        <v>2.6622050000000001E-2</v>
      </c>
      <c r="BV43">
        <v>8.4012400000000008E-3</v>
      </c>
      <c r="BW43">
        <v>1.5527060000000001E-2</v>
      </c>
      <c r="BX43">
        <v>4.5273300000000004E-3</v>
      </c>
      <c r="BY43">
        <v>1.7751599999999999E-2</v>
      </c>
      <c r="BZ43">
        <v>2.3555570000000001E-2</v>
      </c>
      <c r="CA43">
        <v>2.4724599999999999E-2</v>
      </c>
      <c r="CB43">
        <v>-4.2907600000000002E-3</v>
      </c>
      <c r="CC43">
        <v>8.9743500000000007E-3</v>
      </c>
      <c r="CD43">
        <v>2.0307019999999999E-2</v>
      </c>
      <c r="CE43">
        <v>1.288947E-2</v>
      </c>
      <c r="CF43">
        <v>-1.081584E-2</v>
      </c>
      <c r="CG43">
        <v>1.100773E-2</v>
      </c>
      <c r="CH43">
        <v>2.0111939999999998E-2</v>
      </c>
      <c r="CI43">
        <v>-1.3056419999999999E-2</v>
      </c>
      <c r="CJ43">
        <v>8.2176699999999998E-3</v>
      </c>
      <c r="CK43">
        <v>-4.6305199999999999E-3</v>
      </c>
      <c r="CL43">
        <v>1.6678660000000001E-2</v>
      </c>
      <c r="CM43">
        <v>7.9961400000000005E-3</v>
      </c>
      <c r="CN43">
        <v>1.205054E-2</v>
      </c>
      <c r="CO43">
        <v>6.6772000000000003E-3</v>
      </c>
      <c r="CP43">
        <v>4.50753E-3</v>
      </c>
      <c r="CQ43">
        <v>2.0342860000000001E-2</v>
      </c>
      <c r="CR43">
        <v>1.6031879999999998E-2</v>
      </c>
      <c r="CS43">
        <v>1.7825480000000001E-2</v>
      </c>
      <c r="CT43">
        <v>2.313641E-2</v>
      </c>
      <c r="CU43">
        <v>1.8495480000000002E-2</v>
      </c>
      <c r="CV43">
        <v>9.9726599999999995E-3</v>
      </c>
      <c r="CW43">
        <v>1.5464769999999999E-2</v>
      </c>
      <c r="CX43">
        <v>1.8093140000000001E-2</v>
      </c>
      <c r="CY43">
        <v>1.5391810000000001E-2</v>
      </c>
      <c r="CZ43">
        <v>2.0304139999999998E-2</v>
      </c>
      <c r="DA43">
        <v>1.182215E-2</v>
      </c>
      <c r="DB43">
        <v>2.0242050000000001E-2</v>
      </c>
      <c r="DC43">
        <v>4.2580680000000003E-2</v>
      </c>
      <c r="DD43">
        <v>3.503299E-2</v>
      </c>
      <c r="DE43">
        <v>1.7941289999999999E-2</v>
      </c>
      <c r="DF43">
        <v>8.2403700000000003E-3</v>
      </c>
      <c r="DG43">
        <v>1.6368440000000001E-2</v>
      </c>
      <c r="DH43">
        <v>1.696576E-2</v>
      </c>
      <c r="DI43">
        <v>2.2626839999999999E-2</v>
      </c>
      <c r="DJ43">
        <v>1.652638E-2</v>
      </c>
      <c r="DK43">
        <v>2.418905E-2</v>
      </c>
      <c r="DL43">
        <v>1.685965E-2</v>
      </c>
      <c r="DM43">
        <v>3.2451090000000002E-2</v>
      </c>
      <c r="DN43">
        <v>1.3512140000000001E-2</v>
      </c>
      <c r="DO43">
        <v>2.4823970000000001E-2</v>
      </c>
      <c r="DP43">
        <v>2.6640730000000001E-2</v>
      </c>
      <c r="DQ43">
        <v>3.7946420000000002E-2</v>
      </c>
      <c r="DR43">
        <v>2.8614560000000001E-2</v>
      </c>
      <c r="DS43">
        <v>1.8524209999999999E-2</v>
      </c>
      <c r="DT43">
        <v>1.561281E-2</v>
      </c>
      <c r="DU43">
        <v>3.2757399999999999E-2</v>
      </c>
      <c r="DV43">
        <v>2.18093E-2</v>
      </c>
      <c r="DW43">
        <v>2.3929550000000001E-2</v>
      </c>
      <c r="DX43">
        <v>1.338202E-2</v>
      </c>
      <c r="DY43">
        <v>2.2489200000000001E-2</v>
      </c>
      <c r="DZ43">
        <v>2.8319259999999999E-2</v>
      </c>
      <c r="EA43">
        <v>7.1575900000000001E-3</v>
      </c>
      <c r="EB43">
        <v>3.6666890000000001E-2</v>
      </c>
      <c r="EC43">
        <v>6.9641E-3</v>
      </c>
      <c r="ED43">
        <v>3.7549819999999998E-2</v>
      </c>
      <c r="EE43">
        <v>3.5607939999999998E-2</v>
      </c>
      <c r="EF43">
        <v>2.6094599999999999E-2</v>
      </c>
      <c r="EG43">
        <v>2.2944050000000001E-2</v>
      </c>
      <c r="EH43">
        <v>9.9942199999999998E-3</v>
      </c>
      <c r="EI43">
        <v>5.1030299999999997E-3</v>
      </c>
      <c r="EJ43">
        <v>5.0792999999999998E-2</v>
      </c>
      <c r="EK43">
        <v>3.8526379999999999E-2</v>
      </c>
      <c r="EL43">
        <v>5.2149319999999999E-2</v>
      </c>
      <c r="EM43">
        <v>3.2777859999999999E-2</v>
      </c>
      <c r="EN43">
        <v>4.1997600000000003E-2</v>
      </c>
      <c r="EO43">
        <v>2.5232319999999999E-2</v>
      </c>
      <c r="EP43">
        <f t="shared" si="1"/>
        <v>0</v>
      </c>
      <c r="EQ43">
        <f>SUMIF('Mi portafolio'!$A$8:$A$19,$A43,'Mi portafolio'!$B$8:$B$19)</f>
        <v>0</v>
      </c>
    </row>
    <row r="44" spans="1:147" x14ac:dyDescent="0.25">
      <c r="A44" s="34" t="s">
        <v>119</v>
      </c>
      <c r="B44">
        <v>1.6045139999999999E-2</v>
      </c>
      <c r="C44">
        <v>6.3756000000000001E-4</v>
      </c>
      <c r="D44">
        <v>-2.56398E-3</v>
      </c>
      <c r="E44">
        <v>6.5742400000000003E-3</v>
      </c>
      <c r="F44">
        <v>2.137466E-2</v>
      </c>
      <c r="G44">
        <v>-1.55489E-3</v>
      </c>
      <c r="H44">
        <v>7.8873799999999994E-3</v>
      </c>
      <c r="I44">
        <v>2.6845910000000001E-2</v>
      </c>
      <c r="J44">
        <v>1.6236770000000001E-2</v>
      </c>
      <c r="K44">
        <v>2.9094789999999999E-2</v>
      </c>
      <c r="L44">
        <v>7.7269299999999999E-3</v>
      </c>
      <c r="M44">
        <v>3.1516530000000001E-2</v>
      </c>
      <c r="N44">
        <v>2.0838820000000001E-2</v>
      </c>
      <c r="O44">
        <v>8.0885599999999998E-3</v>
      </c>
      <c r="P44">
        <v>2.0896890000000001E-2</v>
      </c>
      <c r="Q44">
        <v>4.6778699999999998E-3</v>
      </c>
      <c r="R44">
        <v>2.4854569999999999E-2</v>
      </c>
      <c r="S44">
        <v>1.096023E-2</v>
      </c>
      <c r="T44">
        <v>1.7692070000000001E-2</v>
      </c>
      <c r="U44">
        <v>1.4271259999999999E-2</v>
      </c>
      <c r="V44">
        <v>1.081769E-2</v>
      </c>
      <c r="W44">
        <v>4.5416900000000001E-3</v>
      </c>
      <c r="X44">
        <v>1.8934079999999999E-2</v>
      </c>
      <c r="Y44">
        <v>2.0755570000000001E-2</v>
      </c>
      <c r="Z44">
        <v>1.1241930000000001E-2</v>
      </c>
      <c r="AA44">
        <v>1.4583270000000001E-2</v>
      </c>
      <c r="AB44">
        <v>2.1819649999999999E-2</v>
      </c>
      <c r="AC44">
        <v>4.1697000000000001E-4</v>
      </c>
      <c r="AD44">
        <v>4.2896599999999998E-3</v>
      </c>
      <c r="AE44">
        <v>1.4728420000000001E-2</v>
      </c>
      <c r="AF44">
        <v>-1.9073000000000001E-4</v>
      </c>
      <c r="AG44">
        <v>1.200708E-2</v>
      </c>
      <c r="AH44">
        <v>1.5551010000000001E-2</v>
      </c>
      <c r="AI44">
        <v>-8.42913E-3</v>
      </c>
      <c r="AJ44">
        <v>-1.0221399999999999E-3</v>
      </c>
      <c r="AK44">
        <v>1.237399E-2</v>
      </c>
      <c r="AL44">
        <v>1.9401160000000001E-2</v>
      </c>
      <c r="AM44">
        <v>7.3922399999999996E-3</v>
      </c>
      <c r="AN44">
        <v>7.2727769999999997E-2</v>
      </c>
      <c r="AO44">
        <v>1.8263689999999999E-2</v>
      </c>
      <c r="AP44">
        <v>3.0395599999999998E-2</v>
      </c>
      <c r="AQ44">
        <v>-1.014645E-2</v>
      </c>
      <c r="AR44">
        <v>1.853511E-2</v>
      </c>
      <c r="AS44">
        <v>1.7146950000000001E-2</v>
      </c>
      <c r="AT44">
        <v>2.5656189999999999E-2</v>
      </c>
      <c r="AU44">
        <v>2.865237E-2</v>
      </c>
      <c r="AV44">
        <v>1.300085E-2</v>
      </c>
      <c r="AW44">
        <v>1.8073450000000001E-2</v>
      </c>
      <c r="AX44">
        <v>2.685148E-2</v>
      </c>
      <c r="AY44">
        <v>2.9477389999999999E-2</v>
      </c>
      <c r="AZ44">
        <v>2.055251E-2</v>
      </c>
      <c r="BA44">
        <v>3.3591719999999999E-2</v>
      </c>
      <c r="BB44">
        <v>1.992381E-2</v>
      </c>
      <c r="BC44">
        <v>7.9300499999999993E-3</v>
      </c>
      <c r="BD44">
        <v>1.4422849999999999E-2</v>
      </c>
      <c r="BE44">
        <v>2.7235530000000001E-2</v>
      </c>
      <c r="BF44">
        <v>1.56606E-2</v>
      </c>
      <c r="BG44">
        <v>2.7913460000000001E-2</v>
      </c>
      <c r="BH44">
        <v>1.6566399999999998E-2</v>
      </c>
      <c r="BI44">
        <v>8.5072800000000007E-3</v>
      </c>
      <c r="BJ44">
        <v>-4.7087600000000002E-3</v>
      </c>
      <c r="BK44">
        <v>1.149092E-2</v>
      </c>
      <c r="BL44">
        <v>2.544213E-2</v>
      </c>
      <c r="BM44">
        <v>3.750742E-2</v>
      </c>
      <c r="BN44">
        <v>1.1894419999999999E-2</v>
      </c>
      <c r="BO44">
        <v>2.3766289999999999E-2</v>
      </c>
      <c r="BP44">
        <v>8.0316599999999995E-3</v>
      </c>
      <c r="BQ44">
        <v>2.3615770000000001E-2</v>
      </c>
      <c r="BR44">
        <v>3.1664940000000003E-2</v>
      </c>
      <c r="BS44">
        <v>-1.761192E-2</v>
      </c>
      <c r="BT44">
        <v>3.9310629999999999E-2</v>
      </c>
      <c r="BU44">
        <v>1.279427E-2</v>
      </c>
      <c r="BV44">
        <v>2.8755559999999999E-2</v>
      </c>
      <c r="BW44">
        <v>2.0199999999999999E-2</v>
      </c>
      <c r="BX44">
        <v>2.5248909999999999E-2</v>
      </c>
      <c r="BY44">
        <v>3.8380749999999998E-2</v>
      </c>
      <c r="BZ44">
        <v>3.6666949999999997E-2</v>
      </c>
      <c r="CA44">
        <v>1.3427700000000001E-2</v>
      </c>
      <c r="CB44">
        <v>1.26022E-3</v>
      </c>
      <c r="CC44">
        <v>1.3189289999999999E-2</v>
      </c>
      <c r="CD44">
        <v>2.8832549999999998E-2</v>
      </c>
      <c r="CE44">
        <v>9.0761499999999998E-3</v>
      </c>
      <c r="CF44">
        <v>-1.6963019999999999E-2</v>
      </c>
      <c r="CG44">
        <v>4.2072320000000003E-2</v>
      </c>
      <c r="CH44">
        <v>1.929809E-2</v>
      </c>
      <c r="CI44">
        <v>-1.8184249999999999E-2</v>
      </c>
      <c r="CJ44">
        <v>1.2541979999999999E-2</v>
      </c>
      <c r="CK44">
        <v>4.5880209999999998E-2</v>
      </c>
      <c r="CL44">
        <v>3.1632149999999998E-2</v>
      </c>
      <c r="CM44">
        <v>6.4868599999999997E-3</v>
      </c>
      <c r="CN44">
        <v>3.14132E-3</v>
      </c>
      <c r="CO44">
        <v>1.3935090000000001E-2</v>
      </c>
      <c r="CP44">
        <v>1.782949E-2</v>
      </c>
      <c r="CQ44">
        <v>4.6787919999999997E-2</v>
      </c>
      <c r="CR44">
        <v>2.0777859999999999E-2</v>
      </c>
      <c r="CS44">
        <v>2.702212E-2</v>
      </c>
      <c r="CT44">
        <v>2.675833E-2</v>
      </c>
      <c r="CU44">
        <v>1.0131039999999999E-2</v>
      </c>
      <c r="CV44">
        <v>1.8909860000000001E-2</v>
      </c>
      <c r="CW44">
        <v>3.8414139999999999E-2</v>
      </c>
      <c r="CX44">
        <v>3.138813E-2</v>
      </c>
      <c r="CY44">
        <v>5.4023929999999998E-2</v>
      </c>
      <c r="CZ44">
        <v>1.7166210000000001E-2</v>
      </c>
      <c r="DA44">
        <v>2.539887E-2</v>
      </c>
      <c r="DB44">
        <v>2.218026E-2</v>
      </c>
      <c r="DC44">
        <v>3.8266969999999997E-2</v>
      </c>
      <c r="DD44">
        <v>4.3133100000000001E-2</v>
      </c>
      <c r="DE44">
        <v>2.8081189999999999E-2</v>
      </c>
      <c r="DF44">
        <v>8.2352899999999993E-3</v>
      </c>
      <c r="DG44">
        <v>2.4322320000000001E-2</v>
      </c>
      <c r="DH44">
        <v>7.40984E-3</v>
      </c>
      <c r="DI44">
        <v>6.0211830000000001E-2</v>
      </c>
      <c r="DJ44">
        <v>5.6686470000000003E-2</v>
      </c>
      <c r="DK44">
        <v>6.2510659999999996E-2</v>
      </c>
      <c r="DL44">
        <v>1.044936E-2</v>
      </c>
      <c r="DM44">
        <v>6.8535600000000002E-2</v>
      </c>
      <c r="DN44">
        <v>4.1349129999999998E-2</v>
      </c>
      <c r="DO44">
        <v>2.1704020000000001E-2</v>
      </c>
      <c r="DP44">
        <v>6.6251089999999999E-2</v>
      </c>
      <c r="DQ44">
        <v>3.044639E-2</v>
      </c>
      <c r="DR44">
        <v>5.4493299999999996E-3</v>
      </c>
      <c r="DS44">
        <v>2.2886489999999999E-2</v>
      </c>
      <c r="DT44">
        <v>-1.2340599999999999E-3</v>
      </c>
      <c r="DU44">
        <v>3.3018939999999997E-2</v>
      </c>
      <c r="DV44">
        <v>1.256937E-2</v>
      </c>
      <c r="DW44">
        <v>3.5933519999999997E-2</v>
      </c>
      <c r="DX44">
        <v>2.1189800000000002E-2</v>
      </c>
      <c r="DY44">
        <v>5.7218280000000003E-2</v>
      </c>
      <c r="DZ44">
        <v>4.3707700000000004E-3</v>
      </c>
      <c r="EA44">
        <v>3.10637E-2</v>
      </c>
      <c r="EB44">
        <v>5.558478E-2</v>
      </c>
      <c r="EC44">
        <v>-8.3133700000000005E-3</v>
      </c>
      <c r="ED44">
        <v>2.8373949999999998E-2</v>
      </c>
      <c r="EE44">
        <v>1.4281840000000001E-2</v>
      </c>
      <c r="EF44">
        <v>2.4260799999999999E-2</v>
      </c>
      <c r="EG44">
        <v>1.6829070000000002E-2</v>
      </c>
      <c r="EH44">
        <v>1.895372E-2</v>
      </c>
      <c r="EI44">
        <v>2.6348700000000001E-3</v>
      </c>
      <c r="EJ44">
        <v>3.7191410000000001E-2</v>
      </c>
      <c r="EK44">
        <v>2.0007339999999998E-2</v>
      </c>
      <c r="EL44">
        <v>3.0110080000000001E-2</v>
      </c>
      <c r="EM44">
        <v>1.0880809999999999E-2</v>
      </c>
      <c r="EN44">
        <v>6.7735740000000003E-2</v>
      </c>
      <c r="EO44">
        <v>6.2081869999999997E-2</v>
      </c>
      <c r="EP44">
        <f t="shared" si="1"/>
        <v>0</v>
      </c>
      <c r="EQ44">
        <f>SUMIF('Mi portafolio'!$A$8:$A$19,$A44,'Mi portafolio'!$B$8:$B$19)</f>
        <v>0</v>
      </c>
    </row>
    <row r="45" spans="1:147" x14ac:dyDescent="0.25">
      <c r="A45" s="34" t="s">
        <v>120</v>
      </c>
      <c r="B45">
        <v>1.16548E-2</v>
      </c>
      <c r="C45">
        <v>1.3731500000000001E-3</v>
      </c>
      <c r="D45">
        <v>1.1342399999999999E-3</v>
      </c>
      <c r="E45">
        <v>5.3080499999999999E-3</v>
      </c>
      <c r="F45">
        <v>2.178134E-2</v>
      </c>
      <c r="G45">
        <v>1.3748199999999999E-3</v>
      </c>
      <c r="H45">
        <v>-2.5417000000000001E-4</v>
      </c>
      <c r="I45">
        <v>2.0293820000000001E-2</v>
      </c>
      <c r="J45">
        <v>3.2377499999999997E-2</v>
      </c>
      <c r="K45">
        <v>1.866313E-2</v>
      </c>
      <c r="L45">
        <v>3.0334799999999999E-3</v>
      </c>
      <c r="M45">
        <v>9.2957200000000004E-3</v>
      </c>
      <c r="N45">
        <v>2.5155009999999998E-2</v>
      </c>
      <c r="O45">
        <v>-6.4179999999999999E-4</v>
      </c>
      <c r="P45">
        <v>1.9703890000000002E-2</v>
      </c>
      <c r="Q45">
        <v>-1.9827000000000001E-4</v>
      </c>
      <c r="R45">
        <v>1.7461379999999999E-2</v>
      </c>
      <c r="S45">
        <v>5.8474399999999998E-3</v>
      </c>
      <c r="T45">
        <v>8.6703100000000005E-3</v>
      </c>
      <c r="U45">
        <v>5.42298E-3</v>
      </c>
      <c r="V45">
        <v>-2.07938E-3</v>
      </c>
      <c r="W45">
        <v>6.4220099999999997E-3</v>
      </c>
      <c r="X45">
        <v>8.3654100000000002E-3</v>
      </c>
      <c r="Y45">
        <v>2.1702539999999999E-2</v>
      </c>
      <c r="Z45">
        <v>4.8714E-4</v>
      </c>
      <c r="AA45">
        <v>1.1530200000000001E-2</v>
      </c>
      <c r="AB45">
        <v>1.9139639999999999E-2</v>
      </c>
      <c r="AC45">
        <v>-9.2667700000000006E-3</v>
      </c>
      <c r="AD45">
        <v>6.6140999999999997E-4</v>
      </c>
      <c r="AE45">
        <v>-2.2000000000000001E-3</v>
      </c>
      <c r="AF45">
        <v>-3.46875E-3</v>
      </c>
      <c r="AG45">
        <v>1.6537550000000002E-2</v>
      </c>
      <c r="AH45">
        <v>1.7866320000000002E-2</v>
      </c>
      <c r="AI45">
        <v>7.5235099999999997E-3</v>
      </c>
      <c r="AJ45">
        <v>-2.63255E-3</v>
      </c>
      <c r="AK45">
        <v>-5.2389899999999998E-3</v>
      </c>
      <c r="AL45">
        <v>1.515471E-2</v>
      </c>
      <c r="AM45">
        <v>7.8174200000000003E-3</v>
      </c>
      <c r="AN45">
        <v>1.8263689999999999E-2</v>
      </c>
      <c r="AO45">
        <v>7.4063390000000007E-2</v>
      </c>
      <c r="AP45">
        <v>9.8061599999999995E-3</v>
      </c>
      <c r="AQ45">
        <v>9.0134199999999994E-3</v>
      </c>
      <c r="AR45">
        <v>1.038847E-2</v>
      </c>
      <c r="AS45">
        <v>-3.4264E-3</v>
      </c>
      <c r="AT45">
        <v>9.3166700000000009E-3</v>
      </c>
      <c r="AU45">
        <v>2.367847E-2</v>
      </c>
      <c r="AV45">
        <v>6.9597799999999996E-3</v>
      </c>
      <c r="AW45">
        <v>-4.4038799999999998E-3</v>
      </c>
      <c r="AX45">
        <v>4.2564240000000003E-2</v>
      </c>
      <c r="AY45">
        <v>1.5753050000000001E-2</v>
      </c>
      <c r="AZ45">
        <v>8.2639999999999995E-5</v>
      </c>
      <c r="BA45">
        <v>1.5506199999999999E-2</v>
      </c>
      <c r="BB45">
        <v>3.9381199999999998E-3</v>
      </c>
      <c r="BC45">
        <v>1.0221999999999999E-4</v>
      </c>
      <c r="BD45">
        <v>1.8831900000000001E-3</v>
      </c>
      <c r="BE45">
        <v>3.9002599999999998E-2</v>
      </c>
      <c r="BF45">
        <v>5.8777200000000003E-3</v>
      </c>
      <c r="BG45">
        <v>2.464218E-2</v>
      </c>
      <c r="BH45">
        <v>-1.3313800000000001E-3</v>
      </c>
      <c r="BI45">
        <v>-4.4990300000000002E-3</v>
      </c>
      <c r="BJ45">
        <v>-5.5833000000000002E-3</v>
      </c>
      <c r="BK45">
        <v>-1.4144100000000001E-3</v>
      </c>
      <c r="BL45">
        <v>1.317245E-2</v>
      </c>
      <c r="BM45">
        <v>1.857294E-2</v>
      </c>
      <c r="BN45">
        <v>1.9080219999999998E-2</v>
      </c>
      <c r="BO45">
        <v>5.1950099999999999E-3</v>
      </c>
      <c r="BP45">
        <v>-4.5192000000000001E-3</v>
      </c>
      <c r="BQ45">
        <v>-6.2434400000000003E-3</v>
      </c>
      <c r="BR45">
        <v>-1.06335E-3</v>
      </c>
      <c r="BS45">
        <v>5.5550599999999997E-3</v>
      </c>
      <c r="BT45">
        <v>1.114157E-2</v>
      </c>
      <c r="BU45">
        <v>-1.028448E-2</v>
      </c>
      <c r="BV45">
        <v>-8.6504700000000004E-3</v>
      </c>
      <c r="BW45">
        <v>6.4596699999999998E-3</v>
      </c>
      <c r="BX45">
        <v>4.0958260000000003E-2</v>
      </c>
      <c r="BY45">
        <v>1.3189960000000001E-2</v>
      </c>
      <c r="BZ45">
        <v>4.2208499999999999E-3</v>
      </c>
      <c r="CA45">
        <v>-3.81132E-3</v>
      </c>
      <c r="CB45">
        <v>-1.5435E-3</v>
      </c>
      <c r="CC45">
        <v>1.7926319999999999E-2</v>
      </c>
      <c r="CD45">
        <v>1.6753319999999999E-2</v>
      </c>
      <c r="CE45">
        <v>8.4591000000000006E-3</v>
      </c>
      <c r="CF45">
        <v>7.1049499999999996E-3</v>
      </c>
      <c r="CG45">
        <v>1.1307090000000001E-2</v>
      </c>
      <c r="CH45">
        <v>-7.2600000000000003E-5</v>
      </c>
      <c r="CI45">
        <v>9.9453200000000005E-3</v>
      </c>
      <c r="CJ45">
        <v>1.8291310000000002E-2</v>
      </c>
      <c r="CK45">
        <v>1.2158530000000001E-2</v>
      </c>
      <c r="CL45">
        <v>1.5373410000000001E-2</v>
      </c>
      <c r="CM45">
        <v>-9.9162699999999996E-3</v>
      </c>
      <c r="CN45">
        <v>-1.4154E-3</v>
      </c>
      <c r="CO45">
        <v>-1.0626409999999999E-2</v>
      </c>
      <c r="CP45">
        <v>1.307417E-2</v>
      </c>
      <c r="CQ45">
        <v>1.3145570000000001E-2</v>
      </c>
      <c r="CR45">
        <v>-7.6987100000000001E-3</v>
      </c>
      <c r="CS45">
        <v>4.5688100000000004E-3</v>
      </c>
      <c r="CT45">
        <v>9.7453000000000004E-4</v>
      </c>
      <c r="CU45">
        <v>-7.8539100000000004E-3</v>
      </c>
      <c r="CV45">
        <v>-4.5172299999999997E-3</v>
      </c>
      <c r="CW45">
        <v>1.4886969999999999E-2</v>
      </c>
      <c r="CX45">
        <v>1.406635E-2</v>
      </c>
      <c r="CY45">
        <v>1.4713469999999999E-2</v>
      </c>
      <c r="CZ45">
        <v>3.3239799999999998E-3</v>
      </c>
      <c r="DA45">
        <v>2.2329990000000001E-2</v>
      </c>
      <c r="DB45">
        <v>-5.4530500000000001E-3</v>
      </c>
      <c r="DC45">
        <v>-6.1538999999999995E-4</v>
      </c>
      <c r="DD45">
        <v>1.273057E-2</v>
      </c>
      <c r="DE45">
        <v>-4.2692000000000001E-4</v>
      </c>
      <c r="DF45">
        <v>8.1087699999999995E-3</v>
      </c>
      <c r="DG45">
        <v>4.81745E-3</v>
      </c>
      <c r="DH45">
        <v>-1.633623E-2</v>
      </c>
      <c r="DI45">
        <v>7.9745600000000003E-3</v>
      </c>
      <c r="DJ45">
        <v>2.0133459999999999E-2</v>
      </c>
      <c r="DK45">
        <v>1.1312849999999999E-2</v>
      </c>
      <c r="DL45">
        <v>-1.107879E-2</v>
      </c>
      <c r="DM45">
        <v>2.0418470000000001E-2</v>
      </c>
      <c r="DN45">
        <v>1.5871070000000001E-2</v>
      </c>
      <c r="DO45">
        <v>-1.6787799999999999E-3</v>
      </c>
      <c r="DP45">
        <v>2.0526139999999998E-2</v>
      </c>
      <c r="DQ45">
        <v>-2.0920770000000002E-2</v>
      </c>
      <c r="DR45">
        <v>5.7113700000000003E-3</v>
      </c>
      <c r="DS45">
        <v>-1.4300000000000001E-3</v>
      </c>
      <c r="DT45">
        <v>-2.4790469999999998E-2</v>
      </c>
      <c r="DU45">
        <v>-1.423516E-2</v>
      </c>
      <c r="DV45">
        <v>-3.3558199999999998E-3</v>
      </c>
      <c r="DW45">
        <v>4.6621400000000004E-3</v>
      </c>
      <c r="DX45">
        <v>-9.18771E-3</v>
      </c>
      <c r="DY45">
        <v>-2.6804900000000002E-3</v>
      </c>
      <c r="DZ45">
        <v>-2.0687800000000001E-3</v>
      </c>
      <c r="EA45">
        <v>1.942091E-2</v>
      </c>
      <c r="EB45">
        <v>1.167E-5</v>
      </c>
      <c r="EC45">
        <v>-7.3764E-3</v>
      </c>
      <c r="ED45">
        <v>1.43445E-2</v>
      </c>
      <c r="EE45">
        <v>-9.2866700000000003E-3</v>
      </c>
      <c r="EF45">
        <v>1.3966E-3</v>
      </c>
      <c r="EG45">
        <v>-1.5998510000000001E-2</v>
      </c>
      <c r="EH45">
        <v>1.5651040000000001E-2</v>
      </c>
      <c r="EI45">
        <v>-2.1653180000000001E-2</v>
      </c>
      <c r="EJ45">
        <v>2.3695830000000001E-2</v>
      </c>
      <c r="EK45">
        <v>-8.8759999999999997E-5</v>
      </c>
      <c r="EL45">
        <v>-1.1513260000000001E-2</v>
      </c>
      <c r="EM45">
        <v>-1.229629E-2</v>
      </c>
      <c r="EN45">
        <v>7.6351180000000005E-2</v>
      </c>
      <c r="EO45">
        <v>1.4597870000000001E-2</v>
      </c>
      <c r="EP45">
        <f t="shared" si="1"/>
        <v>0</v>
      </c>
      <c r="EQ45">
        <f>SUMIF('Mi portafolio'!$A$8:$A$19,$A45,'Mi portafolio'!$B$8:$B$19)</f>
        <v>0</v>
      </c>
    </row>
    <row r="46" spans="1:147" x14ac:dyDescent="0.25">
      <c r="A46" s="34" t="s">
        <v>121</v>
      </c>
      <c r="B46">
        <v>1.05343E-2</v>
      </c>
      <c r="C46">
        <v>-2.8975400000000001E-3</v>
      </c>
      <c r="D46">
        <v>1.5430699999999999E-3</v>
      </c>
      <c r="E46">
        <v>7.3099599999999999E-3</v>
      </c>
      <c r="F46">
        <v>1.5707829999999999E-2</v>
      </c>
      <c r="G46">
        <v>2.69024E-3</v>
      </c>
      <c r="H46">
        <v>1.1228099999999999E-3</v>
      </c>
      <c r="I46">
        <v>1.6712020000000001E-2</v>
      </c>
      <c r="J46">
        <v>6.8249000000000001E-3</v>
      </c>
      <c r="K46">
        <v>1.7890719999999999E-2</v>
      </c>
      <c r="L46">
        <v>5.0289899999999997E-3</v>
      </c>
      <c r="M46">
        <v>1.559957E-2</v>
      </c>
      <c r="N46">
        <v>2.3566030000000002E-2</v>
      </c>
      <c r="O46">
        <v>8.2683800000000005E-3</v>
      </c>
      <c r="P46">
        <v>1.024597E-2</v>
      </c>
      <c r="Q46">
        <v>5.2286499999999996E-3</v>
      </c>
      <c r="R46">
        <v>2.1139999999999999E-2</v>
      </c>
      <c r="S46">
        <v>5.93663E-3</v>
      </c>
      <c r="T46">
        <v>1.6026240000000001E-2</v>
      </c>
      <c r="U46">
        <v>1.178422E-2</v>
      </c>
      <c r="V46">
        <v>8.12797E-3</v>
      </c>
      <c r="W46">
        <v>6.3408300000000004E-3</v>
      </c>
      <c r="X46">
        <v>1.9098500000000001E-2</v>
      </c>
      <c r="Y46">
        <v>1.9124080000000002E-2</v>
      </c>
      <c r="Z46">
        <v>3.73143E-3</v>
      </c>
      <c r="AA46">
        <v>1.4081369999999999E-2</v>
      </c>
      <c r="AB46">
        <v>2.137472E-2</v>
      </c>
      <c r="AC46">
        <v>1.25596E-3</v>
      </c>
      <c r="AD46">
        <v>-2.5000600000000001E-3</v>
      </c>
      <c r="AE46">
        <v>5.5219600000000002E-3</v>
      </c>
      <c r="AF46">
        <v>2.8025699999999999E-3</v>
      </c>
      <c r="AG46">
        <v>1.198082E-2</v>
      </c>
      <c r="AH46">
        <v>1.5274090000000001E-2</v>
      </c>
      <c r="AI46">
        <v>-3.82095E-3</v>
      </c>
      <c r="AJ46">
        <v>5.9159800000000004E-3</v>
      </c>
      <c r="AK46">
        <v>9.4513700000000006E-3</v>
      </c>
      <c r="AL46">
        <v>2.0759409999999999E-2</v>
      </c>
      <c r="AM46">
        <v>9.0660399999999992E-3</v>
      </c>
      <c r="AN46">
        <v>3.0395599999999998E-2</v>
      </c>
      <c r="AO46">
        <v>9.8061599999999995E-3</v>
      </c>
      <c r="AP46">
        <v>7.6028819999999997E-2</v>
      </c>
      <c r="AQ46">
        <v>-4.9837800000000002E-3</v>
      </c>
      <c r="AR46">
        <v>1.4842340000000001E-2</v>
      </c>
      <c r="AS46">
        <v>9.3465000000000006E-3</v>
      </c>
      <c r="AT46">
        <v>2.7988800000000001E-2</v>
      </c>
      <c r="AU46">
        <v>1.0373800000000001E-2</v>
      </c>
      <c r="AV46">
        <v>1.285504E-2</v>
      </c>
      <c r="AW46">
        <v>1.043739E-2</v>
      </c>
      <c r="AX46">
        <v>2.1637819999999999E-2</v>
      </c>
      <c r="AY46">
        <v>2.1124939999999998E-2</v>
      </c>
      <c r="AZ46">
        <v>6.92743E-3</v>
      </c>
      <c r="BA46">
        <v>2.2732390000000002E-2</v>
      </c>
      <c r="BB46">
        <v>2.1262130000000001E-2</v>
      </c>
      <c r="BC46">
        <v>1.113741E-2</v>
      </c>
      <c r="BD46">
        <v>1.080794E-2</v>
      </c>
      <c r="BE46">
        <v>1.7511240000000001E-2</v>
      </c>
      <c r="BF46">
        <v>1.035107E-2</v>
      </c>
      <c r="BG46">
        <v>2.5871999999999999E-2</v>
      </c>
      <c r="BH46">
        <v>1.0251130000000001E-2</v>
      </c>
      <c r="BI46">
        <v>9.4549200000000003E-3</v>
      </c>
      <c r="BJ46">
        <v>-6.6286000000000003E-4</v>
      </c>
      <c r="BK46">
        <v>5.3548199999999997E-3</v>
      </c>
      <c r="BL46">
        <v>1.492869E-2</v>
      </c>
      <c r="BM46">
        <v>2.4728610000000002E-2</v>
      </c>
      <c r="BN46">
        <v>1.2691010000000001E-2</v>
      </c>
      <c r="BO46">
        <v>2.4398369999999999E-2</v>
      </c>
      <c r="BP46">
        <v>1.480918E-2</v>
      </c>
      <c r="BQ46">
        <v>1.4884319999999999E-2</v>
      </c>
      <c r="BR46">
        <v>3.7192129999999997E-2</v>
      </c>
      <c r="BS46">
        <v>-6.97856E-3</v>
      </c>
      <c r="BT46">
        <v>2.3182020000000001E-2</v>
      </c>
      <c r="BU46">
        <v>9.2966899999999998E-3</v>
      </c>
      <c r="BV46">
        <v>2.1856879999999999E-2</v>
      </c>
      <c r="BW46">
        <v>2.1178059999999999E-2</v>
      </c>
      <c r="BX46">
        <v>2.011019E-2</v>
      </c>
      <c r="BY46">
        <v>3.1292779999999999E-2</v>
      </c>
      <c r="BZ46">
        <v>2.0417459999999998E-2</v>
      </c>
      <c r="CA46">
        <v>5.47E-3</v>
      </c>
      <c r="CB46">
        <v>3.8034000000000001E-4</v>
      </c>
      <c r="CC46">
        <v>1.5054079999999999E-2</v>
      </c>
      <c r="CD46">
        <v>3.2610849999999997E-2</v>
      </c>
      <c r="CE46">
        <v>6.826E-4</v>
      </c>
      <c r="CF46">
        <v>-1.01116E-2</v>
      </c>
      <c r="CG46">
        <v>3.7903310000000003E-2</v>
      </c>
      <c r="CH46">
        <v>1.8703040000000001E-2</v>
      </c>
      <c r="CI46">
        <v>-7.4106600000000003E-3</v>
      </c>
      <c r="CJ46">
        <v>3.571879E-2</v>
      </c>
      <c r="CK46">
        <v>4.1924570000000001E-2</v>
      </c>
      <c r="CL46">
        <v>2.3247879999999999E-2</v>
      </c>
      <c r="CM46">
        <v>1.419806E-2</v>
      </c>
      <c r="CN46">
        <v>4.3487100000000004E-3</v>
      </c>
      <c r="CO46">
        <v>1.8195530000000001E-2</v>
      </c>
      <c r="CP46">
        <v>1.6681350000000001E-2</v>
      </c>
      <c r="CQ46">
        <v>3.649521E-2</v>
      </c>
      <c r="CR46">
        <v>1.088896E-2</v>
      </c>
      <c r="CS46">
        <v>6.7022799999999997E-3</v>
      </c>
      <c r="CT46">
        <v>4.20233E-2</v>
      </c>
      <c r="CU46">
        <v>1.4306330000000001E-2</v>
      </c>
      <c r="CV46">
        <v>1.9331109999999999E-2</v>
      </c>
      <c r="CW46">
        <v>3.9509830000000003E-2</v>
      </c>
      <c r="CX46">
        <v>3.0369150000000001E-2</v>
      </c>
      <c r="CY46">
        <v>3.9830499999999998E-2</v>
      </c>
      <c r="CZ46">
        <v>1.8286770000000001E-2</v>
      </c>
      <c r="DA46">
        <v>3.682763E-2</v>
      </c>
      <c r="DB46">
        <v>2.4279019999999998E-2</v>
      </c>
      <c r="DC46">
        <v>2.3338069999999999E-2</v>
      </c>
      <c r="DD46">
        <v>4.862213E-2</v>
      </c>
      <c r="DE46">
        <v>1.8572459999999999E-2</v>
      </c>
      <c r="DF46">
        <v>2.4375330000000001E-2</v>
      </c>
      <c r="DG46">
        <v>2.4647349999999998E-2</v>
      </c>
      <c r="DH46">
        <v>5.1942999999999998E-3</v>
      </c>
      <c r="DI46">
        <v>4.5805699999999998E-2</v>
      </c>
      <c r="DJ46">
        <v>5.2124419999999998E-2</v>
      </c>
      <c r="DK46">
        <v>4.4636189999999999E-2</v>
      </c>
      <c r="DL46">
        <v>1.288682E-2</v>
      </c>
      <c r="DM46">
        <v>5.6697900000000002E-2</v>
      </c>
      <c r="DN46">
        <v>5.1539870000000002E-2</v>
      </c>
      <c r="DO46">
        <v>2.4860489999999999E-2</v>
      </c>
      <c r="DP46">
        <v>5.0748250000000002E-2</v>
      </c>
      <c r="DQ46">
        <v>8.5934600000000007E-3</v>
      </c>
      <c r="DR46">
        <v>1.0485639999999999E-2</v>
      </c>
      <c r="DS46">
        <v>2.3042320000000002E-2</v>
      </c>
      <c r="DT46">
        <v>1.1875719999999999E-2</v>
      </c>
      <c r="DU46">
        <v>4.6679459999999999E-2</v>
      </c>
      <c r="DV46">
        <v>2.286819E-2</v>
      </c>
      <c r="DW46">
        <v>4.9332050000000002E-2</v>
      </c>
      <c r="DX46">
        <v>-5.7506199999999997E-3</v>
      </c>
      <c r="DY46">
        <v>5.8577329999999997E-2</v>
      </c>
      <c r="DZ46">
        <v>1.546807E-2</v>
      </c>
      <c r="EA46">
        <v>4.5888829999999999E-2</v>
      </c>
      <c r="EB46">
        <v>5.537595E-2</v>
      </c>
      <c r="EC46">
        <v>-1.04663E-3</v>
      </c>
      <c r="ED46">
        <v>4.606793E-2</v>
      </c>
      <c r="EE46">
        <v>1.4427840000000001E-2</v>
      </c>
      <c r="EF46">
        <v>2.4540849999999999E-2</v>
      </c>
      <c r="EG46">
        <v>6.8806400000000004E-3</v>
      </c>
      <c r="EH46">
        <v>4.1845680000000003E-2</v>
      </c>
      <c r="EI46">
        <v>-2.0003960000000001E-2</v>
      </c>
      <c r="EJ46">
        <v>5.2612520000000003E-2</v>
      </c>
      <c r="EK46">
        <v>3.5531510000000002E-2</v>
      </c>
      <c r="EL46">
        <v>2.533111E-2</v>
      </c>
      <c r="EM46">
        <v>4.8230759999999998E-2</v>
      </c>
      <c r="EN46">
        <v>8.6744180000000004E-2</v>
      </c>
      <c r="EO46">
        <v>8.9927339999999995E-2</v>
      </c>
      <c r="EP46">
        <f t="shared" si="1"/>
        <v>0</v>
      </c>
      <c r="EQ46">
        <f>SUMIF('Mi portafolio'!$A$8:$A$19,$A46,'Mi portafolio'!$B$8:$B$19)</f>
        <v>0</v>
      </c>
    </row>
    <row r="47" spans="1:147" x14ac:dyDescent="0.25">
      <c r="A47" s="34" t="s">
        <v>122</v>
      </c>
      <c r="B47">
        <v>5.64818E-3</v>
      </c>
      <c r="C47">
        <v>5.4644999999999997E-4</v>
      </c>
      <c r="D47">
        <v>-5.3656199999999998E-3</v>
      </c>
      <c r="E47">
        <v>5.8088200000000001E-3</v>
      </c>
      <c r="F47">
        <v>1.39507E-2</v>
      </c>
      <c r="G47">
        <v>-1.08836E-3</v>
      </c>
      <c r="H47">
        <v>-4.9695399999999997E-3</v>
      </c>
      <c r="I47">
        <v>7.5376999999999996E-3</v>
      </c>
      <c r="J47">
        <v>1.1982100000000001E-2</v>
      </c>
      <c r="K47">
        <v>4.0784999999999997E-3</v>
      </c>
      <c r="L47">
        <v>-4.0509999999999998E-4</v>
      </c>
      <c r="M47">
        <v>-7.12329E-3</v>
      </c>
      <c r="N47">
        <v>5.3978699999999999E-3</v>
      </c>
      <c r="O47">
        <v>-1.27742E-3</v>
      </c>
      <c r="P47">
        <v>1.6584829999999998E-2</v>
      </c>
      <c r="Q47">
        <v>-3.07275E-3</v>
      </c>
      <c r="R47">
        <v>1.485792E-2</v>
      </c>
      <c r="S47">
        <v>-8.3847100000000001E-3</v>
      </c>
      <c r="T47">
        <v>-4.4958999999999998E-4</v>
      </c>
      <c r="U47">
        <v>-7.4693099999999998E-3</v>
      </c>
      <c r="V47">
        <v>-4.8696399999999997E-3</v>
      </c>
      <c r="W47">
        <v>3.4840100000000001E-3</v>
      </c>
      <c r="X47">
        <v>-4.6393999999999998E-4</v>
      </c>
      <c r="Y47">
        <v>5.1875100000000002E-3</v>
      </c>
      <c r="Z47">
        <v>-1.5364E-3</v>
      </c>
      <c r="AA47">
        <v>-5.8501500000000001E-3</v>
      </c>
      <c r="AB47">
        <v>5.2505E-3</v>
      </c>
      <c r="AC47">
        <v>4.8225100000000003E-3</v>
      </c>
      <c r="AD47">
        <v>3.2525499999999999E-3</v>
      </c>
      <c r="AE47">
        <v>-1.6578610000000001E-2</v>
      </c>
      <c r="AF47">
        <v>-5.7637900000000004E-3</v>
      </c>
      <c r="AG47">
        <v>1.9995539999999999E-2</v>
      </c>
      <c r="AH47">
        <v>1.7584260000000001E-2</v>
      </c>
      <c r="AI47">
        <v>6.2066459999999997E-2</v>
      </c>
      <c r="AJ47">
        <v>-3.3871399999999999E-3</v>
      </c>
      <c r="AK47">
        <v>-5.5747899999999996E-3</v>
      </c>
      <c r="AL47">
        <v>4.0624999999999998E-4</v>
      </c>
      <c r="AM47">
        <v>-1.158669E-2</v>
      </c>
      <c r="AN47">
        <v>-1.014645E-2</v>
      </c>
      <c r="AO47">
        <v>9.0134199999999994E-3</v>
      </c>
      <c r="AP47">
        <v>-4.9837800000000002E-3</v>
      </c>
      <c r="AQ47">
        <v>7.63432E-2</v>
      </c>
      <c r="AR47">
        <v>1.1825799999999999E-3</v>
      </c>
      <c r="AS47">
        <v>-9.1549700000000001E-3</v>
      </c>
      <c r="AT47">
        <v>-5.3642200000000003E-3</v>
      </c>
      <c r="AU47">
        <v>1.320906E-2</v>
      </c>
      <c r="AV47">
        <v>2.7341000000000002E-3</v>
      </c>
      <c r="AW47">
        <v>-4.9663299999999997E-3</v>
      </c>
      <c r="AX47">
        <v>3.8720899999999999E-3</v>
      </c>
      <c r="AY47">
        <v>4.2524700000000004E-3</v>
      </c>
      <c r="AZ47">
        <v>-1.5685230000000001E-2</v>
      </c>
      <c r="BA47">
        <v>-1.9556399999999998E-3</v>
      </c>
      <c r="BB47">
        <v>-1.04943E-2</v>
      </c>
      <c r="BC47">
        <v>-3.4707800000000001E-3</v>
      </c>
      <c r="BD47">
        <v>-1.0303029999999999E-2</v>
      </c>
      <c r="BE47">
        <v>9.9591599999999999E-3</v>
      </c>
      <c r="BF47">
        <v>8.7131000000000003E-4</v>
      </c>
      <c r="BG47">
        <v>-9.0755000000000002E-4</v>
      </c>
      <c r="BH47">
        <v>-1.293243E-2</v>
      </c>
      <c r="BI47">
        <v>-3.1286E-3</v>
      </c>
      <c r="BJ47">
        <v>-2.0008600000000001E-3</v>
      </c>
      <c r="BK47">
        <v>-1.253425E-2</v>
      </c>
      <c r="BL47">
        <v>-4.1866000000000004E-3</v>
      </c>
      <c r="BM47">
        <v>4.4176099999999998E-3</v>
      </c>
      <c r="BN47">
        <v>1.033218E-2</v>
      </c>
      <c r="BO47">
        <v>-1.545182E-2</v>
      </c>
      <c r="BP47">
        <v>-6.0737899999999999E-3</v>
      </c>
      <c r="BQ47">
        <v>-1.368309E-2</v>
      </c>
      <c r="BR47">
        <v>-4.7111799999999997E-3</v>
      </c>
      <c r="BS47">
        <v>6.948066E-2</v>
      </c>
      <c r="BT47">
        <v>-2.3262310000000001E-2</v>
      </c>
      <c r="BU47">
        <v>-6.06705E-3</v>
      </c>
      <c r="BV47">
        <v>-1.6752220000000002E-2</v>
      </c>
      <c r="BW47">
        <v>2.1990000000000001E-4</v>
      </c>
      <c r="BX47">
        <v>-7.7196999999999997E-4</v>
      </c>
      <c r="BY47">
        <v>-1.328554E-2</v>
      </c>
      <c r="BZ47">
        <v>-1.9514159999999999E-2</v>
      </c>
      <c r="CA47">
        <v>-1.1542709999999999E-2</v>
      </c>
      <c r="CB47">
        <v>1.578914E-2</v>
      </c>
      <c r="CC47">
        <v>1.02231E-3</v>
      </c>
      <c r="CD47">
        <v>-8.5107199999999994E-3</v>
      </c>
      <c r="CE47">
        <v>1.1554119999999999E-2</v>
      </c>
      <c r="CF47">
        <v>7.7346319999999996E-2</v>
      </c>
      <c r="CG47">
        <v>-1.565445E-2</v>
      </c>
      <c r="CH47">
        <v>-1.3162109999999999E-2</v>
      </c>
      <c r="CI47">
        <v>7.9423690000000005E-2</v>
      </c>
      <c r="CJ47">
        <v>7.5966999999999996E-3</v>
      </c>
      <c r="CK47">
        <v>9.0401600000000002E-3</v>
      </c>
      <c r="CL47">
        <v>-1.8802429999999998E-2</v>
      </c>
      <c r="CM47">
        <v>-1.44966E-2</v>
      </c>
      <c r="CN47">
        <v>5.0177599999999996E-3</v>
      </c>
      <c r="CO47">
        <v>-9.1609800000000009E-3</v>
      </c>
      <c r="CP47">
        <v>7.6524599999999998E-3</v>
      </c>
      <c r="CQ47">
        <v>-2.890272E-2</v>
      </c>
      <c r="CR47">
        <v>-1.9998970000000001E-2</v>
      </c>
      <c r="CS47">
        <v>-3.7318E-3</v>
      </c>
      <c r="CT47">
        <v>-9.7963100000000008E-3</v>
      </c>
      <c r="CU47">
        <v>-2.0487700000000001E-3</v>
      </c>
      <c r="CV47">
        <v>-2.0936E-2</v>
      </c>
      <c r="CW47">
        <v>-1.2197619999999999E-2</v>
      </c>
      <c r="CX47">
        <v>-1.5314680000000001E-2</v>
      </c>
      <c r="CY47">
        <v>-3.3088140000000002E-2</v>
      </c>
      <c r="CZ47">
        <v>2.7649599999999999E-3</v>
      </c>
      <c r="DA47">
        <v>-7.273E-3</v>
      </c>
      <c r="DB47">
        <v>-1.534805E-2</v>
      </c>
      <c r="DC47">
        <v>-4.8428810000000003E-2</v>
      </c>
      <c r="DD47">
        <v>-2.0788350000000001E-2</v>
      </c>
      <c r="DE47">
        <v>-1.296374E-2</v>
      </c>
      <c r="DF47">
        <v>3.53024E-3</v>
      </c>
      <c r="DG47">
        <v>-1.384288E-2</v>
      </c>
      <c r="DH47">
        <v>-1.474432E-2</v>
      </c>
      <c r="DI47">
        <v>-4.7844659999999997E-2</v>
      </c>
      <c r="DJ47">
        <v>-2.8289539999999998E-2</v>
      </c>
      <c r="DK47">
        <v>-4.7032650000000002E-2</v>
      </c>
      <c r="DL47">
        <v>-3.0405970000000001E-2</v>
      </c>
      <c r="DM47">
        <v>-3.9784409999999999E-2</v>
      </c>
      <c r="DN47">
        <v>-8.6455100000000003E-3</v>
      </c>
      <c r="DO47">
        <v>-9.1786599999999999E-3</v>
      </c>
      <c r="DP47">
        <v>-4.4324710000000003E-2</v>
      </c>
      <c r="DQ47">
        <v>-1.0912679999999999E-2</v>
      </c>
      <c r="DR47">
        <v>9.3169399999999993E-3</v>
      </c>
      <c r="DS47">
        <v>-6.2660600000000004E-3</v>
      </c>
      <c r="DT47">
        <v>-1.5799859999999999E-2</v>
      </c>
      <c r="DU47">
        <v>-2.3974639999999998E-2</v>
      </c>
      <c r="DV47">
        <v>-3.88938E-3</v>
      </c>
      <c r="DW47">
        <v>-3.074116E-2</v>
      </c>
      <c r="DX47">
        <v>-2.125968E-2</v>
      </c>
      <c r="DY47">
        <v>-2.8634280000000002E-2</v>
      </c>
      <c r="DZ47">
        <v>-6.8101899999999998E-3</v>
      </c>
      <c r="EA47">
        <v>-3.1969209999999998E-2</v>
      </c>
      <c r="EB47">
        <v>-2.3781130000000001E-2</v>
      </c>
      <c r="EC47">
        <v>-1.5838000000000001E-4</v>
      </c>
      <c r="ED47">
        <v>-1.864611E-2</v>
      </c>
      <c r="EE47">
        <v>-3.0045860000000001E-2</v>
      </c>
      <c r="EF47">
        <v>2.72368E-3</v>
      </c>
      <c r="EG47">
        <v>-3.0980210000000001E-2</v>
      </c>
      <c r="EH47">
        <v>-1.494733E-2</v>
      </c>
      <c r="EI47">
        <v>-3.4538199999999998E-2</v>
      </c>
      <c r="EJ47">
        <v>-1.356216E-2</v>
      </c>
      <c r="EK47">
        <v>4.0009700000000004E-3</v>
      </c>
      <c r="EL47">
        <v>-3.3087289999999998E-2</v>
      </c>
      <c r="EM47">
        <v>-1.6686650000000001E-2</v>
      </c>
      <c r="EN47">
        <v>-2.8014170000000001E-2</v>
      </c>
      <c r="EO47">
        <v>-5.6791300000000001E-3</v>
      </c>
      <c r="EP47">
        <f t="shared" si="1"/>
        <v>0</v>
      </c>
      <c r="EQ47">
        <f>SUMIF('Mi portafolio'!$A$8:$A$19,$A47,'Mi portafolio'!$B$8:$B$19)</f>
        <v>0</v>
      </c>
    </row>
    <row r="48" spans="1:147" x14ac:dyDescent="0.25">
      <c r="A48" s="34" t="s">
        <v>123</v>
      </c>
      <c r="B48">
        <v>1.0152980000000001E-2</v>
      </c>
      <c r="C48">
        <v>-1.8835999999999999E-4</v>
      </c>
      <c r="D48">
        <v>3.4116099999999998E-3</v>
      </c>
      <c r="E48">
        <v>4.0389700000000002E-3</v>
      </c>
      <c r="F48">
        <v>2.7240300000000001E-3</v>
      </c>
      <c r="G48">
        <v>-7.9779999999999998E-5</v>
      </c>
      <c r="H48">
        <v>-1.2076599999999999E-3</v>
      </c>
      <c r="I48">
        <v>1.024946E-2</v>
      </c>
      <c r="J48">
        <v>5.1887000000000001E-3</v>
      </c>
      <c r="K48">
        <v>7.4037800000000004E-3</v>
      </c>
      <c r="L48">
        <v>-5.8089999999999997E-4</v>
      </c>
      <c r="M48">
        <v>1.426059E-2</v>
      </c>
      <c r="N48">
        <v>1.1769770000000001E-2</v>
      </c>
      <c r="O48">
        <v>3.83402E-3</v>
      </c>
      <c r="P48">
        <v>5.7979299999999998E-3</v>
      </c>
      <c r="Q48">
        <v>1.6871E-3</v>
      </c>
      <c r="R48">
        <v>8.9773800000000001E-3</v>
      </c>
      <c r="S48">
        <v>5.1993999999999999E-4</v>
      </c>
      <c r="T48">
        <v>4.8493910000000001E-2</v>
      </c>
      <c r="U48">
        <v>6.5857700000000003E-3</v>
      </c>
      <c r="V48">
        <v>-3.1448800000000001E-3</v>
      </c>
      <c r="W48">
        <v>6.1759700000000002E-3</v>
      </c>
      <c r="X48">
        <v>4.6853029999999997E-2</v>
      </c>
      <c r="Y48">
        <v>2.1558379999999999E-2</v>
      </c>
      <c r="Z48">
        <v>1.4426300000000001E-3</v>
      </c>
      <c r="AA48">
        <v>9.8955599999999994E-3</v>
      </c>
      <c r="AB48">
        <v>2.3185979999999998E-2</v>
      </c>
      <c r="AC48">
        <v>-1.1350399999999999E-3</v>
      </c>
      <c r="AD48">
        <v>-1.7105099999999999E-3</v>
      </c>
      <c r="AE48">
        <v>1.0439759999999999E-2</v>
      </c>
      <c r="AF48">
        <v>5.9994499999999999E-3</v>
      </c>
      <c r="AG48">
        <v>7.2292700000000003E-3</v>
      </c>
      <c r="AH48">
        <v>7.5745200000000004E-3</v>
      </c>
      <c r="AI48">
        <v>6.9203499999999996E-3</v>
      </c>
      <c r="AJ48">
        <v>1.0692099999999999E-3</v>
      </c>
      <c r="AK48">
        <v>5.3009499999999996E-3</v>
      </c>
      <c r="AL48">
        <v>2.0001649999999999E-2</v>
      </c>
      <c r="AM48">
        <v>1.104115E-2</v>
      </c>
      <c r="AN48">
        <v>1.853511E-2</v>
      </c>
      <c r="AO48">
        <v>1.038847E-2</v>
      </c>
      <c r="AP48">
        <v>1.4842340000000001E-2</v>
      </c>
      <c r="AQ48">
        <v>1.1825799999999999E-3</v>
      </c>
      <c r="AR48">
        <v>7.1576020000000004E-2</v>
      </c>
      <c r="AS48">
        <v>5.68893E-3</v>
      </c>
      <c r="AT48">
        <v>4.1525020000000003E-2</v>
      </c>
      <c r="AU48">
        <v>5.8098999999999998E-3</v>
      </c>
      <c r="AV48">
        <v>8.1708700000000002E-3</v>
      </c>
      <c r="AW48">
        <v>4.2853999999999999E-4</v>
      </c>
      <c r="AX48">
        <v>2.0647459999999999E-2</v>
      </c>
      <c r="AY48">
        <v>1.4559330000000001E-2</v>
      </c>
      <c r="AZ48">
        <v>8.7984599999999993E-3</v>
      </c>
      <c r="BA48">
        <v>2.503766E-2</v>
      </c>
      <c r="BB48">
        <v>5.5598880000000003E-2</v>
      </c>
      <c r="BC48">
        <v>4.9688600000000003E-3</v>
      </c>
      <c r="BD48">
        <v>1.3021639999999999E-2</v>
      </c>
      <c r="BE48">
        <v>1.283172E-2</v>
      </c>
      <c r="BF48">
        <v>9.6945899999999995E-3</v>
      </c>
      <c r="BG48">
        <v>2.0676369999999999E-2</v>
      </c>
      <c r="BH48">
        <v>7.4974000000000004E-3</v>
      </c>
      <c r="BI48">
        <v>8.4114099999999994E-3</v>
      </c>
      <c r="BJ48">
        <v>7.4632500000000003E-3</v>
      </c>
      <c r="BK48">
        <v>1.7487809999999999E-2</v>
      </c>
      <c r="BL48">
        <v>2.6639090000000001E-2</v>
      </c>
      <c r="BM48">
        <v>1.8782449999999999E-2</v>
      </c>
      <c r="BN48">
        <v>1.515646E-2</v>
      </c>
      <c r="BO48">
        <v>1.8039409999999999E-2</v>
      </c>
      <c r="BP48">
        <v>1.4184489999999999E-2</v>
      </c>
      <c r="BQ48">
        <v>2.2653220000000002E-2</v>
      </c>
      <c r="BR48">
        <v>2.7829679999999999E-2</v>
      </c>
      <c r="BS48">
        <v>2.4501599999999998E-3</v>
      </c>
      <c r="BT48">
        <v>3.5026839999999997E-2</v>
      </c>
      <c r="BU48">
        <v>2.0467550000000001E-2</v>
      </c>
      <c r="BV48">
        <v>2.291698E-2</v>
      </c>
      <c r="BW48">
        <v>1.4952699999999999E-2</v>
      </c>
      <c r="BX48">
        <v>1.0827710000000001E-2</v>
      </c>
      <c r="BY48">
        <v>2.7015790000000001E-2</v>
      </c>
      <c r="BZ48">
        <v>2.981783E-2</v>
      </c>
      <c r="CA48">
        <v>-3.8694200000000002E-3</v>
      </c>
      <c r="CB48">
        <v>7.2005400000000001E-3</v>
      </c>
      <c r="CC48">
        <v>1.5074209999999999E-2</v>
      </c>
      <c r="CD48">
        <v>1.9518130000000002E-2</v>
      </c>
      <c r="CE48">
        <v>2.72914E-2</v>
      </c>
      <c r="CF48">
        <v>4.3930999999999996E-3</v>
      </c>
      <c r="CG48">
        <v>3.1900690000000002E-2</v>
      </c>
      <c r="CH48">
        <v>1.3866069999999999E-2</v>
      </c>
      <c r="CI48">
        <v>3.4877599999999999E-3</v>
      </c>
      <c r="CJ48">
        <v>7.4620600000000004E-3</v>
      </c>
      <c r="CK48">
        <v>1.8055600000000002E-2</v>
      </c>
      <c r="CL48">
        <v>1.9701409999999999E-2</v>
      </c>
      <c r="CM48">
        <v>1.478756E-2</v>
      </c>
      <c r="CN48">
        <v>3.9073800000000002E-3</v>
      </c>
      <c r="CO48">
        <v>2.82213E-3</v>
      </c>
      <c r="CP48">
        <v>1.2131680000000001E-2</v>
      </c>
      <c r="CQ48">
        <v>4.6345810000000001E-2</v>
      </c>
      <c r="CR48">
        <v>1.7588570000000001E-2</v>
      </c>
      <c r="CS48">
        <v>3.6496309999999997E-2</v>
      </c>
      <c r="CT48">
        <v>2.3113700000000001E-2</v>
      </c>
      <c r="CU48">
        <v>1.6362950000000001E-2</v>
      </c>
      <c r="CV48">
        <v>3.091441E-2</v>
      </c>
      <c r="CW48">
        <v>3.087324E-2</v>
      </c>
      <c r="CX48">
        <v>4.1660330000000002E-2</v>
      </c>
      <c r="CY48">
        <v>4.7510080000000003E-2</v>
      </c>
      <c r="CZ48">
        <v>2.2958059999999999E-2</v>
      </c>
      <c r="DA48">
        <v>1.8930900000000001E-2</v>
      </c>
      <c r="DB48">
        <v>1.6580770000000002E-2</v>
      </c>
      <c r="DC48">
        <v>3.0020930000000001E-2</v>
      </c>
      <c r="DD48">
        <v>2.7885699999999999E-2</v>
      </c>
      <c r="DE48">
        <v>2.5377070000000002E-2</v>
      </c>
      <c r="DF48">
        <v>1.8833639999999999E-2</v>
      </c>
      <c r="DG48">
        <v>2.003075E-2</v>
      </c>
      <c r="DH48">
        <v>1.5697780000000001E-2</v>
      </c>
      <c r="DI48">
        <v>4.5234959999999998E-2</v>
      </c>
      <c r="DJ48">
        <v>4.6085470000000003E-2</v>
      </c>
      <c r="DK48">
        <v>5.6719289999999999E-2</v>
      </c>
      <c r="DL48">
        <v>-1.59465E-3</v>
      </c>
      <c r="DM48">
        <v>5.169721E-2</v>
      </c>
      <c r="DN48">
        <v>2.83079E-2</v>
      </c>
      <c r="DO48">
        <v>3.0228370000000001E-2</v>
      </c>
      <c r="DP48">
        <v>4.4511309999999998E-2</v>
      </c>
      <c r="DQ48">
        <v>2.0947469999999999E-2</v>
      </c>
      <c r="DR48">
        <v>3.2518699999999998E-2</v>
      </c>
      <c r="DS48">
        <v>2.3899509999999999E-2</v>
      </c>
      <c r="DT48">
        <v>2.3284050000000001E-2</v>
      </c>
      <c r="DU48">
        <v>4.8787009999999999E-2</v>
      </c>
      <c r="DV48">
        <v>2.2228250000000001E-2</v>
      </c>
      <c r="DW48">
        <v>3.9014510000000002E-2</v>
      </c>
      <c r="DX48">
        <v>3.0879429999999999E-2</v>
      </c>
      <c r="DY48">
        <v>4.7404370000000001E-2</v>
      </c>
      <c r="DZ48">
        <v>1.859806E-2</v>
      </c>
      <c r="EA48">
        <v>2.2397400000000001E-2</v>
      </c>
      <c r="EB48">
        <v>5.9025220000000003E-2</v>
      </c>
      <c r="EC48">
        <v>7.0474999999999997E-4</v>
      </c>
      <c r="ED48">
        <v>2.8124389999999999E-2</v>
      </c>
      <c r="EE48">
        <v>2.5733019999999999E-2</v>
      </c>
      <c r="EF48">
        <v>5.258384E-2</v>
      </c>
      <c r="EG48">
        <v>1.8205989999999998E-2</v>
      </c>
      <c r="EH48">
        <v>3.1475749999999997E-2</v>
      </c>
      <c r="EI48">
        <v>6.3470100000000002E-3</v>
      </c>
      <c r="EJ48">
        <v>5.1029310000000001E-2</v>
      </c>
      <c r="EK48">
        <v>4.4626600000000002E-2</v>
      </c>
      <c r="EL48">
        <v>3.8037910000000001E-2</v>
      </c>
      <c r="EM48">
        <v>2.4235179999999999E-2</v>
      </c>
      <c r="EN48">
        <v>1.496567E-2</v>
      </c>
      <c r="EO48">
        <v>2.7729469999999999E-2</v>
      </c>
      <c r="EP48">
        <f t="shared" si="1"/>
        <v>0</v>
      </c>
      <c r="EQ48">
        <f>SUMIF('Mi portafolio'!$A$8:$A$19,$A48,'Mi portafolio'!$B$8:$B$19)</f>
        <v>0</v>
      </c>
    </row>
    <row r="49" spans="1:147" x14ac:dyDescent="0.25">
      <c r="A49" s="34" t="s">
        <v>124</v>
      </c>
      <c r="B49">
        <v>-6.0500700000000003E-3</v>
      </c>
      <c r="C49">
        <v>6.0344300000000003E-3</v>
      </c>
      <c r="D49">
        <v>6.8255099999999999E-3</v>
      </c>
      <c r="E49">
        <v>1.044574E-2</v>
      </c>
      <c r="F49">
        <v>1.3546000000000001E-4</v>
      </c>
      <c r="G49">
        <v>9.0424600000000004E-3</v>
      </c>
      <c r="H49">
        <v>1.8332379999999999E-2</v>
      </c>
      <c r="I49">
        <v>-7.3386999999999997E-4</v>
      </c>
      <c r="J49">
        <v>3.4449699999999999E-3</v>
      </c>
      <c r="K49">
        <v>1.2693000000000001E-4</v>
      </c>
      <c r="L49">
        <v>1.1866369999999999E-2</v>
      </c>
      <c r="M49">
        <v>1.4708290000000001E-2</v>
      </c>
      <c r="N49">
        <v>3.1655199999999998E-3</v>
      </c>
      <c r="O49">
        <v>1.5474480000000001E-2</v>
      </c>
      <c r="P49">
        <v>2.4958100000000002E-3</v>
      </c>
      <c r="Q49">
        <v>1.4704500000000001E-3</v>
      </c>
      <c r="R49">
        <v>1.2870900000000001E-3</v>
      </c>
      <c r="S49">
        <v>1.3010849999999999E-2</v>
      </c>
      <c r="T49">
        <v>6.3536599999999997E-3</v>
      </c>
      <c r="U49">
        <v>3.0903320000000001E-2</v>
      </c>
      <c r="V49">
        <v>1.9772370000000001E-2</v>
      </c>
      <c r="W49">
        <v>1.4393410000000001E-2</v>
      </c>
      <c r="X49">
        <v>8.1508099999999997E-3</v>
      </c>
      <c r="Y49">
        <v>2.7249599999999998E-3</v>
      </c>
      <c r="Z49">
        <v>2.1064490000000002E-2</v>
      </c>
      <c r="AA49">
        <v>1.6256369999999999E-2</v>
      </c>
      <c r="AB49">
        <v>-2.4812100000000002E-3</v>
      </c>
      <c r="AC49">
        <v>5.3113300000000004E-3</v>
      </c>
      <c r="AD49">
        <v>1.08278E-2</v>
      </c>
      <c r="AE49">
        <v>2.5380550000000002E-2</v>
      </c>
      <c r="AF49">
        <v>2.9325469999999999E-2</v>
      </c>
      <c r="AG49">
        <v>-6.7587999999999997E-3</v>
      </c>
      <c r="AH49">
        <v>-4.88625E-3</v>
      </c>
      <c r="AI49">
        <v>-1.609882E-2</v>
      </c>
      <c r="AJ49">
        <v>2.0086670000000001E-2</v>
      </c>
      <c r="AK49">
        <v>3.6570039999999998E-2</v>
      </c>
      <c r="AL49">
        <v>8.4761100000000002E-3</v>
      </c>
      <c r="AM49">
        <v>1.544017E-2</v>
      </c>
      <c r="AN49">
        <v>1.7146950000000001E-2</v>
      </c>
      <c r="AO49">
        <v>-3.4264E-3</v>
      </c>
      <c r="AP49">
        <v>9.3465000000000006E-3</v>
      </c>
      <c r="AQ49">
        <v>-9.1549700000000001E-3</v>
      </c>
      <c r="AR49">
        <v>5.68893E-3</v>
      </c>
      <c r="AS49">
        <v>7.9817029999999997E-2</v>
      </c>
      <c r="AT49">
        <v>7.6295099999999999E-3</v>
      </c>
      <c r="AU49">
        <v>-1.0119999999999999E-4</v>
      </c>
      <c r="AV49">
        <v>1.7630110000000001E-2</v>
      </c>
      <c r="AW49">
        <v>2.3286299999999999E-2</v>
      </c>
      <c r="AX49">
        <v>3.0699500000000001E-3</v>
      </c>
      <c r="AY49">
        <v>8.6388000000000003E-4</v>
      </c>
      <c r="AZ49">
        <v>2.2910280000000002E-2</v>
      </c>
      <c r="BA49">
        <v>1.203269E-2</v>
      </c>
      <c r="BB49">
        <v>1.2666429999999999E-2</v>
      </c>
      <c r="BC49">
        <v>1.2482750000000001E-2</v>
      </c>
      <c r="BD49">
        <v>4.362796E-2</v>
      </c>
      <c r="BE49">
        <v>3.9598100000000002E-3</v>
      </c>
      <c r="BF49">
        <v>2.6859540000000001E-2</v>
      </c>
      <c r="BG49">
        <v>8.5610900000000004E-3</v>
      </c>
      <c r="BH49">
        <v>2.8968540000000001E-2</v>
      </c>
      <c r="BI49">
        <v>3.5761500000000002E-3</v>
      </c>
      <c r="BJ49">
        <v>7.1955500000000002E-3</v>
      </c>
      <c r="BK49">
        <v>1.665225E-2</v>
      </c>
      <c r="BL49">
        <v>2.288051E-2</v>
      </c>
      <c r="BM49">
        <v>3.2241599999999998E-3</v>
      </c>
      <c r="BN49">
        <v>-3.0668000000000002E-3</v>
      </c>
      <c r="BO49">
        <v>1.7361919999999999E-2</v>
      </c>
      <c r="BP49">
        <v>4.5992200000000002E-3</v>
      </c>
      <c r="BQ49">
        <v>2.7538360000000001E-2</v>
      </c>
      <c r="BR49">
        <v>1.203336E-2</v>
      </c>
      <c r="BS49">
        <v>-1.43611E-2</v>
      </c>
      <c r="BT49">
        <v>1.447585E-2</v>
      </c>
      <c r="BU49">
        <v>2.6811539999999998E-2</v>
      </c>
      <c r="BV49">
        <v>6.6517900000000003E-3</v>
      </c>
      <c r="BW49">
        <v>2.80463E-2</v>
      </c>
      <c r="BX49">
        <v>-6.2907999999999996E-4</v>
      </c>
      <c r="BY49">
        <v>1.7552459999999999E-2</v>
      </c>
      <c r="BZ49">
        <v>1.459802E-2</v>
      </c>
      <c r="CA49">
        <v>3.4680999999999997E-2</v>
      </c>
      <c r="CB49">
        <v>1.1015209999999999E-2</v>
      </c>
      <c r="CC49">
        <v>1.0735300000000001E-3</v>
      </c>
      <c r="CD49">
        <v>9.8900600000000009E-3</v>
      </c>
      <c r="CE49">
        <v>7.49265E-3</v>
      </c>
      <c r="CF49">
        <v>-1.6346309999999999E-2</v>
      </c>
      <c r="CG49">
        <v>6.7673500000000001E-3</v>
      </c>
      <c r="CH49">
        <v>4.4311719999999999E-2</v>
      </c>
      <c r="CI49">
        <v>-2.1751840000000001E-2</v>
      </c>
      <c r="CJ49">
        <v>6.8101699999999999E-3</v>
      </c>
      <c r="CK49">
        <v>4.0806499999999999E-3</v>
      </c>
      <c r="CL49">
        <v>1.2661550000000001E-2</v>
      </c>
      <c r="CM49">
        <v>1.5824709999999999E-2</v>
      </c>
      <c r="CN49">
        <v>2.3138510000000001E-2</v>
      </c>
      <c r="CO49">
        <v>2.3469710000000001E-2</v>
      </c>
      <c r="CP49">
        <v>1.202808E-2</v>
      </c>
      <c r="CQ49">
        <v>1.5539610000000001E-2</v>
      </c>
      <c r="CR49">
        <v>2.1812769999999999E-2</v>
      </c>
      <c r="CS49">
        <v>1.689541E-2</v>
      </c>
      <c r="CT49">
        <v>3.022994E-2</v>
      </c>
      <c r="CU49">
        <v>2.1068070000000001E-2</v>
      </c>
      <c r="CV49">
        <v>8.2041600000000003E-3</v>
      </c>
      <c r="CW49">
        <v>2.0887840000000001E-2</v>
      </c>
      <c r="CX49">
        <v>2.2054190000000001E-2</v>
      </c>
      <c r="CY49">
        <v>1.2387560000000001E-2</v>
      </c>
      <c r="CZ49">
        <v>8.8672400000000002E-3</v>
      </c>
      <c r="DA49">
        <v>7.9285899999999992E-3</v>
      </c>
      <c r="DB49">
        <v>2.6114519999999999E-2</v>
      </c>
      <c r="DC49">
        <v>3.6564029999999997E-2</v>
      </c>
      <c r="DD49">
        <v>1.995802E-2</v>
      </c>
      <c r="DE49">
        <v>3.499816E-2</v>
      </c>
      <c r="DF49">
        <v>1.3208999999999999E-4</v>
      </c>
      <c r="DG49">
        <v>3.0468539999999999E-2</v>
      </c>
      <c r="DH49">
        <v>7.8270500000000003E-3</v>
      </c>
      <c r="DI49">
        <v>9.8908899999999994E-3</v>
      </c>
      <c r="DJ49">
        <v>1.3880699999999999E-2</v>
      </c>
      <c r="DK49">
        <v>1.9389239999999999E-2</v>
      </c>
      <c r="DL49">
        <v>4.3408870000000002E-2</v>
      </c>
      <c r="DM49">
        <v>1.975683E-2</v>
      </c>
      <c r="DN49">
        <v>1.3283619999999999E-2</v>
      </c>
      <c r="DO49">
        <v>1.433358E-2</v>
      </c>
      <c r="DP49">
        <v>2.4389049999999999E-2</v>
      </c>
      <c r="DQ49">
        <v>1.3202119999999999E-2</v>
      </c>
      <c r="DR49">
        <v>1.544427E-2</v>
      </c>
      <c r="DS49">
        <v>2.2736399999999999E-3</v>
      </c>
      <c r="DT49">
        <v>6.4577599999999999E-3</v>
      </c>
      <c r="DU49">
        <v>2.2216630000000001E-2</v>
      </c>
      <c r="DV49">
        <v>7.3914899999999997E-3</v>
      </c>
      <c r="DW49">
        <v>1.068232E-2</v>
      </c>
      <c r="DX49">
        <v>1.9606889999999998E-2</v>
      </c>
      <c r="DY49">
        <v>1.36621E-2</v>
      </c>
      <c r="DZ49">
        <v>5.07538E-3</v>
      </c>
      <c r="EA49">
        <v>1.8436689999999999E-2</v>
      </c>
      <c r="EB49">
        <v>1.831557E-2</v>
      </c>
      <c r="EC49">
        <v>2.8065719999999999E-2</v>
      </c>
      <c r="ED49">
        <v>2.5956429999999999E-2</v>
      </c>
      <c r="EE49">
        <v>2.2300270000000001E-2</v>
      </c>
      <c r="EF49">
        <v>1.7239000000000001E-2</v>
      </c>
      <c r="EG49">
        <v>2.6534019999999998E-2</v>
      </c>
      <c r="EH49">
        <v>-6.9011899999999998E-3</v>
      </c>
      <c r="EI49">
        <v>2.4735070000000001E-2</v>
      </c>
      <c r="EJ49">
        <v>3.5962639999999997E-2</v>
      </c>
      <c r="EK49">
        <v>2.2611309999999999E-2</v>
      </c>
      <c r="EL49">
        <v>4.0613040000000003E-2</v>
      </c>
      <c r="EM49">
        <v>-8.7221299999999998E-3</v>
      </c>
      <c r="EN49">
        <v>2.447237E-2</v>
      </c>
      <c r="EO49">
        <v>5.970901E-2</v>
      </c>
      <c r="EP49">
        <f t="shared" si="1"/>
        <v>0</v>
      </c>
      <c r="EQ49">
        <f>SUMIF('Mi portafolio'!$A$8:$A$19,$A49,'Mi portafolio'!$B$8:$B$19)</f>
        <v>0</v>
      </c>
    </row>
    <row r="50" spans="1:147" x14ac:dyDescent="0.25">
      <c r="A50" s="34" t="s">
        <v>125</v>
      </c>
      <c r="B50">
        <v>1.3209230000000001E-2</v>
      </c>
      <c r="C50">
        <v>-1.7084000000000001E-4</v>
      </c>
      <c r="D50">
        <v>5.9433999999999995E-4</v>
      </c>
      <c r="E50">
        <v>6.6262200000000004E-3</v>
      </c>
      <c r="F50">
        <v>4.7020999999999999E-3</v>
      </c>
      <c r="G50">
        <v>-2.6341899999999998E-3</v>
      </c>
      <c r="H50">
        <v>-2.4454000000000001E-4</v>
      </c>
      <c r="I50">
        <v>1.344628E-2</v>
      </c>
      <c r="J50">
        <v>2.2151900000000001E-3</v>
      </c>
      <c r="K50">
        <v>9.8864499999999998E-3</v>
      </c>
      <c r="L50">
        <v>2.53206E-3</v>
      </c>
      <c r="M50">
        <v>2.2480259999999998E-2</v>
      </c>
      <c r="N50">
        <v>1.4686950000000001E-2</v>
      </c>
      <c r="O50">
        <v>1.4894299999999999E-3</v>
      </c>
      <c r="P50">
        <v>7.0570399999999997E-3</v>
      </c>
      <c r="Q50">
        <v>-4.1467700000000001E-3</v>
      </c>
      <c r="R50">
        <v>6.6414899999999999E-3</v>
      </c>
      <c r="S50">
        <v>9.3121000000000002E-4</v>
      </c>
      <c r="T50">
        <v>3.9188889999999997E-2</v>
      </c>
      <c r="U50">
        <v>5.7196499999999997E-3</v>
      </c>
      <c r="V50">
        <v>2.5038700000000001E-3</v>
      </c>
      <c r="W50">
        <v>7.1608799999999997E-3</v>
      </c>
      <c r="X50">
        <v>3.7664099999999999E-2</v>
      </c>
      <c r="Y50">
        <v>3.4562710000000003E-2</v>
      </c>
      <c r="Z50">
        <v>3.6741199999999999E-3</v>
      </c>
      <c r="AA50">
        <v>7.9017299999999992E-3</v>
      </c>
      <c r="AB50">
        <v>3.561893E-2</v>
      </c>
      <c r="AC50">
        <v>1.43103E-3</v>
      </c>
      <c r="AD50">
        <v>-4.1577599999999999E-3</v>
      </c>
      <c r="AE50">
        <v>1.507971E-2</v>
      </c>
      <c r="AF50">
        <v>7.2457000000000001E-4</v>
      </c>
      <c r="AG50">
        <v>-1.14145E-3</v>
      </c>
      <c r="AH50">
        <v>6.9864000000000005E-4</v>
      </c>
      <c r="AI50">
        <v>-1.9130200000000001E-3</v>
      </c>
      <c r="AJ50">
        <v>-2.8790199999999999E-3</v>
      </c>
      <c r="AK50">
        <v>6.0096999999999998E-3</v>
      </c>
      <c r="AL50">
        <v>2.216158E-2</v>
      </c>
      <c r="AM50">
        <v>7.6729099999999998E-3</v>
      </c>
      <c r="AN50">
        <v>2.5656189999999999E-2</v>
      </c>
      <c r="AO50">
        <v>9.3166700000000009E-3</v>
      </c>
      <c r="AP50">
        <v>2.7988800000000001E-2</v>
      </c>
      <c r="AQ50">
        <v>-5.3642200000000003E-3</v>
      </c>
      <c r="AR50">
        <v>4.1525020000000003E-2</v>
      </c>
      <c r="AS50">
        <v>7.6295099999999999E-3</v>
      </c>
      <c r="AT50">
        <v>7.8708520000000004E-2</v>
      </c>
      <c r="AU50">
        <v>2.8560399999999998E-3</v>
      </c>
      <c r="AV50">
        <v>1.239611E-2</v>
      </c>
      <c r="AW50">
        <v>6.9017799999999997E-3</v>
      </c>
      <c r="AX50">
        <v>2.012282E-2</v>
      </c>
      <c r="AY50">
        <v>2.9394719999999999E-2</v>
      </c>
      <c r="AZ50">
        <v>1.647208E-2</v>
      </c>
      <c r="BA50">
        <v>2.5130670000000001E-2</v>
      </c>
      <c r="BB50">
        <v>5.0439119999999997E-2</v>
      </c>
      <c r="BC50">
        <v>5.1997399999999996E-3</v>
      </c>
      <c r="BD50">
        <v>5.9867200000000001E-3</v>
      </c>
      <c r="BE50">
        <v>1.2105100000000001E-2</v>
      </c>
      <c r="BF50">
        <v>8.0271800000000001E-3</v>
      </c>
      <c r="BG50">
        <v>3.4398440000000002E-2</v>
      </c>
      <c r="BH50">
        <v>1.096726E-2</v>
      </c>
      <c r="BI50">
        <v>1.1361629999999999E-2</v>
      </c>
      <c r="BJ50">
        <v>-4.6838699999999997E-3</v>
      </c>
      <c r="BK50">
        <v>1.503558E-2</v>
      </c>
      <c r="BL50">
        <v>2.282499E-2</v>
      </c>
      <c r="BM50">
        <v>2.318802E-2</v>
      </c>
      <c r="BN50">
        <v>1.2970529999999999E-2</v>
      </c>
      <c r="BO50">
        <v>3.1388930000000002E-2</v>
      </c>
      <c r="BP50">
        <v>2.5277549999999999E-2</v>
      </c>
      <c r="BQ50">
        <v>1.9851170000000001E-2</v>
      </c>
      <c r="BR50">
        <v>3.37024E-2</v>
      </c>
      <c r="BS50">
        <v>-8.3374399999999998E-3</v>
      </c>
      <c r="BT50">
        <v>2.930487E-2</v>
      </c>
      <c r="BU50">
        <v>7.8014399999999998E-3</v>
      </c>
      <c r="BV50">
        <v>3.0521659999999999E-2</v>
      </c>
      <c r="BW50">
        <v>2.7789810000000002E-2</v>
      </c>
      <c r="BX50">
        <v>9.2733299999999998E-3</v>
      </c>
      <c r="BY50">
        <v>4.0102600000000002E-2</v>
      </c>
      <c r="BZ50">
        <v>3.1535300000000002E-2</v>
      </c>
      <c r="CA50">
        <v>-2.1736500000000001E-3</v>
      </c>
      <c r="CB50">
        <v>1.6398599999999999E-3</v>
      </c>
      <c r="CC50">
        <v>2.4511129999999999E-2</v>
      </c>
      <c r="CD50">
        <v>3.266587E-2</v>
      </c>
      <c r="CE50">
        <v>2.2818060000000001E-2</v>
      </c>
      <c r="CF50">
        <v>-6.8106399999999997E-3</v>
      </c>
      <c r="CG50">
        <v>4.4748589999999998E-2</v>
      </c>
      <c r="CH50">
        <v>1.4756119999999999E-2</v>
      </c>
      <c r="CI50">
        <v>-6.1992499999999999E-3</v>
      </c>
      <c r="CJ50">
        <v>1.2023819999999999E-2</v>
      </c>
      <c r="CK50">
        <v>3.9077769999999998E-2</v>
      </c>
      <c r="CL50">
        <v>3.1621330000000003E-2</v>
      </c>
      <c r="CM50">
        <v>1.9735570000000001E-2</v>
      </c>
      <c r="CN50">
        <v>1.6957299999999999E-3</v>
      </c>
      <c r="CO50">
        <v>2.395299E-2</v>
      </c>
      <c r="CP50">
        <v>1.392615E-2</v>
      </c>
      <c r="CQ50">
        <v>5.7635230000000003E-2</v>
      </c>
      <c r="CR50">
        <v>2.388212E-2</v>
      </c>
      <c r="CS50">
        <v>2.6908410000000001E-2</v>
      </c>
      <c r="CT50">
        <v>3.4502150000000002E-2</v>
      </c>
      <c r="CU50">
        <v>1.416035E-2</v>
      </c>
      <c r="CV50">
        <v>3.206999E-2</v>
      </c>
      <c r="CW50">
        <v>3.6442820000000001E-2</v>
      </c>
      <c r="CX50">
        <v>4.8085860000000001E-2</v>
      </c>
      <c r="CY50">
        <v>5.6647709999999997E-2</v>
      </c>
      <c r="CZ50">
        <v>2.445375E-2</v>
      </c>
      <c r="DA50">
        <v>3.6892389999999997E-2</v>
      </c>
      <c r="DB50">
        <v>3.89539E-2</v>
      </c>
      <c r="DC50">
        <v>3.7511900000000001E-2</v>
      </c>
      <c r="DD50">
        <v>5.0881900000000001E-2</v>
      </c>
      <c r="DE50">
        <v>2.9616920000000001E-2</v>
      </c>
      <c r="DF50">
        <v>2.9816510000000001E-2</v>
      </c>
      <c r="DG50">
        <v>1.394593E-2</v>
      </c>
      <c r="DH50">
        <v>2.0402469999999999E-2</v>
      </c>
      <c r="DI50">
        <v>6.1879030000000002E-2</v>
      </c>
      <c r="DJ50">
        <v>6.0573689999999999E-2</v>
      </c>
      <c r="DK50">
        <v>6.8790589999999999E-2</v>
      </c>
      <c r="DL50">
        <v>-6.63636E-3</v>
      </c>
      <c r="DM50">
        <v>6.5645289999999995E-2</v>
      </c>
      <c r="DN50">
        <v>4.5623589999999999E-2</v>
      </c>
      <c r="DO50">
        <v>3.9221619999999999E-2</v>
      </c>
      <c r="DP50">
        <v>6.4242320000000006E-2</v>
      </c>
      <c r="DQ50">
        <v>2.3932490000000001E-2</v>
      </c>
      <c r="DR50">
        <v>2.1081599999999999E-2</v>
      </c>
      <c r="DS50">
        <v>4.389697E-2</v>
      </c>
      <c r="DT50">
        <v>3.0087900000000001E-2</v>
      </c>
      <c r="DU50">
        <v>7.2751640000000006E-2</v>
      </c>
      <c r="DV50">
        <v>3.9223599999999997E-2</v>
      </c>
      <c r="DW50">
        <v>6.9605879999999995E-2</v>
      </c>
      <c r="DX50">
        <v>2.8112040000000001E-2</v>
      </c>
      <c r="DY50">
        <v>9.4144249999999999E-2</v>
      </c>
      <c r="DZ50">
        <v>2.4148920000000001E-2</v>
      </c>
      <c r="EA50">
        <v>4.2470000000000001E-2</v>
      </c>
      <c r="EB50">
        <v>9.4854229999999998E-2</v>
      </c>
      <c r="EC50">
        <v>4.68849E-3</v>
      </c>
      <c r="ED50">
        <v>4.9668660000000003E-2</v>
      </c>
      <c r="EE50">
        <v>2.6998459999999998E-2</v>
      </c>
      <c r="EF50">
        <v>2.837922E-2</v>
      </c>
      <c r="EG50">
        <v>2.3393799999999999E-2</v>
      </c>
      <c r="EH50">
        <v>5.8282420000000001E-2</v>
      </c>
      <c r="EI50">
        <v>1.6577439999999999E-2</v>
      </c>
      <c r="EJ50">
        <v>7.1303409999999998E-2</v>
      </c>
      <c r="EK50">
        <v>4.9977760000000003E-2</v>
      </c>
      <c r="EL50">
        <v>4.8102190000000003E-2</v>
      </c>
      <c r="EM50">
        <v>3.5328070000000003E-2</v>
      </c>
      <c r="EN50">
        <v>6.5626699999999996E-2</v>
      </c>
      <c r="EO50">
        <v>7.64706E-2</v>
      </c>
      <c r="EP50">
        <f t="shared" si="1"/>
        <v>0</v>
      </c>
      <c r="EQ50">
        <f>SUMIF('Mi portafolio'!$A$8:$A$19,$A50,'Mi portafolio'!$B$8:$B$19)</f>
        <v>0</v>
      </c>
    </row>
    <row r="51" spans="1:147" x14ac:dyDescent="0.25">
      <c r="A51" s="34" t="s">
        <v>126</v>
      </c>
      <c r="B51">
        <v>1.388286E-2</v>
      </c>
      <c r="C51">
        <v>2.3557600000000001E-3</v>
      </c>
      <c r="D51">
        <v>-1.9981E-3</v>
      </c>
      <c r="E51">
        <v>4.6458200000000002E-3</v>
      </c>
      <c r="F51">
        <v>2.3051169999999999E-2</v>
      </c>
      <c r="G51">
        <v>-1.20312E-3</v>
      </c>
      <c r="H51">
        <v>1.1620700000000001E-3</v>
      </c>
      <c r="I51">
        <v>2.379349E-2</v>
      </c>
      <c r="J51">
        <v>2.500074E-2</v>
      </c>
      <c r="K51">
        <v>2.5075279999999998E-2</v>
      </c>
      <c r="L51">
        <v>5.7098799999999996E-3</v>
      </c>
      <c r="M51">
        <v>1.4568640000000001E-2</v>
      </c>
      <c r="N51">
        <v>1.338784E-2</v>
      </c>
      <c r="O51">
        <v>5.53062E-3</v>
      </c>
      <c r="P51">
        <v>4.0991809999999997E-2</v>
      </c>
      <c r="Q51">
        <v>8.6947999999999995E-4</v>
      </c>
      <c r="R51">
        <v>2.7252780000000001E-2</v>
      </c>
      <c r="S51">
        <v>4.7090500000000002E-3</v>
      </c>
      <c r="T51">
        <v>4.70924E-3</v>
      </c>
      <c r="U51">
        <v>5.0626000000000004E-3</v>
      </c>
      <c r="V51">
        <v>1.1763399999999999E-3</v>
      </c>
      <c r="W51">
        <v>9.3692600000000008E-3</v>
      </c>
      <c r="X51">
        <v>5.2946399999999998E-3</v>
      </c>
      <c r="Y51">
        <v>1.278993E-2</v>
      </c>
      <c r="Z51">
        <v>7.3563400000000003E-3</v>
      </c>
      <c r="AA51">
        <v>1.0104810000000001E-2</v>
      </c>
      <c r="AB51">
        <v>1.13849E-2</v>
      </c>
      <c r="AC51">
        <v>-2.39113E-3</v>
      </c>
      <c r="AD51">
        <v>3.4142899999999999E-3</v>
      </c>
      <c r="AE51">
        <v>-2.4739200000000001E-3</v>
      </c>
      <c r="AF51">
        <v>8.653E-5</v>
      </c>
      <c r="AG51">
        <v>1.7964129999999998E-2</v>
      </c>
      <c r="AH51">
        <v>1.8789520000000001E-2</v>
      </c>
      <c r="AI51">
        <v>1.151635E-2</v>
      </c>
      <c r="AJ51">
        <v>-4.8404099999999999E-3</v>
      </c>
      <c r="AK51">
        <v>4.4701000000000003E-3</v>
      </c>
      <c r="AL51">
        <v>1.3499529999999999E-2</v>
      </c>
      <c r="AM51">
        <v>4.57385E-3</v>
      </c>
      <c r="AN51">
        <v>2.865237E-2</v>
      </c>
      <c r="AO51">
        <v>2.367847E-2</v>
      </c>
      <c r="AP51">
        <v>1.0373800000000001E-2</v>
      </c>
      <c r="AQ51">
        <v>1.320906E-2</v>
      </c>
      <c r="AR51">
        <v>5.8098999999999998E-3</v>
      </c>
      <c r="AS51">
        <v>-1.0119999999999999E-4</v>
      </c>
      <c r="AT51">
        <v>2.8560399999999998E-3</v>
      </c>
      <c r="AU51">
        <v>7.8030779999999994E-2</v>
      </c>
      <c r="AV51">
        <v>1.1132029999999999E-2</v>
      </c>
      <c r="AW51">
        <v>1.0827989999999999E-2</v>
      </c>
      <c r="AX51">
        <v>2.7480129999999998E-2</v>
      </c>
      <c r="AY51">
        <v>1.9649880000000002E-2</v>
      </c>
      <c r="AZ51">
        <v>1.81712E-3</v>
      </c>
      <c r="BA51">
        <v>1.6380169999999999E-2</v>
      </c>
      <c r="BB51">
        <v>4.33E-6</v>
      </c>
      <c r="BC51">
        <v>2.7163700000000001E-3</v>
      </c>
      <c r="BD51">
        <v>-4.9173999999999997E-3</v>
      </c>
      <c r="BE51">
        <v>2.301692E-2</v>
      </c>
      <c r="BF51">
        <v>2.0198500000000001E-3</v>
      </c>
      <c r="BG51">
        <v>1.4372600000000001E-3</v>
      </c>
      <c r="BH51">
        <v>-1.57183E-3</v>
      </c>
      <c r="BI51">
        <v>-3.0501999999999999E-3</v>
      </c>
      <c r="BJ51">
        <v>-6.0629200000000003E-3</v>
      </c>
      <c r="BK51">
        <v>-6.3179000000000002E-4</v>
      </c>
      <c r="BL51">
        <v>6.4301000000000002E-3</v>
      </c>
      <c r="BM51">
        <v>3.1152369999999999E-2</v>
      </c>
      <c r="BN51">
        <v>1.8737170000000001E-2</v>
      </c>
      <c r="BO51">
        <v>1.140912E-2</v>
      </c>
      <c r="BP51">
        <v>-4.0138400000000003E-3</v>
      </c>
      <c r="BQ51">
        <v>2.4831499999999999E-3</v>
      </c>
      <c r="BR51">
        <v>1.182559E-2</v>
      </c>
      <c r="BS51">
        <v>1.063324E-2</v>
      </c>
      <c r="BT51">
        <v>1.021441E-2</v>
      </c>
      <c r="BU51">
        <v>-1.09077E-3</v>
      </c>
      <c r="BV51">
        <v>1.04576E-3</v>
      </c>
      <c r="BW51">
        <v>1.324582E-2</v>
      </c>
      <c r="BX51">
        <v>2.7091649999999998E-2</v>
      </c>
      <c r="BY51">
        <v>1.351539E-2</v>
      </c>
      <c r="BZ51">
        <v>1.7516520000000001E-2</v>
      </c>
      <c r="CA51">
        <v>9.1447100000000003E-3</v>
      </c>
      <c r="CB51">
        <v>6.4455999999999997E-4</v>
      </c>
      <c r="CC51">
        <v>1.295166E-2</v>
      </c>
      <c r="CD51">
        <v>5.1670600000000002E-3</v>
      </c>
      <c r="CE51">
        <v>3.2554099999999998E-3</v>
      </c>
      <c r="CF51">
        <v>1.341092E-2</v>
      </c>
      <c r="CG51">
        <v>8.0753000000000005E-3</v>
      </c>
      <c r="CH51">
        <v>4.0843999999999999E-4</v>
      </c>
      <c r="CI51">
        <v>1.0252809999999999E-2</v>
      </c>
      <c r="CJ51">
        <v>9.3706499999999995E-3</v>
      </c>
      <c r="CK51">
        <v>2.0406339999999999E-2</v>
      </c>
      <c r="CL51">
        <v>9.53355E-3</v>
      </c>
      <c r="CM51">
        <v>-7.7661900000000001E-3</v>
      </c>
      <c r="CN51">
        <v>7.1504000000000001E-4</v>
      </c>
      <c r="CO51">
        <v>-5.5987399999999996E-3</v>
      </c>
      <c r="CP51">
        <v>1.519558E-2</v>
      </c>
      <c r="CQ51">
        <v>1.0984580000000001E-2</v>
      </c>
      <c r="CR51">
        <v>-3.5452499999999998E-3</v>
      </c>
      <c r="CS51">
        <v>1.6160899999999999E-2</v>
      </c>
      <c r="CT51">
        <v>1.24563E-3</v>
      </c>
      <c r="CU51">
        <v>3.66855E-3</v>
      </c>
      <c r="CV51">
        <v>-1.9246199999999999E-3</v>
      </c>
      <c r="CW51">
        <v>-3.3528099999999999E-3</v>
      </c>
      <c r="CX51">
        <v>3.9919100000000004E-3</v>
      </c>
      <c r="CY51">
        <v>1.0556080000000001E-2</v>
      </c>
      <c r="CZ51">
        <v>8.3317400000000007E-3</v>
      </c>
      <c r="DA51">
        <v>-1.8336699999999999E-3</v>
      </c>
      <c r="DB51">
        <v>-2.3565399999999999E-3</v>
      </c>
      <c r="DC51">
        <v>-1.45404E-3</v>
      </c>
      <c r="DD51">
        <v>5.7413000000000004E-3</v>
      </c>
      <c r="DE51">
        <v>-6.9170500000000001E-3</v>
      </c>
      <c r="DF51">
        <v>-1.0122E-3</v>
      </c>
      <c r="DG51">
        <v>-5.6733699999999996E-3</v>
      </c>
      <c r="DH51">
        <v>-9.1610700000000003E-3</v>
      </c>
      <c r="DI51">
        <v>8.0855000000000007E-3</v>
      </c>
      <c r="DJ51">
        <v>1.606728E-2</v>
      </c>
      <c r="DK51">
        <v>1.154109E-2</v>
      </c>
      <c r="DL51">
        <v>-4.7180299999999998E-3</v>
      </c>
      <c r="DM51">
        <v>2.1209289999999999E-2</v>
      </c>
      <c r="DN51">
        <v>1.8357680000000001E-2</v>
      </c>
      <c r="DO51">
        <v>-8.32923E-3</v>
      </c>
      <c r="DP51">
        <v>1.7539180000000001E-2</v>
      </c>
      <c r="DQ51">
        <v>-1.6046000000000001E-3</v>
      </c>
      <c r="DR51">
        <v>-3.0934399999999998E-3</v>
      </c>
      <c r="DS51">
        <v>-3.68112E-3</v>
      </c>
      <c r="DT51">
        <v>-1.9890339999999999E-2</v>
      </c>
      <c r="DU51">
        <v>-1.7781580000000002E-2</v>
      </c>
      <c r="DV51">
        <v>-2.3719999999999999E-4</v>
      </c>
      <c r="DW51">
        <v>-3.33088E-3</v>
      </c>
      <c r="DX51">
        <v>-1.0169600000000001E-2</v>
      </c>
      <c r="DY51">
        <v>-1.311499E-2</v>
      </c>
      <c r="DZ51">
        <v>1.825E-5</v>
      </c>
      <c r="EA51">
        <v>2.6272600000000002E-3</v>
      </c>
      <c r="EB51">
        <v>-1.39941E-3</v>
      </c>
      <c r="EC51">
        <v>-1.883344E-2</v>
      </c>
      <c r="ED51">
        <v>1.40515E-3</v>
      </c>
      <c r="EE51">
        <v>-1.067601E-2</v>
      </c>
      <c r="EF51">
        <v>-1.2053599999999999E-3</v>
      </c>
      <c r="EG51">
        <v>-4.0706900000000001E-3</v>
      </c>
      <c r="EH51">
        <v>8.4552E-4</v>
      </c>
      <c r="EI51">
        <v>-3.5597030000000002E-2</v>
      </c>
      <c r="EJ51">
        <v>-2.2173399999999999E-3</v>
      </c>
      <c r="EK51">
        <v>-4.8392499999999998E-3</v>
      </c>
      <c r="EL51">
        <v>-4.52082E-3</v>
      </c>
      <c r="EM51">
        <v>-1.442857E-2</v>
      </c>
      <c r="EN51">
        <v>2.62989E-2</v>
      </c>
      <c r="EO51">
        <v>-1.35406E-3</v>
      </c>
      <c r="EP51">
        <f t="shared" si="1"/>
        <v>0</v>
      </c>
      <c r="EQ51">
        <f>SUMIF('Mi portafolio'!$A$8:$A$19,$A51,'Mi portafolio'!$B$8:$B$19)</f>
        <v>0</v>
      </c>
    </row>
    <row r="52" spans="1:147" x14ac:dyDescent="0.25">
      <c r="A52" s="34" t="s">
        <v>127</v>
      </c>
      <c r="B52">
        <v>3.32249E-3</v>
      </c>
      <c r="C52">
        <v>1.377895E-2</v>
      </c>
      <c r="D52">
        <v>5.2399300000000003E-3</v>
      </c>
      <c r="E52">
        <v>2.495021E-2</v>
      </c>
      <c r="F52">
        <v>4.5400700000000002E-3</v>
      </c>
      <c r="G52">
        <v>3.1241099999999998E-3</v>
      </c>
      <c r="H52">
        <v>1.0960839999999999E-2</v>
      </c>
      <c r="I52">
        <v>7.59153E-3</v>
      </c>
      <c r="J52">
        <v>1.4445599999999999E-3</v>
      </c>
      <c r="K52">
        <v>4.7378899999999998E-3</v>
      </c>
      <c r="L52">
        <v>1.719625E-2</v>
      </c>
      <c r="M52">
        <v>1.124704E-2</v>
      </c>
      <c r="N52">
        <v>1.0036689999999999E-2</v>
      </c>
      <c r="O52">
        <v>2.127919E-2</v>
      </c>
      <c r="P52">
        <v>1.107754E-2</v>
      </c>
      <c r="Q52">
        <v>3.4261700000000001E-3</v>
      </c>
      <c r="R52">
        <v>9.1638699999999993E-3</v>
      </c>
      <c r="S52">
        <v>1.780882E-2</v>
      </c>
      <c r="T52">
        <v>8.5973000000000004E-3</v>
      </c>
      <c r="U52">
        <v>2.331517E-2</v>
      </c>
      <c r="V52">
        <v>1.6142279999999998E-2</v>
      </c>
      <c r="W52">
        <v>2.4764080000000001E-2</v>
      </c>
      <c r="X52">
        <v>9.8788299999999999E-3</v>
      </c>
      <c r="Y52">
        <v>7.5375099999999999E-3</v>
      </c>
      <c r="Z52">
        <v>1.7515630000000001E-2</v>
      </c>
      <c r="AA52">
        <v>1.169509E-2</v>
      </c>
      <c r="AB52">
        <v>1.93644E-3</v>
      </c>
      <c r="AC52">
        <v>1.7788149999999999E-2</v>
      </c>
      <c r="AD52">
        <v>1.8373400000000002E-2</v>
      </c>
      <c r="AE52">
        <v>2.2493180000000002E-2</v>
      </c>
      <c r="AF52">
        <v>2.304343E-2</v>
      </c>
      <c r="AG52">
        <v>3.6670299999999999E-3</v>
      </c>
      <c r="AH52">
        <v>4.8860900000000001E-3</v>
      </c>
      <c r="AI52">
        <v>2.0618099999999999E-3</v>
      </c>
      <c r="AJ52">
        <v>1.5666469999999998E-2</v>
      </c>
      <c r="AK52">
        <v>2.3684960000000001E-2</v>
      </c>
      <c r="AL52">
        <v>8.5113500000000009E-3</v>
      </c>
      <c r="AM52">
        <v>9.7133600000000007E-3</v>
      </c>
      <c r="AN52">
        <v>1.300085E-2</v>
      </c>
      <c r="AO52">
        <v>6.9597799999999996E-3</v>
      </c>
      <c r="AP52">
        <v>1.285504E-2</v>
      </c>
      <c r="AQ52">
        <v>2.7341000000000002E-3</v>
      </c>
      <c r="AR52">
        <v>8.1708700000000002E-3</v>
      </c>
      <c r="AS52">
        <v>1.7630110000000001E-2</v>
      </c>
      <c r="AT52">
        <v>1.239611E-2</v>
      </c>
      <c r="AU52">
        <v>1.1132029999999999E-2</v>
      </c>
      <c r="AV52">
        <v>7.7704789999999996E-2</v>
      </c>
      <c r="AW52">
        <v>2.8992319999999999E-2</v>
      </c>
      <c r="AX52">
        <v>1.2991900000000001E-2</v>
      </c>
      <c r="AY52">
        <v>1.102154E-2</v>
      </c>
      <c r="AZ52">
        <v>1.5834620000000001E-2</v>
      </c>
      <c r="BA52">
        <v>1.5280210000000001E-2</v>
      </c>
      <c r="BB52">
        <v>1.282614E-2</v>
      </c>
      <c r="BC52">
        <v>1.9051829999999999E-2</v>
      </c>
      <c r="BD52">
        <v>2.0807409999999998E-2</v>
      </c>
      <c r="BE52">
        <v>6.5474900000000004E-3</v>
      </c>
      <c r="BF52">
        <v>2.2983139999999999E-2</v>
      </c>
      <c r="BG52">
        <v>9.3890899999999992E-3</v>
      </c>
      <c r="BH52">
        <v>2.7926059999999999E-2</v>
      </c>
      <c r="BI52">
        <v>1.8378470000000001E-2</v>
      </c>
      <c r="BJ52">
        <v>1.0623189999999999E-2</v>
      </c>
      <c r="BK52">
        <v>1.924915E-2</v>
      </c>
      <c r="BL52">
        <v>1.0313930000000001E-2</v>
      </c>
      <c r="BM52">
        <v>1.1141119999999999E-2</v>
      </c>
      <c r="BN52">
        <v>3.3968900000000001E-3</v>
      </c>
      <c r="BO52">
        <v>1.4733700000000001E-2</v>
      </c>
      <c r="BP52">
        <v>9.9437999999999992E-3</v>
      </c>
      <c r="BQ52">
        <v>2.3732840000000002E-2</v>
      </c>
      <c r="BR52">
        <v>1.511323E-2</v>
      </c>
      <c r="BS52">
        <v>-2.8272100000000001E-3</v>
      </c>
      <c r="BT52">
        <v>8.7487599999999995E-3</v>
      </c>
      <c r="BU52">
        <v>8.5347700000000006E-3</v>
      </c>
      <c r="BV52">
        <v>7.8263399999999993E-3</v>
      </c>
      <c r="BW52">
        <v>1.5125019999999999E-2</v>
      </c>
      <c r="BX52">
        <v>1.140274E-2</v>
      </c>
      <c r="BY52">
        <v>7.9553000000000002E-3</v>
      </c>
      <c r="BZ52">
        <v>1.0924100000000001E-2</v>
      </c>
      <c r="CA52">
        <v>3.311969E-2</v>
      </c>
      <c r="CB52">
        <v>-1.4660000000000001E-4</v>
      </c>
      <c r="CC52">
        <v>6.97169E-3</v>
      </c>
      <c r="CD52">
        <v>-2.3275100000000001E-3</v>
      </c>
      <c r="CE52">
        <v>4.58406E-3</v>
      </c>
      <c r="CF52">
        <v>-4.9928400000000001E-3</v>
      </c>
      <c r="CG52">
        <v>7.8017700000000004E-3</v>
      </c>
      <c r="CH52">
        <v>3.0878570000000001E-2</v>
      </c>
      <c r="CI52">
        <v>-3.5016299999999999E-3</v>
      </c>
      <c r="CJ52">
        <v>6.36822E-3</v>
      </c>
      <c r="CK52">
        <v>1.3254719999999999E-2</v>
      </c>
      <c r="CL52">
        <v>6.1618699999999998E-3</v>
      </c>
      <c r="CM52">
        <v>5.0761000000000001E-3</v>
      </c>
      <c r="CN52">
        <v>1.8435670000000001E-2</v>
      </c>
      <c r="CO52">
        <v>1.7534129999999998E-2</v>
      </c>
      <c r="CP52">
        <v>1.091344E-2</v>
      </c>
      <c r="CQ52">
        <v>1.2008909999999999E-2</v>
      </c>
      <c r="CR52">
        <v>1.498099E-2</v>
      </c>
      <c r="CS52">
        <v>1.8574960000000001E-2</v>
      </c>
      <c r="CT52">
        <v>1.4202579999999999E-2</v>
      </c>
      <c r="CU52">
        <v>1.7932710000000001E-2</v>
      </c>
      <c r="CV52">
        <v>3.54769E-3</v>
      </c>
      <c r="CW52">
        <v>1.801786E-2</v>
      </c>
      <c r="CX52">
        <v>1.0915569999999999E-2</v>
      </c>
      <c r="CY52">
        <v>1.6365660000000001E-2</v>
      </c>
      <c r="CZ52">
        <v>2.9045999999999998E-3</v>
      </c>
      <c r="DA52">
        <v>3.4349699999999999E-3</v>
      </c>
      <c r="DB52">
        <v>3.0647629999999999E-2</v>
      </c>
      <c r="DC52">
        <v>2.7854480000000001E-2</v>
      </c>
      <c r="DD52">
        <v>1.0148860000000001E-2</v>
      </c>
      <c r="DE52">
        <v>2.3981559999999999E-2</v>
      </c>
      <c r="DF52">
        <v>2.3083999999999999E-3</v>
      </c>
      <c r="DG52">
        <v>1.6822520000000001E-2</v>
      </c>
      <c r="DH52">
        <v>2.375114E-2</v>
      </c>
      <c r="DI52">
        <v>1.8849459999999998E-2</v>
      </c>
      <c r="DJ52">
        <v>2.7217600000000002E-3</v>
      </c>
      <c r="DK52">
        <v>1.6945399999999999E-2</v>
      </c>
      <c r="DL52">
        <v>2.4336460000000001E-2</v>
      </c>
      <c r="DM52">
        <v>1.235609E-2</v>
      </c>
      <c r="DN52">
        <v>2.7934100000000001E-3</v>
      </c>
      <c r="DO52">
        <v>2.3382119999999999E-2</v>
      </c>
      <c r="DP52">
        <v>4.9898E-3</v>
      </c>
      <c r="DQ52">
        <v>-2.54024E-3</v>
      </c>
      <c r="DR52">
        <v>1.6459640000000001E-2</v>
      </c>
      <c r="DS52">
        <v>-1.03321E-2</v>
      </c>
      <c r="DT52">
        <v>1.3008270000000001E-2</v>
      </c>
      <c r="DU52">
        <v>2.6190359999999999E-2</v>
      </c>
      <c r="DV52">
        <v>2.5104629999999999E-2</v>
      </c>
      <c r="DW52">
        <v>1.9560689999999999E-2</v>
      </c>
      <c r="DX52">
        <v>1.6022109999999999E-2</v>
      </c>
      <c r="DY52">
        <v>2.2501480000000001E-2</v>
      </c>
      <c r="DZ52">
        <v>2.8866400000000002E-3</v>
      </c>
      <c r="EA52">
        <v>1.7215919999999999E-2</v>
      </c>
      <c r="EB52">
        <v>2.8554019999999999E-2</v>
      </c>
      <c r="EC52">
        <v>7.0650499999999998E-3</v>
      </c>
      <c r="ED52">
        <v>3.8334720000000003E-2</v>
      </c>
      <c r="EE52">
        <v>1.6911280000000001E-2</v>
      </c>
      <c r="EF52">
        <v>2.1592090000000001E-2</v>
      </c>
      <c r="EG52">
        <v>2.2551439999999999E-2</v>
      </c>
      <c r="EH52">
        <v>8.7553500000000003E-3</v>
      </c>
      <c r="EI52">
        <v>-5.4049000000000002E-4</v>
      </c>
      <c r="EJ52">
        <v>3.9280580000000002E-2</v>
      </c>
      <c r="EK52">
        <v>3.9541300000000001E-2</v>
      </c>
      <c r="EL52">
        <v>4.1616470000000003E-2</v>
      </c>
      <c r="EM52">
        <v>1.172953E-2</v>
      </c>
      <c r="EN52">
        <v>8.4580899999999997E-3</v>
      </c>
      <c r="EO52">
        <v>4.2340889999999999E-2</v>
      </c>
      <c r="EP52">
        <f t="shared" si="1"/>
        <v>0</v>
      </c>
      <c r="EQ52">
        <f>SUMIF('Mi portafolio'!$A$8:$A$19,$A52,'Mi portafolio'!$B$8:$B$19)</f>
        <v>0</v>
      </c>
    </row>
    <row r="53" spans="1:147" x14ac:dyDescent="0.25">
      <c r="A53" s="34" t="s">
        <v>128</v>
      </c>
      <c r="B53">
        <v>-3.4858000000000003E-4</v>
      </c>
      <c r="C53">
        <v>9.5383299999999994E-3</v>
      </c>
      <c r="D53">
        <v>2.3821200000000002E-3</v>
      </c>
      <c r="E53">
        <v>9.3577E-3</v>
      </c>
      <c r="F53">
        <v>-2.2112799999999999E-3</v>
      </c>
      <c r="G53">
        <v>6.62541E-3</v>
      </c>
      <c r="H53">
        <v>2.1031419999999999E-2</v>
      </c>
      <c r="I53">
        <v>1.7725200000000001E-3</v>
      </c>
      <c r="J53">
        <v>1.3949100000000001E-3</v>
      </c>
      <c r="K53">
        <v>1.86835E-3</v>
      </c>
      <c r="L53">
        <v>9.7361199999999992E-3</v>
      </c>
      <c r="M53">
        <v>1.550294E-2</v>
      </c>
      <c r="N53">
        <v>3.70865E-3</v>
      </c>
      <c r="O53">
        <v>1.6565150000000001E-2</v>
      </c>
      <c r="P53">
        <v>7.5364300000000002E-3</v>
      </c>
      <c r="Q53">
        <v>8.0649499999999995E-3</v>
      </c>
      <c r="R53">
        <v>2.8351000000000001E-3</v>
      </c>
      <c r="S53">
        <v>2.0727249999999999E-2</v>
      </c>
      <c r="T53">
        <v>4.9331100000000001E-3</v>
      </c>
      <c r="U53">
        <v>2.292133E-2</v>
      </c>
      <c r="V53">
        <v>2.312316E-2</v>
      </c>
      <c r="W53">
        <v>1.6011290000000001E-2</v>
      </c>
      <c r="X53">
        <v>6.6274899999999998E-3</v>
      </c>
      <c r="Y53">
        <v>3.2103399999999999E-3</v>
      </c>
      <c r="Z53">
        <v>2.5698479999999999E-2</v>
      </c>
      <c r="AA53">
        <v>3.8566799999999999E-3</v>
      </c>
      <c r="AB53">
        <v>-7.4133999999999995E-4</v>
      </c>
      <c r="AC53">
        <v>1.4838489999999999E-2</v>
      </c>
      <c r="AD53">
        <v>2.2764710000000001E-2</v>
      </c>
      <c r="AE53">
        <v>2.1717E-2</v>
      </c>
      <c r="AF53">
        <v>2.405465E-2</v>
      </c>
      <c r="AG53">
        <v>-1.98336E-3</v>
      </c>
      <c r="AH53">
        <v>-5.2948300000000004E-3</v>
      </c>
      <c r="AI53">
        <v>-8.2832700000000006E-3</v>
      </c>
      <c r="AJ53">
        <v>6.6499000000000003E-3</v>
      </c>
      <c r="AK53">
        <v>2.8550559999999999E-2</v>
      </c>
      <c r="AL53">
        <v>2.52871E-3</v>
      </c>
      <c r="AM53">
        <v>1.3635420000000001E-2</v>
      </c>
      <c r="AN53">
        <v>1.8073450000000001E-2</v>
      </c>
      <c r="AO53">
        <v>-4.4038799999999998E-3</v>
      </c>
      <c r="AP53">
        <v>1.043739E-2</v>
      </c>
      <c r="AQ53">
        <v>-4.9663299999999997E-3</v>
      </c>
      <c r="AR53">
        <v>4.2853999999999999E-4</v>
      </c>
      <c r="AS53">
        <v>2.3286299999999999E-2</v>
      </c>
      <c r="AT53">
        <v>6.9017799999999997E-3</v>
      </c>
      <c r="AU53">
        <v>1.0827989999999999E-2</v>
      </c>
      <c r="AV53">
        <v>2.8992319999999999E-2</v>
      </c>
      <c r="AW53">
        <v>8.2452429999999993E-2</v>
      </c>
      <c r="AX53">
        <v>7.4627799999999996E-3</v>
      </c>
      <c r="AY53">
        <v>1.2673469999999999E-2</v>
      </c>
      <c r="AZ53">
        <v>2.5153970000000001E-2</v>
      </c>
      <c r="BA53">
        <v>1.9154540000000001E-2</v>
      </c>
      <c r="BB53">
        <v>9.3567000000000008E-3</v>
      </c>
      <c r="BC53">
        <v>1.8540859999999999E-2</v>
      </c>
      <c r="BD53">
        <v>2.9866170000000001E-2</v>
      </c>
      <c r="BE53">
        <v>9.1456100000000002E-3</v>
      </c>
      <c r="BF53">
        <v>3.111794E-2</v>
      </c>
      <c r="BG53">
        <v>1.0372009999999999E-2</v>
      </c>
      <c r="BH53">
        <v>3.1663219999999999E-2</v>
      </c>
      <c r="BI53">
        <v>1.040609E-2</v>
      </c>
      <c r="BJ53">
        <v>6.8409600000000001E-3</v>
      </c>
      <c r="BK53">
        <v>1.806249E-2</v>
      </c>
      <c r="BL53">
        <v>2.2958389999999999E-2</v>
      </c>
      <c r="BM53">
        <v>2.2137300000000001E-3</v>
      </c>
      <c r="BN53">
        <v>4.5178900000000001E-3</v>
      </c>
      <c r="BO53">
        <v>8.6640199999999997E-3</v>
      </c>
      <c r="BP53">
        <v>-1.80916E-3</v>
      </c>
      <c r="BQ53">
        <v>4.4963929999999999E-2</v>
      </c>
      <c r="BR53">
        <v>1.212392E-2</v>
      </c>
      <c r="BS53">
        <v>-6.8612400000000002E-3</v>
      </c>
      <c r="BT53">
        <v>2.115583E-2</v>
      </c>
      <c r="BU53">
        <v>2.8908139999999999E-2</v>
      </c>
      <c r="BV53">
        <v>7.0099300000000002E-3</v>
      </c>
      <c r="BW53">
        <v>1.9045929999999999E-2</v>
      </c>
      <c r="BX53">
        <v>7.08123E-3</v>
      </c>
      <c r="BY53">
        <v>1.4382259999999999E-2</v>
      </c>
      <c r="BZ53">
        <v>1.867804E-2</v>
      </c>
      <c r="CA53">
        <v>2.8698959999999999E-2</v>
      </c>
      <c r="CB53">
        <v>-1.6682299999999999E-3</v>
      </c>
      <c r="CC53">
        <v>1.140847E-2</v>
      </c>
      <c r="CD53">
        <v>9.9549400000000007E-3</v>
      </c>
      <c r="CE53">
        <v>1.480252E-2</v>
      </c>
      <c r="CF53">
        <v>-8.0767800000000004E-3</v>
      </c>
      <c r="CG53">
        <v>1.236219E-2</v>
      </c>
      <c r="CH53">
        <v>4.5428860000000001E-2</v>
      </c>
      <c r="CI53">
        <v>-7.3565000000000002E-3</v>
      </c>
      <c r="CJ53">
        <v>-3.9389300000000002E-3</v>
      </c>
      <c r="CK53">
        <v>2.004419E-2</v>
      </c>
      <c r="CL53">
        <v>1.37956E-2</v>
      </c>
      <c r="CM53">
        <v>1.44241E-2</v>
      </c>
      <c r="CN53">
        <v>2.8463619999999999E-2</v>
      </c>
      <c r="CO53">
        <v>2.3177639999999999E-2</v>
      </c>
      <c r="CP53">
        <v>2.62897E-3</v>
      </c>
      <c r="CQ53">
        <v>1.180543E-2</v>
      </c>
      <c r="CR53">
        <v>1.7043840000000001E-2</v>
      </c>
      <c r="CS53">
        <v>2.8592670000000001E-2</v>
      </c>
      <c r="CT53">
        <v>1.7910010000000001E-2</v>
      </c>
      <c r="CU53">
        <v>9.7526899999999996E-3</v>
      </c>
      <c r="CV53">
        <v>2.38382E-3</v>
      </c>
      <c r="CW53">
        <v>1.324842E-2</v>
      </c>
      <c r="CX53">
        <v>1.6300120000000001E-2</v>
      </c>
      <c r="CY53">
        <v>1.215949E-2</v>
      </c>
      <c r="CZ53">
        <v>1.6259240000000001E-2</v>
      </c>
      <c r="DA53">
        <v>3.4790799999999998E-3</v>
      </c>
      <c r="DB53">
        <v>3.3657409999999999E-2</v>
      </c>
      <c r="DC53">
        <v>2.7016510000000001E-2</v>
      </c>
      <c r="DD53">
        <v>2.2954120000000001E-2</v>
      </c>
      <c r="DE53">
        <v>4.1237169999999997E-2</v>
      </c>
      <c r="DF53">
        <v>-5.6455200000000002E-3</v>
      </c>
      <c r="DG53">
        <v>3.5501980000000002E-2</v>
      </c>
      <c r="DH53">
        <v>1.53898E-2</v>
      </c>
      <c r="DI53">
        <v>1.7194339999999999E-2</v>
      </c>
      <c r="DJ53">
        <v>6.4246499999999996E-3</v>
      </c>
      <c r="DK53">
        <v>2.3284760000000002E-2</v>
      </c>
      <c r="DL53">
        <v>4.8083960000000002E-2</v>
      </c>
      <c r="DM53">
        <v>1.6986569999999999E-2</v>
      </c>
      <c r="DN53">
        <v>9.4185599999999994E-3</v>
      </c>
      <c r="DO53">
        <v>2.8485480000000001E-2</v>
      </c>
      <c r="DP53">
        <v>1.5766499999999999E-2</v>
      </c>
      <c r="DQ53">
        <v>2.221188E-2</v>
      </c>
      <c r="DR53">
        <v>2.8425369999999998E-2</v>
      </c>
      <c r="DS53">
        <v>-1.0393390000000001E-2</v>
      </c>
      <c r="DT53">
        <v>1.021059E-2</v>
      </c>
      <c r="DU53">
        <v>1.762E-2</v>
      </c>
      <c r="DV53">
        <v>6.0346200000000001E-3</v>
      </c>
      <c r="DW53">
        <v>6.8661499999999997E-3</v>
      </c>
      <c r="DX53">
        <v>3.5145269999999999E-2</v>
      </c>
      <c r="DY53">
        <v>2.1654219999999998E-2</v>
      </c>
      <c r="DZ53">
        <v>4.4703599999999996E-3</v>
      </c>
      <c r="EA53">
        <v>1.462187E-2</v>
      </c>
      <c r="EB53">
        <v>1.8630230000000001E-2</v>
      </c>
      <c r="EC53">
        <v>3.2545709999999999E-2</v>
      </c>
      <c r="ED53">
        <v>4.1982800000000001E-2</v>
      </c>
      <c r="EE53">
        <v>3.2382139999999997E-2</v>
      </c>
      <c r="EF53">
        <v>3.4069509999999997E-2</v>
      </c>
      <c r="EG53">
        <v>4.8275770000000003E-2</v>
      </c>
      <c r="EH53">
        <v>-8.3831900000000004E-3</v>
      </c>
      <c r="EI53">
        <v>3.256448E-2</v>
      </c>
      <c r="EJ53">
        <v>3.4703190000000002E-2</v>
      </c>
      <c r="EK53">
        <v>3.3081949999999999E-2</v>
      </c>
      <c r="EL53">
        <v>4.1796199999999999E-2</v>
      </c>
      <c r="EM53">
        <v>1.5790370000000001E-2</v>
      </c>
      <c r="EN53">
        <v>3.1129670000000002E-2</v>
      </c>
      <c r="EO53">
        <v>1.37155E-2</v>
      </c>
      <c r="EP53">
        <f t="shared" si="1"/>
        <v>0</v>
      </c>
      <c r="EQ53">
        <f>SUMIF('Mi portafolio'!$A$8:$A$19,$A53,'Mi portafolio'!$B$8:$B$19)</f>
        <v>0</v>
      </c>
    </row>
    <row r="54" spans="1:147" x14ac:dyDescent="0.25">
      <c r="A54" s="34" t="s">
        <v>129</v>
      </c>
      <c r="B54">
        <v>1.6534500000000001E-2</v>
      </c>
      <c r="C54">
        <v>-3.8885999999999999E-4</v>
      </c>
      <c r="D54">
        <v>5.5288999999999998E-3</v>
      </c>
      <c r="E54">
        <v>7.3233999999999999E-3</v>
      </c>
      <c r="F54">
        <v>2.1364419999999999E-2</v>
      </c>
      <c r="G54">
        <v>2.9562E-3</v>
      </c>
      <c r="H54">
        <v>3.4584799999999999E-3</v>
      </c>
      <c r="I54">
        <v>2.50038E-2</v>
      </c>
      <c r="J54">
        <v>3.1944630000000002E-2</v>
      </c>
      <c r="K54">
        <v>2.4283329999999999E-2</v>
      </c>
      <c r="L54">
        <v>9.2743500000000006E-3</v>
      </c>
      <c r="M54">
        <v>1.741065E-2</v>
      </c>
      <c r="N54">
        <v>4.0468520000000001E-2</v>
      </c>
      <c r="O54">
        <v>5.7989399999999998E-3</v>
      </c>
      <c r="P54">
        <v>2.048844E-2</v>
      </c>
      <c r="Q54">
        <v>-5.2112000000000003E-4</v>
      </c>
      <c r="R54">
        <v>2.466542E-2</v>
      </c>
      <c r="S54">
        <v>1.0439199999999999E-2</v>
      </c>
      <c r="T54">
        <v>1.539724E-2</v>
      </c>
      <c r="U54">
        <v>9.4958200000000003E-3</v>
      </c>
      <c r="V54">
        <v>1.8946E-3</v>
      </c>
      <c r="W54">
        <v>9.3285699999999996E-3</v>
      </c>
      <c r="X54">
        <v>1.9507179999999999E-2</v>
      </c>
      <c r="Y54">
        <v>1.916636E-2</v>
      </c>
      <c r="Z54">
        <v>6.8415999999999998E-3</v>
      </c>
      <c r="AA54">
        <v>1.6156650000000002E-2</v>
      </c>
      <c r="AB54">
        <v>1.9498229999999998E-2</v>
      </c>
      <c r="AC54">
        <v>-4.9207299999999999E-3</v>
      </c>
      <c r="AD54">
        <v>2.49125E-3</v>
      </c>
      <c r="AE54">
        <v>3.9807799999999997E-3</v>
      </c>
      <c r="AF54">
        <v>-4.3810000000000002E-5</v>
      </c>
      <c r="AG54">
        <v>1.5633660000000001E-2</v>
      </c>
      <c r="AH54">
        <v>1.8755170000000002E-2</v>
      </c>
      <c r="AI54">
        <v>8.1463100000000004E-3</v>
      </c>
      <c r="AJ54">
        <v>5.7140300000000002E-3</v>
      </c>
      <c r="AK54">
        <v>3.1180999999999998E-4</v>
      </c>
      <c r="AL54">
        <v>1.793952E-2</v>
      </c>
      <c r="AM54">
        <v>1.3613220000000001E-2</v>
      </c>
      <c r="AN54">
        <v>2.685148E-2</v>
      </c>
      <c r="AO54">
        <v>4.2564240000000003E-2</v>
      </c>
      <c r="AP54">
        <v>2.1637819999999999E-2</v>
      </c>
      <c r="AQ54">
        <v>3.8720899999999999E-3</v>
      </c>
      <c r="AR54">
        <v>2.0647459999999999E-2</v>
      </c>
      <c r="AS54">
        <v>3.0699500000000001E-3</v>
      </c>
      <c r="AT54">
        <v>2.012282E-2</v>
      </c>
      <c r="AU54">
        <v>2.7480129999999998E-2</v>
      </c>
      <c r="AV54">
        <v>1.2991900000000001E-2</v>
      </c>
      <c r="AW54">
        <v>7.4627799999999996E-3</v>
      </c>
      <c r="AX54">
        <v>8.4695969999999995E-2</v>
      </c>
      <c r="AY54">
        <v>2.0186909999999999E-2</v>
      </c>
      <c r="AZ54">
        <v>3.6879899999999999E-3</v>
      </c>
      <c r="BA54">
        <v>3.0780060000000001E-2</v>
      </c>
      <c r="BB54">
        <v>1.9766769999999999E-2</v>
      </c>
      <c r="BC54">
        <v>8.7264500000000002E-3</v>
      </c>
      <c r="BD54">
        <v>8.8769899999999995E-3</v>
      </c>
      <c r="BE54">
        <v>4.6280849999999998E-2</v>
      </c>
      <c r="BF54">
        <v>1.0976919999999999E-2</v>
      </c>
      <c r="BG54">
        <v>2.0779300000000001E-2</v>
      </c>
      <c r="BH54">
        <v>9.4481600000000006E-3</v>
      </c>
      <c r="BI54">
        <v>4.8576599999999998E-3</v>
      </c>
      <c r="BJ54">
        <v>6.9620899999999998E-3</v>
      </c>
      <c r="BK54">
        <v>4.9319699999999999E-3</v>
      </c>
      <c r="BL54">
        <v>1.158177E-2</v>
      </c>
      <c r="BM54">
        <v>2.6001320000000001E-2</v>
      </c>
      <c r="BN54">
        <v>1.35207E-2</v>
      </c>
      <c r="BO54">
        <v>2.4289560000000002E-2</v>
      </c>
      <c r="BP54">
        <v>8.1107699999999998E-3</v>
      </c>
      <c r="BQ54">
        <v>5.57969E-3</v>
      </c>
      <c r="BR54">
        <v>2.0014649999999998E-2</v>
      </c>
      <c r="BS54">
        <v>1.5443799999999999E-3</v>
      </c>
      <c r="BT54">
        <v>2.3646739999999999E-2</v>
      </c>
      <c r="BU54">
        <v>1.24683E-3</v>
      </c>
      <c r="BV54">
        <v>1.3876039999999999E-2</v>
      </c>
      <c r="BW54">
        <v>1.9094750000000001E-2</v>
      </c>
      <c r="BX54">
        <v>4.5972109999999997E-2</v>
      </c>
      <c r="BY54">
        <v>2.142867E-2</v>
      </c>
      <c r="BZ54">
        <v>1.4243520000000001E-2</v>
      </c>
      <c r="CA54">
        <v>4.0845300000000003E-3</v>
      </c>
      <c r="CB54">
        <v>-2.9390999999999998E-4</v>
      </c>
      <c r="CC54">
        <v>1.198924E-2</v>
      </c>
      <c r="CD54">
        <v>2.1082449999999999E-2</v>
      </c>
      <c r="CE54">
        <v>1.168256E-2</v>
      </c>
      <c r="CF54">
        <v>7.0938199999999998E-3</v>
      </c>
      <c r="CG54">
        <v>2.272923E-2</v>
      </c>
      <c r="CH54">
        <v>6.5909899999999997E-3</v>
      </c>
      <c r="CI54">
        <v>8.9181E-3</v>
      </c>
      <c r="CJ54">
        <v>2.4005479999999999E-2</v>
      </c>
      <c r="CK54">
        <v>1.9341500000000001E-2</v>
      </c>
      <c r="CL54">
        <v>2.0689590000000001E-2</v>
      </c>
      <c r="CM54">
        <v>-7.9861800000000007E-3</v>
      </c>
      <c r="CN54">
        <v>3.5193799999999999E-3</v>
      </c>
      <c r="CO54">
        <v>-4.7288800000000004E-3</v>
      </c>
      <c r="CP54">
        <v>1.1462419999999999E-2</v>
      </c>
      <c r="CQ54">
        <v>3.3631689999999999E-2</v>
      </c>
      <c r="CR54">
        <v>1.5338400000000001E-3</v>
      </c>
      <c r="CS54">
        <v>1.732817E-2</v>
      </c>
      <c r="CT54">
        <v>1.033514E-2</v>
      </c>
      <c r="CU54">
        <v>2.9273300000000001E-3</v>
      </c>
      <c r="CV54">
        <v>-1.3295619999999999E-2</v>
      </c>
      <c r="CW54">
        <v>9.3640000000000008E-3</v>
      </c>
      <c r="CX54">
        <v>1.270045E-2</v>
      </c>
      <c r="CY54">
        <v>3.123484E-2</v>
      </c>
      <c r="CZ54">
        <v>1.4528009999999999E-2</v>
      </c>
      <c r="DA54">
        <v>2.5974460000000001E-2</v>
      </c>
      <c r="DB54">
        <v>1.2244929999999999E-2</v>
      </c>
      <c r="DC54">
        <v>1.530891E-2</v>
      </c>
      <c r="DD54">
        <v>2.2440669999999999E-2</v>
      </c>
      <c r="DE54">
        <v>7.4068299999999997E-3</v>
      </c>
      <c r="DF54">
        <v>1.669781E-2</v>
      </c>
      <c r="DG54">
        <v>1.791736E-2</v>
      </c>
      <c r="DH54">
        <v>-9.2624000000000005E-3</v>
      </c>
      <c r="DI54">
        <v>3.6194530000000003E-2</v>
      </c>
      <c r="DJ54">
        <v>3.7304959999999998E-2</v>
      </c>
      <c r="DK54">
        <v>3.3861830000000002E-2</v>
      </c>
      <c r="DL54">
        <v>4.89428E-3</v>
      </c>
      <c r="DM54">
        <v>4.1434550000000001E-2</v>
      </c>
      <c r="DN54">
        <v>2.6086749999999999E-2</v>
      </c>
      <c r="DO54">
        <v>1.3502510000000001E-2</v>
      </c>
      <c r="DP54">
        <v>4.0856839999999998E-2</v>
      </c>
      <c r="DQ54">
        <v>-1.6448700000000001E-3</v>
      </c>
      <c r="DR54">
        <v>1.301391E-2</v>
      </c>
      <c r="DS54">
        <v>3.6617899999999998E-3</v>
      </c>
      <c r="DT54">
        <v>-1.542287E-2</v>
      </c>
      <c r="DU54">
        <v>1.098172E-2</v>
      </c>
      <c r="DV54">
        <v>1.156284E-2</v>
      </c>
      <c r="DW54">
        <v>9.4917000000000005E-4</v>
      </c>
      <c r="DX54">
        <v>3.2235900000000001E-3</v>
      </c>
      <c r="DY54">
        <v>9.2007300000000007E-3</v>
      </c>
      <c r="DZ54">
        <v>6.5349500000000003E-3</v>
      </c>
      <c r="EA54">
        <v>2.165359E-2</v>
      </c>
      <c r="EB54">
        <v>1.9022810000000001E-2</v>
      </c>
      <c r="EC54">
        <v>-2.4036189999999999E-2</v>
      </c>
      <c r="ED54">
        <v>3.5827989999999997E-2</v>
      </c>
      <c r="EE54">
        <v>-5.3525500000000002E-3</v>
      </c>
      <c r="EF54">
        <v>-5.8775199999999998E-3</v>
      </c>
      <c r="EG54">
        <v>-7.7116199999999998E-3</v>
      </c>
      <c r="EH54">
        <v>7.28292E-3</v>
      </c>
      <c r="EI54">
        <v>-2.5124270000000001E-2</v>
      </c>
      <c r="EJ54">
        <v>5.6713979999999997E-2</v>
      </c>
      <c r="EK54">
        <v>2.727485E-2</v>
      </c>
      <c r="EL54">
        <v>2.1492000000000001E-4</v>
      </c>
      <c r="EM54">
        <v>9.6378000000000002E-3</v>
      </c>
      <c r="EN54">
        <v>8.6853970000000003E-2</v>
      </c>
      <c r="EO54">
        <v>3.6114109999999998E-2</v>
      </c>
      <c r="EP54">
        <f t="shared" si="1"/>
        <v>0</v>
      </c>
      <c r="EQ54">
        <f>SUMIF('Mi portafolio'!$A$8:$A$19,$A54,'Mi portafolio'!$B$8:$B$19)</f>
        <v>0</v>
      </c>
    </row>
    <row r="55" spans="1:147" x14ac:dyDescent="0.25">
      <c r="A55" s="34" t="s">
        <v>131</v>
      </c>
      <c r="B55">
        <v>1.283902E-2</v>
      </c>
      <c r="C55">
        <v>5.9708900000000004E-3</v>
      </c>
      <c r="D55">
        <v>-1.4916599999999999E-3</v>
      </c>
      <c r="E55">
        <v>5.6424200000000004E-3</v>
      </c>
      <c r="F55">
        <v>1.982331E-2</v>
      </c>
      <c r="G55">
        <v>2.0027000000000001E-3</v>
      </c>
      <c r="H55">
        <v>9.9419999999999993E-5</v>
      </c>
      <c r="I55">
        <v>2.2271829999999999E-2</v>
      </c>
      <c r="J55">
        <v>1.2923550000000001E-2</v>
      </c>
      <c r="K55">
        <v>1.6730249999999999E-2</v>
      </c>
      <c r="L55">
        <v>1.625588E-2</v>
      </c>
      <c r="M55">
        <v>2.344326E-2</v>
      </c>
      <c r="N55">
        <v>1.7746930000000001E-2</v>
      </c>
      <c r="O55">
        <v>9.3588999999999999E-4</v>
      </c>
      <c r="P55">
        <v>1.9676780000000001E-2</v>
      </c>
      <c r="Q55">
        <v>-4.2799200000000004E-3</v>
      </c>
      <c r="R55">
        <v>1.9514569999999998E-2</v>
      </c>
      <c r="S55">
        <v>2.4451999999999998E-3</v>
      </c>
      <c r="T55">
        <v>1.6943659999999999E-2</v>
      </c>
      <c r="U55">
        <v>2.2650999999999999E-3</v>
      </c>
      <c r="V55">
        <v>5.2658100000000001E-3</v>
      </c>
      <c r="W55">
        <v>9.9905600000000008E-3</v>
      </c>
      <c r="X55">
        <v>1.826879E-2</v>
      </c>
      <c r="Y55">
        <v>3.0925620000000001E-2</v>
      </c>
      <c r="Z55">
        <v>1.33073E-3</v>
      </c>
      <c r="AA55">
        <v>9.0605100000000008E-3</v>
      </c>
      <c r="AB55">
        <v>2.7217209999999999E-2</v>
      </c>
      <c r="AC55">
        <v>-1.2120799999999999E-3</v>
      </c>
      <c r="AD55">
        <v>6.0653800000000004E-3</v>
      </c>
      <c r="AE55">
        <v>5.6823200000000003E-3</v>
      </c>
      <c r="AF55">
        <v>2.7293700000000001E-3</v>
      </c>
      <c r="AG55">
        <v>8.4505299999999995E-3</v>
      </c>
      <c r="AH55">
        <v>9.3887599999999995E-3</v>
      </c>
      <c r="AI55">
        <v>4.35083E-3</v>
      </c>
      <c r="AJ55">
        <v>-2.8715099999999999E-3</v>
      </c>
      <c r="AK55">
        <v>6.2850400000000004E-3</v>
      </c>
      <c r="AL55">
        <v>1.7434709999999999E-2</v>
      </c>
      <c r="AM55">
        <v>5.6273900000000003E-3</v>
      </c>
      <c r="AN55">
        <v>2.9477389999999999E-2</v>
      </c>
      <c r="AO55">
        <v>1.5753050000000001E-2</v>
      </c>
      <c r="AP55">
        <v>2.1124939999999998E-2</v>
      </c>
      <c r="AQ55">
        <v>4.2524700000000004E-3</v>
      </c>
      <c r="AR55">
        <v>1.4559330000000001E-2</v>
      </c>
      <c r="AS55">
        <v>8.6388000000000003E-4</v>
      </c>
      <c r="AT55">
        <v>2.9394719999999999E-2</v>
      </c>
      <c r="AU55">
        <v>1.9649880000000002E-2</v>
      </c>
      <c r="AV55">
        <v>1.102154E-2</v>
      </c>
      <c r="AW55">
        <v>1.2673469999999999E-2</v>
      </c>
      <c r="AX55">
        <v>2.0186909999999999E-2</v>
      </c>
      <c r="AY55">
        <v>8.325051E-2</v>
      </c>
      <c r="AZ55">
        <v>1.531308E-2</v>
      </c>
      <c r="BA55">
        <v>2.4688129999999999E-2</v>
      </c>
      <c r="BB55">
        <v>2.120373E-2</v>
      </c>
      <c r="BC55">
        <v>3.4451E-3</v>
      </c>
      <c r="BD55">
        <v>2.0304400000000001E-3</v>
      </c>
      <c r="BE55">
        <v>2.3999840000000001E-2</v>
      </c>
      <c r="BF55">
        <v>2.8758799999999999E-3</v>
      </c>
      <c r="BG55">
        <v>2.079257E-2</v>
      </c>
      <c r="BH55">
        <v>6.53704E-3</v>
      </c>
      <c r="BI55">
        <v>1.20488E-3</v>
      </c>
      <c r="BJ55">
        <v>-6.0608199999999997E-3</v>
      </c>
      <c r="BK55">
        <v>7.5416299999999997E-3</v>
      </c>
      <c r="BL55">
        <v>1.504165E-2</v>
      </c>
      <c r="BM55">
        <v>3.7910899999999997E-2</v>
      </c>
      <c r="BN55">
        <v>1.9955190000000001E-2</v>
      </c>
      <c r="BO55">
        <v>1.3348199999999999E-2</v>
      </c>
      <c r="BP55">
        <v>1.377253E-2</v>
      </c>
      <c r="BQ55">
        <v>1.9952290000000001E-2</v>
      </c>
      <c r="BR55">
        <v>3.4162959999999999E-2</v>
      </c>
      <c r="BS55">
        <v>-2.2818E-4</v>
      </c>
      <c r="BT55">
        <v>2.0640039999999998E-2</v>
      </c>
      <c r="BU55">
        <v>6.0244499999999998E-3</v>
      </c>
      <c r="BV55">
        <v>2.0160919999999999E-2</v>
      </c>
      <c r="BW55">
        <v>2.6686600000000001E-2</v>
      </c>
      <c r="BX55">
        <v>1.7817019999999999E-2</v>
      </c>
      <c r="BY55">
        <v>2.6567549999999999E-2</v>
      </c>
      <c r="BZ55">
        <v>2.1255670000000001E-2</v>
      </c>
      <c r="CA55">
        <v>5.6933999999999999E-4</v>
      </c>
      <c r="CB55">
        <v>-2.0043800000000001E-3</v>
      </c>
      <c r="CC55">
        <v>2.759636E-2</v>
      </c>
      <c r="CD55">
        <v>2.2724749999999998E-2</v>
      </c>
      <c r="CE55">
        <v>1.8523290000000001E-2</v>
      </c>
      <c r="CF55">
        <v>4.6150100000000001E-3</v>
      </c>
      <c r="CG55">
        <v>3.3054859999999998E-2</v>
      </c>
      <c r="CH55">
        <v>1.6736029999999999E-2</v>
      </c>
      <c r="CI55">
        <v>6.5189499999999999E-3</v>
      </c>
      <c r="CJ55">
        <v>1.285418E-2</v>
      </c>
      <c r="CK55">
        <v>3.2909300000000002E-2</v>
      </c>
      <c r="CL55">
        <v>2.2332210000000002E-2</v>
      </c>
      <c r="CM55">
        <v>3.9798000000000004E-3</v>
      </c>
      <c r="CN55">
        <v>6.1413099999999997E-3</v>
      </c>
      <c r="CO55">
        <v>1.541961E-2</v>
      </c>
      <c r="CP55">
        <v>1.490181E-2</v>
      </c>
      <c r="CQ55">
        <v>4.2826969999999999E-2</v>
      </c>
      <c r="CR55">
        <v>1.7546809999999999E-2</v>
      </c>
      <c r="CS55">
        <v>2.3109870000000001E-2</v>
      </c>
      <c r="CT55">
        <v>2.2581750000000001E-2</v>
      </c>
      <c r="CU55">
        <v>4.0167299999999996E-3</v>
      </c>
      <c r="CV55">
        <v>1.580378E-2</v>
      </c>
      <c r="CW55">
        <v>2.3638699999999999E-2</v>
      </c>
      <c r="CX55">
        <v>2.471922E-2</v>
      </c>
      <c r="CY55">
        <v>3.8044040000000001E-2</v>
      </c>
      <c r="CZ55">
        <v>1.937703E-2</v>
      </c>
      <c r="DA55">
        <v>2.1593810000000001E-2</v>
      </c>
      <c r="DB55">
        <v>1.347747E-2</v>
      </c>
      <c r="DC55">
        <v>1.678149E-2</v>
      </c>
      <c r="DD55">
        <v>3.9263430000000002E-2</v>
      </c>
      <c r="DE55">
        <v>1.9885590000000002E-2</v>
      </c>
      <c r="DF55">
        <v>1.168042E-2</v>
      </c>
      <c r="DG55">
        <v>1.325284E-2</v>
      </c>
      <c r="DH55">
        <v>1.8675649999999999E-2</v>
      </c>
      <c r="DI55">
        <v>4.698132E-2</v>
      </c>
      <c r="DJ55">
        <v>4.7003000000000003E-2</v>
      </c>
      <c r="DK55">
        <v>5.2295479999999998E-2</v>
      </c>
      <c r="DL55">
        <v>-1.97554E-3</v>
      </c>
      <c r="DM55">
        <v>5.3651280000000003E-2</v>
      </c>
      <c r="DN55">
        <v>5.0102029999999999E-2</v>
      </c>
      <c r="DO55">
        <v>1.9473020000000001E-2</v>
      </c>
      <c r="DP55">
        <v>5.2956209999999997E-2</v>
      </c>
      <c r="DQ55">
        <v>6.8628700000000001E-3</v>
      </c>
      <c r="DR55">
        <v>1.398304E-2</v>
      </c>
      <c r="DS55">
        <v>1.2174249999999999E-2</v>
      </c>
      <c r="DT55">
        <v>-4.6540100000000001E-3</v>
      </c>
      <c r="DU55">
        <v>1.7944519999999999E-2</v>
      </c>
      <c r="DV55">
        <v>2.3269990000000001E-2</v>
      </c>
      <c r="DW55">
        <v>3.4268180000000002E-2</v>
      </c>
      <c r="DX55">
        <v>2.6050319999999998E-2</v>
      </c>
      <c r="DY55">
        <v>5.3641609999999999E-2</v>
      </c>
      <c r="DZ55">
        <v>8.0113800000000002E-3</v>
      </c>
      <c r="EA55">
        <v>3.7347310000000002E-2</v>
      </c>
      <c r="EB55">
        <v>3.856772E-2</v>
      </c>
      <c r="EC55">
        <v>-5.9803699999999996E-3</v>
      </c>
      <c r="ED55">
        <v>2.892575E-2</v>
      </c>
      <c r="EE55">
        <v>1.733956E-2</v>
      </c>
      <c r="EF55">
        <v>3.699537E-2</v>
      </c>
      <c r="EG55">
        <v>3.9530000000000003E-2</v>
      </c>
      <c r="EH55">
        <v>3.2365539999999998E-2</v>
      </c>
      <c r="EI55">
        <v>1.9130250000000001E-2</v>
      </c>
      <c r="EJ55">
        <v>3.358133E-2</v>
      </c>
      <c r="EK55">
        <v>3.449696E-2</v>
      </c>
      <c r="EL55">
        <v>3.3219319999999997E-2</v>
      </c>
      <c r="EM55">
        <v>2.447187E-2</v>
      </c>
      <c r="EN55">
        <v>3.3733150000000003E-2</v>
      </c>
      <c r="EO55">
        <v>2.0719620000000001E-2</v>
      </c>
      <c r="EP55">
        <f t="shared" si="1"/>
        <v>0</v>
      </c>
      <c r="EQ55">
        <f>SUMIF('Mi portafolio'!$A$8:$A$19,$A55,'Mi portafolio'!$B$8:$B$19)</f>
        <v>0</v>
      </c>
    </row>
    <row r="56" spans="1:147" x14ac:dyDescent="0.25">
      <c r="A56" s="34" t="s">
        <v>132</v>
      </c>
      <c r="B56">
        <v>1.3104499999999999E-3</v>
      </c>
      <c r="C56">
        <v>4.2827899999999999E-3</v>
      </c>
      <c r="D56">
        <v>1.181537E-2</v>
      </c>
      <c r="E56">
        <v>1.368433E-2</v>
      </c>
      <c r="F56">
        <v>-1.2024500000000001E-3</v>
      </c>
      <c r="G56">
        <v>6.7279100000000001E-3</v>
      </c>
      <c r="H56">
        <v>1.7157550000000001E-2</v>
      </c>
      <c r="I56">
        <v>5.16943E-3</v>
      </c>
      <c r="J56">
        <v>-2.5822699999999998E-3</v>
      </c>
      <c r="K56">
        <v>3.31329E-3</v>
      </c>
      <c r="L56">
        <v>1.5902090000000001E-2</v>
      </c>
      <c r="M56">
        <v>1.775875E-2</v>
      </c>
      <c r="N56">
        <v>8.1349000000000005E-3</v>
      </c>
      <c r="O56">
        <v>1.7830639999999998E-2</v>
      </c>
      <c r="P56">
        <v>4.5126699999999999E-3</v>
      </c>
      <c r="Q56">
        <v>6.3077999999999997E-3</v>
      </c>
      <c r="R56">
        <v>4.1973999999999999E-4</v>
      </c>
      <c r="S56">
        <v>1.83175E-2</v>
      </c>
      <c r="T56">
        <v>9.4095399999999992E-3</v>
      </c>
      <c r="U56">
        <v>1.9462500000000001E-2</v>
      </c>
      <c r="V56">
        <v>1.8665660000000001E-2</v>
      </c>
      <c r="W56">
        <v>8.7105700000000008E-3</v>
      </c>
      <c r="X56">
        <v>1.0739520000000001E-2</v>
      </c>
      <c r="Y56">
        <v>1.092711E-2</v>
      </c>
      <c r="Z56">
        <v>1.7424769999999999E-2</v>
      </c>
      <c r="AA56">
        <v>2.1285100000000001E-2</v>
      </c>
      <c r="AB56">
        <v>6.0552999999999996E-3</v>
      </c>
      <c r="AC56">
        <v>9.3086899999999997E-3</v>
      </c>
      <c r="AD56">
        <v>1.2364780000000001E-2</v>
      </c>
      <c r="AE56">
        <v>4.7981929999999999E-2</v>
      </c>
      <c r="AF56">
        <v>3.1224080000000001E-2</v>
      </c>
      <c r="AG56">
        <v>-1.9707399999999999E-3</v>
      </c>
      <c r="AH56">
        <v>-3.6258100000000001E-3</v>
      </c>
      <c r="AI56">
        <v>-1.8809429999999999E-2</v>
      </c>
      <c r="AJ56">
        <v>1.5842390000000001E-2</v>
      </c>
      <c r="AK56">
        <v>2.6365590000000001E-2</v>
      </c>
      <c r="AL56">
        <v>9.6184500000000006E-3</v>
      </c>
      <c r="AM56">
        <v>1.587624E-2</v>
      </c>
      <c r="AN56">
        <v>2.055251E-2</v>
      </c>
      <c r="AO56">
        <v>8.2639999999999995E-5</v>
      </c>
      <c r="AP56">
        <v>6.92743E-3</v>
      </c>
      <c r="AQ56">
        <v>-1.5685230000000001E-2</v>
      </c>
      <c r="AR56">
        <v>8.7984599999999993E-3</v>
      </c>
      <c r="AS56">
        <v>2.2910280000000002E-2</v>
      </c>
      <c r="AT56">
        <v>1.647208E-2</v>
      </c>
      <c r="AU56">
        <v>1.81712E-3</v>
      </c>
      <c r="AV56">
        <v>1.5834620000000001E-2</v>
      </c>
      <c r="AW56">
        <v>2.5153970000000001E-2</v>
      </c>
      <c r="AX56">
        <v>3.6879899999999999E-3</v>
      </c>
      <c r="AY56">
        <v>1.531308E-2</v>
      </c>
      <c r="AZ56">
        <v>8.7781330000000005E-2</v>
      </c>
      <c r="BA56">
        <v>1.7521660000000001E-2</v>
      </c>
      <c r="BB56">
        <v>2.0590270000000001E-2</v>
      </c>
      <c r="BC56">
        <v>1.519821E-2</v>
      </c>
      <c r="BD56">
        <v>3.3147320000000001E-2</v>
      </c>
      <c r="BE56">
        <v>1.0652969999999999E-2</v>
      </c>
      <c r="BF56">
        <v>2.342663E-2</v>
      </c>
      <c r="BG56">
        <v>1.071098E-2</v>
      </c>
      <c r="BH56">
        <v>1.7994300000000001E-2</v>
      </c>
      <c r="BI56">
        <v>1.615724E-2</v>
      </c>
      <c r="BJ56">
        <v>9.6504799999999995E-3</v>
      </c>
      <c r="BK56">
        <v>6.4704059999999994E-2</v>
      </c>
      <c r="BL56">
        <v>1.561571E-2</v>
      </c>
      <c r="BM56">
        <v>9.8056900000000006E-3</v>
      </c>
      <c r="BN56">
        <v>-4.19966E-3</v>
      </c>
      <c r="BO56">
        <v>8.3408100000000006E-3</v>
      </c>
      <c r="BP56">
        <v>3.7559899999999998E-3</v>
      </c>
      <c r="BQ56">
        <v>3.2849009999999998E-2</v>
      </c>
      <c r="BR56">
        <v>1.803869E-2</v>
      </c>
      <c r="BS56">
        <v>-2.0287429999999999E-2</v>
      </c>
      <c r="BT56">
        <v>2.3381160000000002E-2</v>
      </c>
      <c r="BU56">
        <v>2.4990370000000001E-2</v>
      </c>
      <c r="BV56">
        <v>1.0479530000000001E-2</v>
      </c>
      <c r="BW56">
        <v>9.1147199999999998E-3</v>
      </c>
      <c r="BX56">
        <v>-6.7440000000000005E-5</v>
      </c>
      <c r="BY56">
        <v>1.6685729999999999E-2</v>
      </c>
      <c r="BZ56">
        <v>1.782361E-2</v>
      </c>
      <c r="CA56">
        <v>3.492783E-2</v>
      </c>
      <c r="CB56">
        <v>-1.61487E-3</v>
      </c>
      <c r="CC56">
        <v>-3.4941199999999999E-3</v>
      </c>
      <c r="CD56">
        <v>8.1302900000000001E-3</v>
      </c>
      <c r="CE56">
        <v>1.7621390000000001E-2</v>
      </c>
      <c r="CF56">
        <v>-1.870258E-2</v>
      </c>
      <c r="CG56">
        <v>1.8953339999999999E-2</v>
      </c>
      <c r="CH56">
        <v>3.9480340000000003E-2</v>
      </c>
      <c r="CI56">
        <v>-2.3121360000000001E-2</v>
      </c>
      <c r="CJ56">
        <v>-7.5466200000000004E-3</v>
      </c>
      <c r="CK56">
        <v>1.067596E-2</v>
      </c>
      <c r="CL56">
        <v>1.5508869999999999E-2</v>
      </c>
      <c r="CM56">
        <v>1.8492519999999998E-2</v>
      </c>
      <c r="CN56">
        <v>1.4791149999999999E-2</v>
      </c>
      <c r="CO56">
        <v>1.9423409999999999E-2</v>
      </c>
      <c r="CP56">
        <v>5.7501799999999997E-3</v>
      </c>
      <c r="CQ56">
        <v>3.5841129999999999E-2</v>
      </c>
      <c r="CR56">
        <v>3.082406E-2</v>
      </c>
      <c r="CS56">
        <v>3.402604E-2</v>
      </c>
      <c r="CT56">
        <v>1.221469E-2</v>
      </c>
      <c r="CU56">
        <v>9.8296600000000005E-3</v>
      </c>
      <c r="CV56">
        <v>2.2639639999999999E-2</v>
      </c>
      <c r="CW56">
        <v>1.6366439999999999E-2</v>
      </c>
      <c r="CX56">
        <v>2.394626E-2</v>
      </c>
      <c r="CY56">
        <v>4.0347710000000002E-2</v>
      </c>
      <c r="CZ56">
        <v>1.608592E-2</v>
      </c>
      <c r="DA56">
        <v>1.148032E-2</v>
      </c>
      <c r="DB56">
        <v>2.4540269999999999E-2</v>
      </c>
      <c r="DC56">
        <v>5.7650840000000002E-2</v>
      </c>
      <c r="DD56">
        <v>3.2264250000000001E-2</v>
      </c>
      <c r="DE56">
        <v>4.3691359999999999E-2</v>
      </c>
      <c r="DF56">
        <v>-1.1057559999999999E-2</v>
      </c>
      <c r="DG56">
        <v>3.559793E-2</v>
      </c>
      <c r="DH56">
        <v>3.426092E-2</v>
      </c>
      <c r="DI56">
        <v>4.0193239999999998E-2</v>
      </c>
      <c r="DJ56">
        <v>2.6046260000000002E-2</v>
      </c>
      <c r="DK56">
        <v>4.8403099999999998E-2</v>
      </c>
      <c r="DL56">
        <v>3.3844739999999998E-2</v>
      </c>
      <c r="DM56">
        <v>4.1421010000000001E-2</v>
      </c>
      <c r="DN56">
        <v>1.179587E-2</v>
      </c>
      <c r="DO56">
        <v>3.8651619999999998E-2</v>
      </c>
      <c r="DP56">
        <v>3.3563849999999999E-2</v>
      </c>
      <c r="DQ56">
        <v>2.8954779999999999E-2</v>
      </c>
      <c r="DR56">
        <v>1.0211069999999999E-2</v>
      </c>
      <c r="DS56">
        <v>-1.5978929999999999E-2</v>
      </c>
      <c r="DT56">
        <v>1.2615E-4</v>
      </c>
      <c r="DU56">
        <v>2.7077750000000001E-2</v>
      </c>
      <c r="DV56">
        <v>8.6537100000000002E-3</v>
      </c>
      <c r="DW56">
        <v>2.0913049999999999E-2</v>
      </c>
      <c r="DX56">
        <v>6.1077319999999997E-2</v>
      </c>
      <c r="DY56">
        <v>2.9973469999999999E-2</v>
      </c>
      <c r="DZ56">
        <v>2.5665900000000001E-3</v>
      </c>
      <c r="EA56">
        <v>3.9943869999999999E-2</v>
      </c>
      <c r="EB56">
        <v>2.7732710000000001E-2</v>
      </c>
      <c r="EC56">
        <v>1.8768900000000002E-2</v>
      </c>
      <c r="ED56">
        <v>6.1527510000000001E-2</v>
      </c>
      <c r="EE56">
        <v>4.9017669999999999E-2</v>
      </c>
      <c r="EF56">
        <v>2.97655E-2</v>
      </c>
      <c r="EG56">
        <v>5.556933E-2</v>
      </c>
      <c r="EH56">
        <v>-3.2920699999999998E-3</v>
      </c>
      <c r="EI56">
        <v>6.5994620000000004E-2</v>
      </c>
      <c r="EJ56">
        <v>5.1474470000000001E-2</v>
      </c>
      <c r="EK56">
        <v>3.5769120000000001E-2</v>
      </c>
      <c r="EL56">
        <v>6.1862439999999998E-2</v>
      </c>
      <c r="EM56">
        <v>-1.3766250000000001E-2</v>
      </c>
      <c r="EN56">
        <v>4.3565600000000003E-2</v>
      </c>
      <c r="EO56">
        <v>-2.2107000000000002E-2</v>
      </c>
      <c r="EP56">
        <f t="shared" si="1"/>
        <v>0</v>
      </c>
      <c r="EQ56">
        <f>SUMIF('Mi portafolio'!$A$8:$A$19,$A56,'Mi portafolio'!$B$8:$B$19)</f>
        <v>0</v>
      </c>
    </row>
    <row r="57" spans="1:147" x14ac:dyDescent="0.25">
      <c r="A57" s="34" t="s">
        <v>133</v>
      </c>
      <c r="B57">
        <v>9.3066699999999995E-3</v>
      </c>
      <c r="C57">
        <v>3.1147100000000001E-3</v>
      </c>
      <c r="D57">
        <v>-1.5517700000000001E-3</v>
      </c>
      <c r="E57">
        <v>1.035729E-2</v>
      </c>
      <c r="F57">
        <v>1.2675189999999999E-2</v>
      </c>
      <c r="G57">
        <v>6.7000999999999996E-4</v>
      </c>
      <c r="H57">
        <v>4.6021999999999999E-3</v>
      </c>
      <c r="I57">
        <v>1.3210299999999999E-2</v>
      </c>
      <c r="J57">
        <v>1.249254E-2</v>
      </c>
      <c r="K57">
        <v>1.820126E-2</v>
      </c>
      <c r="L57">
        <v>1.503869E-2</v>
      </c>
      <c r="M57">
        <v>2.3461630000000001E-2</v>
      </c>
      <c r="N57">
        <v>1.8549400000000001E-2</v>
      </c>
      <c r="O57">
        <v>1.3899170000000001E-2</v>
      </c>
      <c r="P57">
        <v>1.057133E-2</v>
      </c>
      <c r="Q57">
        <v>2.0604E-3</v>
      </c>
      <c r="R57">
        <v>1.905014E-2</v>
      </c>
      <c r="S57">
        <v>7.3859199999999998E-3</v>
      </c>
      <c r="T57">
        <v>2.1307139999999999E-2</v>
      </c>
      <c r="U57">
        <v>1.400533E-2</v>
      </c>
      <c r="V57">
        <v>5.8689500000000004E-3</v>
      </c>
      <c r="W57">
        <v>4.1943099999999997E-3</v>
      </c>
      <c r="X57">
        <v>2.6302579999999999E-2</v>
      </c>
      <c r="Y57">
        <v>1.210313E-2</v>
      </c>
      <c r="Z57">
        <v>1.31792E-2</v>
      </c>
      <c r="AA57">
        <v>1.487545E-2</v>
      </c>
      <c r="AB57">
        <v>1.1469969999999999E-2</v>
      </c>
      <c r="AC57">
        <v>4.3720599999999997E-3</v>
      </c>
      <c r="AD57">
        <v>1.333077E-2</v>
      </c>
      <c r="AE57">
        <v>1.605032E-2</v>
      </c>
      <c r="AF57">
        <v>5.3884800000000002E-3</v>
      </c>
      <c r="AG57">
        <v>1.4332950000000001E-2</v>
      </c>
      <c r="AH57">
        <v>1.84555E-2</v>
      </c>
      <c r="AI57">
        <v>4.7653000000000002E-4</v>
      </c>
      <c r="AJ57">
        <v>7.3253800000000003E-3</v>
      </c>
      <c r="AK57">
        <v>1.7277319999999999E-2</v>
      </c>
      <c r="AL57">
        <v>1.4173679999999999E-2</v>
      </c>
      <c r="AM57">
        <v>1.5001570000000001E-2</v>
      </c>
      <c r="AN57">
        <v>3.3591719999999999E-2</v>
      </c>
      <c r="AO57">
        <v>1.5506199999999999E-2</v>
      </c>
      <c r="AP57">
        <v>2.2732390000000002E-2</v>
      </c>
      <c r="AQ57">
        <v>-1.9556399999999998E-3</v>
      </c>
      <c r="AR57">
        <v>2.503766E-2</v>
      </c>
      <c r="AS57">
        <v>1.203269E-2</v>
      </c>
      <c r="AT57">
        <v>2.5130670000000001E-2</v>
      </c>
      <c r="AU57">
        <v>1.6380169999999999E-2</v>
      </c>
      <c r="AV57">
        <v>1.5280210000000001E-2</v>
      </c>
      <c r="AW57">
        <v>1.9154540000000001E-2</v>
      </c>
      <c r="AX57">
        <v>3.0780060000000001E-2</v>
      </c>
      <c r="AY57">
        <v>2.4688129999999999E-2</v>
      </c>
      <c r="AZ57">
        <v>1.7521660000000001E-2</v>
      </c>
      <c r="BA57">
        <v>8.5442260000000006E-2</v>
      </c>
      <c r="BB57">
        <v>3.0134640000000001E-2</v>
      </c>
      <c r="BC57">
        <v>1.2766909999999999E-2</v>
      </c>
      <c r="BD57">
        <v>2.4933690000000001E-2</v>
      </c>
      <c r="BE57">
        <v>2.46479E-2</v>
      </c>
      <c r="BF57">
        <v>1.3144080000000001E-2</v>
      </c>
      <c r="BG57">
        <v>2.0186200000000001E-2</v>
      </c>
      <c r="BH57">
        <v>8.4965500000000003E-3</v>
      </c>
      <c r="BI57">
        <v>7.9726699999999994E-3</v>
      </c>
      <c r="BJ57">
        <v>2.9825300000000002E-3</v>
      </c>
      <c r="BK57">
        <v>1.4330209999999999E-2</v>
      </c>
      <c r="BL57">
        <v>3.277687E-2</v>
      </c>
      <c r="BM57">
        <v>2.62066E-2</v>
      </c>
      <c r="BN57">
        <v>2.5865320000000001E-2</v>
      </c>
      <c r="BO57">
        <v>2.3993469999999999E-2</v>
      </c>
      <c r="BP57">
        <v>4.3061E-4</v>
      </c>
      <c r="BQ57">
        <v>3.2542410000000001E-2</v>
      </c>
      <c r="BR57">
        <v>2.8419940000000001E-2</v>
      </c>
      <c r="BS57">
        <v>-3.37842E-3</v>
      </c>
      <c r="BT57">
        <v>3.3280789999999998E-2</v>
      </c>
      <c r="BU57">
        <v>1.7496970000000001E-2</v>
      </c>
      <c r="BV57">
        <v>1.8195090000000001E-2</v>
      </c>
      <c r="BW57">
        <v>2.4423480000000001E-2</v>
      </c>
      <c r="BX57">
        <v>1.876914E-2</v>
      </c>
      <c r="BY57">
        <v>4.4085029999999997E-2</v>
      </c>
      <c r="BZ57">
        <v>2.348488E-2</v>
      </c>
      <c r="CA57">
        <v>4.5429600000000004E-3</v>
      </c>
      <c r="CB57">
        <v>1.3647799999999999E-3</v>
      </c>
      <c r="CC57">
        <v>1.0106270000000001E-2</v>
      </c>
      <c r="CD57">
        <v>2.192127E-2</v>
      </c>
      <c r="CE57">
        <v>1.8287950000000001E-2</v>
      </c>
      <c r="CF57">
        <v>-1.74361E-3</v>
      </c>
      <c r="CG57">
        <v>2.804599E-2</v>
      </c>
      <c r="CH57">
        <v>2.9897489999999999E-2</v>
      </c>
      <c r="CI57">
        <v>-1.8248400000000001E-3</v>
      </c>
      <c r="CJ57">
        <v>5.5399200000000003E-3</v>
      </c>
      <c r="CK57">
        <v>3.3659559999999998E-2</v>
      </c>
      <c r="CL57">
        <v>3.9173760000000002E-2</v>
      </c>
      <c r="CM57">
        <v>1.3816770000000001E-2</v>
      </c>
      <c r="CN57">
        <v>3.09765E-3</v>
      </c>
      <c r="CO57">
        <v>1.1599770000000001E-2</v>
      </c>
      <c r="CP57">
        <v>1.179679E-2</v>
      </c>
      <c r="CQ57">
        <v>4.8731690000000001E-2</v>
      </c>
      <c r="CR57">
        <v>2.6771969999999999E-2</v>
      </c>
      <c r="CS57">
        <v>4.9924540000000003E-2</v>
      </c>
      <c r="CT57">
        <v>2.076675E-2</v>
      </c>
      <c r="CU57">
        <v>3.9060200000000001E-3</v>
      </c>
      <c r="CV57">
        <v>6.6041299999999997E-3</v>
      </c>
      <c r="CW57">
        <v>1.9119799999999999E-2</v>
      </c>
      <c r="CX57">
        <v>2.7836130000000001E-2</v>
      </c>
      <c r="CY57">
        <v>5.1449340000000003E-2</v>
      </c>
      <c r="CZ57">
        <v>6.3810799999999999E-3</v>
      </c>
      <c r="DA57">
        <v>7.6352099999999999E-3</v>
      </c>
      <c r="DB57">
        <v>2.2400090000000001E-2</v>
      </c>
      <c r="DC57">
        <v>3.1444260000000002E-2</v>
      </c>
      <c r="DD57">
        <v>2.5871640000000001E-2</v>
      </c>
      <c r="DE57">
        <v>3.1823579999999997E-2</v>
      </c>
      <c r="DF57">
        <v>2.40748E-3</v>
      </c>
      <c r="DG57">
        <v>2.582953E-2</v>
      </c>
      <c r="DH57">
        <v>1.8095839999999998E-2</v>
      </c>
      <c r="DI57">
        <v>4.8626509999999998E-2</v>
      </c>
      <c r="DJ57">
        <v>4.5499989999999997E-2</v>
      </c>
      <c r="DK57">
        <v>6.2370450000000001E-2</v>
      </c>
      <c r="DL57">
        <v>1.654241E-2</v>
      </c>
      <c r="DM57">
        <v>6.3276910000000006E-2</v>
      </c>
      <c r="DN57">
        <v>3.5215740000000002E-2</v>
      </c>
      <c r="DO57">
        <v>4.3788870000000001E-2</v>
      </c>
      <c r="DP57">
        <v>6.0571939999999998E-2</v>
      </c>
      <c r="DQ57">
        <v>4.1978330000000001E-2</v>
      </c>
      <c r="DR57">
        <v>2.1714629999999999E-2</v>
      </c>
      <c r="DS57">
        <v>1.3738800000000001E-3</v>
      </c>
      <c r="DT57">
        <v>7.14301E-3</v>
      </c>
      <c r="DU57">
        <v>2.9168309999999999E-2</v>
      </c>
      <c r="DV57">
        <v>1.022404E-2</v>
      </c>
      <c r="DW57">
        <v>1.823489E-2</v>
      </c>
      <c r="DX57">
        <v>4.8120650000000001E-2</v>
      </c>
      <c r="DY57">
        <v>3.6784419999999998E-2</v>
      </c>
      <c r="DZ57">
        <v>1.6154E-4</v>
      </c>
      <c r="EA57">
        <v>3.3569399999999999E-2</v>
      </c>
      <c r="EB57">
        <v>4.450809E-2</v>
      </c>
      <c r="EC57">
        <v>2.5158E-4</v>
      </c>
      <c r="ED57">
        <v>3.7263749999999998E-2</v>
      </c>
      <c r="EE57">
        <v>3.478179E-2</v>
      </c>
      <c r="EF57">
        <v>3.802316E-2</v>
      </c>
      <c r="EG57">
        <v>4.114429E-2</v>
      </c>
      <c r="EH57">
        <v>1.5055699999999999E-3</v>
      </c>
      <c r="EI57">
        <v>4.479942E-2</v>
      </c>
      <c r="EJ57">
        <v>3.9416090000000001E-2</v>
      </c>
      <c r="EK57">
        <v>4.3281439999999997E-2</v>
      </c>
      <c r="EL57">
        <v>4.2247720000000002E-2</v>
      </c>
      <c r="EM57">
        <v>5.7950410000000001E-2</v>
      </c>
      <c r="EN57">
        <v>2.421034E-2</v>
      </c>
      <c r="EO57">
        <v>5.5828339999999997E-2</v>
      </c>
      <c r="EP57">
        <f t="shared" si="1"/>
        <v>0</v>
      </c>
      <c r="EQ57">
        <f>SUMIF('Mi portafolio'!$A$8:$A$19,$A57,'Mi portafolio'!$B$8:$B$19)</f>
        <v>0</v>
      </c>
    </row>
    <row r="58" spans="1:147" x14ac:dyDescent="0.25">
      <c r="A58" s="34" t="s">
        <v>134</v>
      </c>
      <c r="B58">
        <v>7.7216200000000002E-3</v>
      </c>
      <c r="C58">
        <v>-3.8750899999999999E-3</v>
      </c>
      <c r="D58">
        <v>2.85483E-3</v>
      </c>
      <c r="E58">
        <v>7.0609799999999997E-3</v>
      </c>
      <c r="F58">
        <v>-4.8513300000000001E-3</v>
      </c>
      <c r="G58">
        <v>5.0184299999999999E-3</v>
      </c>
      <c r="H58">
        <v>1.7346200000000001E-3</v>
      </c>
      <c r="I58">
        <v>5.0132099999999997E-3</v>
      </c>
      <c r="J58">
        <v>1.13025E-3</v>
      </c>
      <c r="K58">
        <v>-2.569E-5</v>
      </c>
      <c r="L58">
        <v>2.8752500000000002E-3</v>
      </c>
      <c r="M58">
        <v>2.1447890000000001E-2</v>
      </c>
      <c r="N58">
        <v>1.229411E-2</v>
      </c>
      <c r="O58">
        <v>5.4079899999999997E-3</v>
      </c>
      <c r="P58">
        <v>-1.1150999999999999E-4</v>
      </c>
      <c r="Q58">
        <v>3.6248999999999999E-3</v>
      </c>
      <c r="R58">
        <v>-5.2041999999999995E-4</v>
      </c>
      <c r="S58">
        <v>-1.6578599999999999E-3</v>
      </c>
      <c r="T58">
        <v>4.9572430000000001E-2</v>
      </c>
      <c r="U58">
        <v>1.1944690000000001E-2</v>
      </c>
      <c r="V58">
        <v>3.00754E-3</v>
      </c>
      <c r="W58">
        <v>5.99082E-3</v>
      </c>
      <c r="X58">
        <v>4.8586169999999998E-2</v>
      </c>
      <c r="Y58">
        <v>2.0303970000000001E-2</v>
      </c>
      <c r="Z58">
        <v>5.2659400000000002E-3</v>
      </c>
      <c r="AA58">
        <v>9.2685000000000007E-3</v>
      </c>
      <c r="AB58">
        <v>2.1579640000000001E-2</v>
      </c>
      <c r="AC58">
        <v>4.1254899999999999E-3</v>
      </c>
      <c r="AD58">
        <v>-4.7509999999999997E-5</v>
      </c>
      <c r="AE58">
        <v>1.9046859999999999E-2</v>
      </c>
      <c r="AF58">
        <v>1.214585E-2</v>
      </c>
      <c r="AG58">
        <v>-3.3640599999999999E-3</v>
      </c>
      <c r="AH58">
        <v>-3.83659E-3</v>
      </c>
      <c r="AI58">
        <v>-6.81046E-3</v>
      </c>
      <c r="AJ58">
        <v>6.5350399999999998E-3</v>
      </c>
      <c r="AK58">
        <v>1.554854E-2</v>
      </c>
      <c r="AL58">
        <v>2.2073140000000002E-2</v>
      </c>
      <c r="AM58">
        <v>1.713744E-2</v>
      </c>
      <c r="AN58">
        <v>1.992381E-2</v>
      </c>
      <c r="AO58">
        <v>3.9381199999999998E-3</v>
      </c>
      <c r="AP58">
        <v>2.1262130000000001E-2</v>
      </c>
      <c r="AQ58">
        <v>-1.04943E-2</v>
      </c>
      <c r="AR58">
        <v>5.5598880000000003E-2</v>
      </c>
      <c r="AS58">
        <v>1.2666429999999999E-2</v>
      </c>
      <c r="AT58">
        <v>5.0439119999999997E-2</v>
      </c>
      <c r="AU58">
        <v>4.33E-6</v>
      </c>
      <c r="AV58">
        <v>1.282614E-2</v>
      </c>
      <c r="AW58">
        <v>9.3567000000000008E-3</v>
      </c>
      <c r="AX58">
        <v>1.9766769999999999E-2</v>
      </c>
      <c r="AY58">
        <v>2.120373E-2</v>
      </c>
      <c r="AZ58">
        <v>2.0590270000000001E-2</v>
      </c>
      <c r="BA58">
        <v>3.0134640000000001E-2</v>
      </c>
      <c r="BB58">
        <v>8.8664729999999997E-2</v>
      </c>
      <c r="BC58">
        <v>1.345088E-2</v>
      </c>
      <c r="BD58">
        <v>1.422373E-2</v>
      </c>
      <c r="BE58">
        <v>9.6044500000000005E-3</v>
      </c>
      <c r="BF58">
        <v>1.7057240000000001E-2</v>
      </c>
      <c r="BG58">
        <v>2.3836139999999999E-2</v>
      </c>
      <c r="BH58">
        <v>1.261487E-2</v>
      </c>
      <c r="BI58">
        <v>1.0189810000000001E-2</v>
      </c>
      <c r="BJ58">
        <v>1.2038000000000001E-3</v>
      </c>
      <c r="BK58">
        <v>2.5464870000000001E-2</v>
      </c>
      <c r="BL58">
        <v>3.4212029999999997E-2</v>
      </c>
      <c r="BM58">
        <v>1.350754E-2</v>
      </c>
      <c r="BN58">
        <v>1.2023829999999999E-2</v>
      </c>
      <c r="BO58">
        <v>2.6274559999999999E-2</v>
      </c>
      <c r="BP58">
        <v>2.307008E-2</v>
      </c>
      <c r="BQ58">
        <v>3.1504810000000001E-2</v>
      </c>
      <c r="BR58">
        <v>4.0692390000000002E-2</v>
      </c>
      <c r="BS58">
        <v>-1.029216E-2</v>
      </c>
      <c r="BT58">
        <v>5.2739679999999997E-2</v>
      </c>
      <c r="BU58">
        <v>1.9877369999999998E-2</v>
      </c>
      <c r="BV58">
        <v>2.700054E-2</v>
      </c>
      <c r="BW58">
        <v>2.5769380000000001E-2</v>
      </c>
      <c r="BX58">
        <v>6.1466300000000001E-3</v>
      </c>
      <c r="BY58">
        <v>3.8606910000000001E-2</v>
      </c>
      <c r="BZ58">
        <v>3.7739450000000001E-2</v>
      </c>
      <c r="CA58">
        <v>7.8902799999999995E-3</v>
      </c>
      <c r="CB58">
        <v>4.0383999999999998E-4</v>
      </c>
      <c r="CC58">
        <v>1.79344E-2</v>
      </c>
      <c r="CD58">
        <v>2.3621550000000002E-2</v>
      </c>
      <c r="CE58">
        <v>4.2384810000000002E-2</v>
      </c>
      <c r="CF58">
        <v>-1.4134000000000001E-2</v>
      </c>
      <c r="CG58">
        <v>4.1774520000000002E-2</v>
      </c>
      <c r="CH58">
        <v>3.186373E-2</v>
      </c>
      <c r="CI58">
        <v>-1.4532339999999999E-2</v>
      </c>
      <c r="CJ58">
        <v>7.6839400000000002E-3</v>
      </c>
      <c r="CK58">
        <v>2.137822E-2</v>
      </c>
      <c r="CL58">
        <v>2.4567889999999998E-2</v>
      </c>
      <c r="CM58">
        <v>4.073806E-2</v>
      </c>
      <c r="CN58">
        <v>7.6769200000000003E-3</v>
      </c>
      <c r="CO58">
        <v>1.6364420000000001E-2</v>
      </c>
      <c r="CP58">
        <v>1.5065159999999999E-2</v>
      </c>
      <c r="CQ58">
        <v>7.4288309999999996E-2</v>
      </c>
      <c r="CR58">
        <v>4.8376479999999999E-2</v>
      </c>
      <c r="CS58">
        <v>5.4517360000000001E-2</v>
      </c>
      <c r="CT58">
        <v>3.7720789999999997E-2</v>
      </c>
      <c r="CU58">
        <v>1.545387E-2</v>
      </c>
      <c r="CV58">
        <v>3.3541670000000003E-2</v>
      </c>
      <c r="CW58">
        <v>3.3301459999999998E-2</v>
      </c>
      <c r="CX58">
        <v>5.0752020000000002E-2</v>
      </c>
      <c r="CY58">
        <v>7.0400009999999999E-2</v>
      </c>
      <c r="CZ58">
        <v>2.3943610000000001E-2</v>
      </c>
      <c r="DA58">
        <v>2.1538910000000001E-2</v>
      </c>
      <c r="DB58">
        <v>5.0013599999999998E-2</v>
      </c>
      <c r="DC58">
        <v>5.7336159999999997E-2</v>
      </c>
      <c r="DD58">
        <v>5.4085870000000001E-2</v>
      </c>
      <c r="DE58">
        <v>4.9389599999999999E-2</v>
      </c>
      <c r="DF58">
        <v>1.516732E-2</v>
      </c>
      <c r="DG58">
        <v>3.5361240000000002E-2</v>
      </c>
      <c r="DH58">
        <v>4.4656689999999999E-2</v>
      </c>
      <c r="DI58">
        <v>7.743506E-2</v>
      </c>
      <c r="DJ58">
        <v>6.0472959999999999E-2</v>
      </c>
      <c r="DK58">
        <v>8.6768109999999996E-2</v>
      </c>
      <c r="DL58">
        <v>1.2645089999999999E-2</v>
      </c>
      <c r="DM58">
        <v>7.5149569999999999E-2</v>
      </c>
      <c r="DN58">
        <v>3.980968E-2</v>
      </c>
      <c r="DO58">
        <v>5.4941240000000002E-2</v>
      </c>
      <c r="DP58">
        <v>6.81118E-2</v>
      </c>
      <c r="DQ58">
        <v>3.925737E-2</v>
      </c>
      <c r="DR58">
        <v>4.6473649999999998E-2</v>
      </c>
      <c r="DS58">
        <v>3.9006909999999999E-2</v>
      </c>
      <c r="DT58">
        <v>5.110075E-2</v>
      </c>
      <c r="DU58">
        <v>8.1564339999999999E-2</v>
      </c>
      <c r="DV58">
        <v>4.3090980000000001E-2</v>
      </c>
      <c r="DW58">
        <v>5.3878570000000001E-2</v>
      </c>
      <c r="DX58">
        <v>7.4978989999999995E-2</v>
      </c>
      <c r="DY58">
        <v>8.0891420000000006E-2</v>
      </c>
      <c r="DZ58">
        <v>3.4745749999999999E-2</v>
      </c>
      <c r="EA58">
        <v>3.92307E-2</v>
      </c>
      <c r="EB58">
        <v>0.10220611</v>
      </c>
      <c r="EC58">
        <v>2.1372889999999999E-2</v>
      </c>
      <c r="ED58">
        <v>6.0829420000000002E-2</v>
      </c>
      <c r="EE58">
        <v>6.3194459999999994E-2</v>
      </c>
      <c r="EF58">
        <v>6.7803479999999999E-2</v>
      </c>
      <c r="EG58">
        <v>6.4276669999999994E-2</v>
      </c>
      <c r="EH58">
        <v>4.9428720000000002E-2</v>
      </c>
      <c r="EI58">
        <v>6.4491469999999995E-2</v>
      </c>
      <c r="EJ58">
        <v>6.7431820000000003E-2</v>
      </c>
      <c r="EK58">
        <v>8.7204589999999998E-2</v>
      </c>
      <c r="EL58">
        <v>9.9812410000000004E-2</v>
      </c>
      <c r="EM58">
        <v>4.411905E-2</v>
      </c>
      <c r="EN58">
        <v>2.9502090000000002E-2</v>
      </c>
      <c r="EO58">
        <v>5.7732159999999998E-2</v>
      </c>
      <c r="EP58">
        <f t="shared" si="1"/>
        <v>0</v>
      </c>
      <c r="EQ58">
        <f>SUMIF('Mi portafolio'!$A$8:$A$19,$A58,'Mi portafolio'!$B$8:$B$19)</f>
        <v>0</v>
      </c>
    </row>
    <row r="59" spans="1:147" x14ac:dyDescent="0.25">
      <c r="A59" s="34" t="s">
        <v>135</v>
      </c>
      <c r="B59">
        <v>5.14125E-3</v>
      </c>
      <c r="C59">
        <v>1.3779E-3</v>
      </c>
      <c r="D59">
        <v>3.5163299999999998E-3</v>
      </c>
      <c r="E59">
        <v>1.322894E-2</v>
      </c>
      <c r="F59">
        <v>4.2565900000000002E-3</v>
      </c>
      <c r="G59">
        <v>2.3718300000000001E-3</v>
      </c>
      <c r="H59">
        <v>9.7085000000000001E-3</v>
      </c>
      <c r="I59">
        <v>7.1855799999999996E-3</v>
      </c>
      <c r="J59">
        <v>-6.6967999999999997E-4</v>
      </c>
      <c r="K59">
        <v>9.7063E-4</v>
      </c>
      <c r="L59">
        <v>7.2046000000000002E-3</v>
      </c>
      <c r="M59">
        <v>9.0924700000000001E-3</v>
      </c>
      <c r="N59">
        <v>3.9838599999999997E-3</v>
      </c>
      <c r="O59">
        <v>1.872965E-2</v>
      </c>
      <c r="P59">
        <v>3.2688700000000001E-3</v>
      </c>
      <c r="Q59">
        <v>-5.8640300000000001E-3</v>
      </c>
      <c r="R59">
        <v>3.1758200000000002E-3</v>
      </c>
      <c r="S59">
        <v>1.24417E-2</v>
      </c>
      <c r="T59">
        <v>3.62539E-3</v>
      </c>
      <c r="U59">
        <v>1.204091E-2</v>
      </c>
      <c r="V59">
        <v>9.0265999999999992E-3</v>
      </c>
      <c r="W59">
        <v>7.8874199999999992E-3</v>
      </c>
      <c r="X59">
        <v>1.0067410000000001E-2</v>
      </c>
      <c r="Y59">
        <v>3.8935900000000002E-3</v>
      </c>
      <c r="Z59">
        <v>1.396095E-2</v>
      </c>
      <c r="AA59">
        <v>1.13682E-2</v>
      </c>
      <c r="AB59">
        <v>-1.0597899999999999E-3</v>
      </c>
      <c r="AC59">
        <v>1.6184589999999999E-2</v>
      </c>
      <c r="AD59">
        <v>1.7148630000000002E-2</v>
      </c>
      <c r="AE59">
        <v>1.563954E-2</v>
      </c>
      <c r="AF59">
        <v>1.773723E-2</v>
      </c>
      <c r="AG59">
        <v>3.5031E-4</v>
      </c>
      <c r="AH59">
        <v>-1.61418E-3</v>
      </c>
      <c r="AI59">
        <v>-2.1405399999999998E-3</v>
      </c>
      <c r="AJ59">
        <v>1.0824790000000001E-2</v>
      </c>
      <c r="AK59">
        <v>1.4006070000000001E-2</v>
      </c>
      <c r="AL59">
        <v>7.0728099999999997E-3</v>
      </c>
      <c r="AM59">
        <v>1.767941E-2</v>
      </c>
      <c r="AN59">
        <v>7.9300499999999993E-3</v>
      </c>
      <c r="AO59">
        <v>1.0221999999999999E-4</v>
      </c>
      <c r="AP59">
        <v>1.113741E-2</v>
      </c>
      <c r="AQ59">
        <v>-3.4707800000000001E-3</v>
      </c>
      <c r="AR59">
        <v>4.9688600000000003E-3</v>
      </c>
      <c r="AS59">
        <v>1.2482750000000001E-2</v>
      </c>
      <c r="AT59">
        <v>5.1997399999999996E-3</v>
      </c>
      <c r="AU59">
        <v>2.7163700000000001E-3</v>
      </c>
      <c r="AV59">
        <v>1.9051829999999999E-2</v>
      </c>
      <c r="AW59">
        <v>1.8540859999999999E-2</v>
      </c>
      <c r="AX59">
        <v>8.7264500000000002E-3</v>
      </c>
      <c r="AY59">
        <v>3.4451E-3</v>
      </c>
      <c r="AZ59">
        <v>1.519821E-2</v>
      </c>
      <c r="BA59">
        <v>1.2766909999999999E-2</v>
      </c>
      <c r="BB59">
        <v>1.345088E-2</v>
      </c>
      <c r="BC59">
        <v>8.8634389999999993E-2</v>
      </c>
      <c r="BD59">
        <v>2.2037009999999999E-2</v>
      </c>
      <c r="BE59">
        <v>7.0862800000000004E-3</v>
      </c>
      <c r="BF59">
        <v>1.7466530000000001E-2</v>
      </c>
      <c r="BG59">
        <v>9.2457000000000008E-3</v>
      </c>
      <c r="BH59">
        <v>1.9074290000000001E-2</v>
      </c>
      <c r="BI59">
        <v>7.3344899999999999E-3</v>
      </c>
      <c r="BJ59">
        <v>6.5253899999999998E-3</v>
      </c>
      <c r="BK59">
        <v>2.2630890000000001E-2</v>
      </c>
      <c r="BL59">
        <v>4.7438999999999997E-3</v>
      </c>
      <c r="BM59">
        <v>-6.3572699999999999E-3</v>
      </c>
      <c r="BN59">
        <v>9.5375100000000008E-3</v>
      </c>
      <c r="BO59">
        <v>1.378133E-2</v>
      </c>
      <c r="BP59">
        <v>1.2377010000000001E-2</v>
      </c>
      <c r="BQ59">
        <v>2.126921E-2</v>
      </c>
      <c r="BR59">
        <v>1.6515849999999999E-2</v>
      </c>
      <c r="BS59">
        <v>-4.6318399999999999E-3</v>
      </c>
      <c r="BT59">
        <v>2.0754120000000001E-2</v>
      </c>
      <c r="BU59">
        <v>1.4027100000000001E-2</v>
      </c>
      <c r="BV59">
        <v>3.2687999999999999E-4</v>
      </c>
      <c r="BW59">
        <v>2.3112049999999999E-2</v>
      </c>
      <c r="BX59">
        <v>1.225245E-2</v>
      </c>
      <c r="BY59">
        <v>1.197053E-2</v>
      </c>
      <c r="BZ59">
        <v>9.9070500000000006E-3</v>
      </c>
      <c r="CA59">
        <v>2.2531099999999998E-2</v>
      </c>
      <c r="CB59">
        <v>-2.5850399999999998E-3</v>
      </c>
      <c r="CC59">
        <v>7.3091600000000003E-3</v>
      </c>
      <c r="CD59">
        <v>7.1716E-4</v>
      </c>
      <c r="CE59">
        <v>6.1274099999999998E-3</v>
      </c>
      <c r="CF59">
        <v>-2.6727999999999999E-3</v>
      </c>
      <c r="CG59">
        <v>1.227547E-2</v>
      </c>
      <c r="CH59">
        <v>1.5098230000000001E-2</v>
      </c>
      <c r="CI59">
        <v>-4.45E-3</v>
      </c>
      <c r="CJ59">
        <v>-7.4902900000000001E-3</v>
      </c>
      <c r="CK59">
        <v>3.7082299999999999E-3</v>
      </c>
      <c r="CL59">
        <v>6.6146099999999999E-3</v>
      </c>
      <c r="CM59">
        <v>1.0226310000000001E-2</v>
      </c>
      <c r="CN59">
        <v>5.2455399999999999E-3</v>
      </c>
      <c r="CO59">
        <v>1.8135470000000001E-2</v>
      </c>
      <c r="CP59">
        <v>6.19997E-3</v>
      </c>
      <c r="CQ59">
        <v>1.7550070000000001E-2</v>
      </c>
      <c r="CR59">
        <v>1.8282670000000001E-2</v>
      </c>
      <c r="CS59">
        <v>2.0036089999999999E-2</v>
      </c>
      <c r="CT59">
        <v>1.972933E-2</v>
      </c>
      <c r="CU59">
        <v>1.2114359999999999E-2</v>
      </c>
      <c r="CV59">
        <v>-3.1649E-4</v>
      </c>
      <c r="CW59">
        <v>1.7659660000000001E-2</v>
      </c>
      <c r="CX59">
        <v>9.4879700000000001E-3</v>
      </c>
      <c r="CY59">
        <v>1.1624860000000001E-2</v>
      </c>
      <c r="CZ59">
        <v>1.6104199999999999E-2</v>
      </c>
      <c r="DA59">
        <v>4.1929899999999997E-3</v>
      </c>
      <c r="DB59">
        <v>2.2688030000000001E-2</v>
      </c>
      <c r="DC59">
        <v>1.8312419999999999E-2</v>
      </c>
      <c r="DD59">
        <v>1.9697699999999999E-2</v>
      </c>
      <c r="DE59">
        <v>1.8670099999999999E-3</v>
      </c>
      <c r="DF59">
        <v>9.7281399999999997E-3</v>
      </c>
      <c r="DG59">
        <v>1.617965E-2</v>
      </c>
      <c r="DH59">
        <v>2.9874120000000001E-2</v>
      </c>
      <c r="DI59">
        <v>2.7989259999999998E-2</v>
      </c>
      <c r="DJ59">
        <v>-1.62126E-3</v>
      </c>
      <c r="DK59">
        <v>2.5718669999999999E-2</v>
      </c>
      <c r="DL59">
        <v>2.554712E-2</v>
      </c>
      <c r="DM59">
        <v>1.488424E-2</v>
      </c>
      <c r="DN59">
        <v>9.2860700000000004E-3</v>
      </c>
      <c r="DO59">
        <v>1.191299E-2</v>
      </c>
      <c r="DP59">
        <v>1.087811E-2</v>
      </c>
      <c r="DQ59">
        <v>1.7724420000000001E-2</v>
      </c>
      <c r="DR59">
        <v>-2.0404799999999999E-3</v>
      </c>
      <c r="DS59">
        <v>-1.454271E-2</v>
      </c>
      <c r="DT59">
        <v>1.3139959999999999E-2</v>
      </c>
      <c r="DU59">
        <v>3.5324510000000003E-2</v>
      </c>
      <c r="DV59">
        <v>2.3408600000000002E-2</v>
      </c>
      <c r="DW59">
        <v>1.7572480000000001E-2</v>
      </c>
      <c r="DX59">
        <v>2.097949E-2</v>
      </c>
      <c r="DY59">
        <v>1.8382240000000001E-2</v>
      </c>
      <c r="DZ59">
        <v>1.093888E-2</v>
      </c>
      <c r="EA59">
        <v>1.6870199999999998E-2</v>
      </c>
      <c r="EB59">
        <v>1.1758559999999999E-2</v>
      </c>
      <c r="EC59">
        <v>5.2363399999999999E-3</v>
      </c>
      <c r="ED59">
        <v>3.5708589999999998E-2</v>
      </c>
      <c r="EE59">
        <v>2.2105409999999999E-2</v>
      </c>
      <c r="EF59">
        <v>7.6286799999999997E-3</v>
      </c>
      <c r="EG59">
        <v>1.9551559999999999E-2</v>
      </c>
      <c r="EH59">
        <v>8.4873499999999994E-3</v>
      </c>
      <c r="EI59">
        <v>1.6464039999999999E-2</v>
      </c>
      <c r="EJ59">
        <v>3.5090980000000001E-2</v>
      </c>
      <c r="EK59">
        <v>4.751068E-2</v>
      </c>
      <c r="EL59">
        <v>4.029547E-2</v>
      </c>
      <c r="EM59">
        <v>2.045951E-2</v>
      </c>
      <c r="EN59">
        <v>1.0333770000000001E-2</v>
      </c>
      <c r="EO59">
        <v>-3.6282790000000002E-2</v>
      </c>
      <c r="EP59">
        <f t="shared" si="1"/>
        <v>0</v>
      </c>
      <c r="EQ59">
        <f>SUMIF('Mi portafolio'!$A$8:$A$19,$A59,'Mi portafolio'!$B$8:$B$19)</f>
        <v>0</v>
      </c>
    </row>
    <row r="60" spans="1:147" x14ac:dyDescent="0.25">
      <c r="A60" s="34" t="s">
        <v>136</v>
      </c>
      <c r="B60">
        <v>2.9551000000000002E-4</v>
      </c>
      <c r="C60">
        <v>8.8567000000000003E-3</v>
      </c>
      <c r="D60">
        <v>9.5131199999999999E-3</v>
      </c>
      <c r="E60">
        <v>1.3431169999999999E-2</v>
      </c>
      <c r="F60">
        <v>3.6671000000000002E-4</v>
      </c>
      <c r="G60">
        <v>1.0131579999999999E-2</v>
      </c>
      <c r="H60">
        <v>1.463981E-2</v>
      </c>
      <c r="I60">
        <v>2.1577800000000002E-3</v>
      </c>
      <c r="J60">
        <v>2.4897399999999998E-3</v>
      </c>
      <c r="K60">
        <v>6.1700899999999996E-3</v>
      </c>
      <c r="L60">
        <v>1.349416E-2</v>
      </c>
      <c r="M60">
        <v>1.1471230000000001E-2</v>
      </c>
      <c r="N60">
        <v>5.0322199999999996E-3</v>
      </c>
      <c r="O60">
        <v>2.2274889999999999E-2</v>
      </c>
      <c r="P60">
        <v>2.4441799999999998E-3</v>
      </c>
      <c r="Q60">
        <v>3.3224999999999999E-3</v>
      </c>
      <c r="R60">
        <v>3.2427900000000002E-3</v>
      </c>
      <c r="S60">
        <v>2.1913200000000001E-2</v>
      </c>
      <c r="T60">
        <v>5.5412200000000003E-3</v>
      </c>
      <c r="U60">
        <v>3.3704230000000002E-2</v>
      </c>
      <c r="V60">
        <v>1.5504240000000001E-2</v>
      </c>
      <c r="W60">
        <v>1.789282E-2</v>
      </c>
      <c r="X60">
        <v>1.14772E-2</v>
      </c>
      <c r="Y60">
        <v>5.4440599999999997E-3</v>
      </c>
      <c r="Z60">
        <v>2.3387560000000002E-2</v>
      </c>
      <c r="AA60">
        <v>1.768956E-2</v>
      </c>
      <c r="AB60">
        <v>3.3172499999999999E-3</v>
      </c>
      <c r="AC60">
        <v>1.010397E-2</v>
      </c>
      <c r="AD60">
        <v>2.029922E-2</v>
      </c>
      <c r="AE60">
        <v>3.086974E-2</v>
      </c>
      <c r="AF60">
        <v>2.681149E-2</v>
      </c>
      <c r="AG60">
        <v>2.8565299999999999E-3</v>
      </c>
      <c r="AH60">
        <v>2.9638799999999999E-3</v>
      </c>
      <c r="AI60">
        <v>-1.4529169999999999E-2</v>
      </c>
      <c r="AJ60">
        <v>2.2497010000000001E-2</v>
      </c>
      <c r="AK60">
        <v>4.2856169999999999E-2</v>
      </c>
      <c r="AL60">
        <v>-2.9708000000000002E-4</v>
      </c>
      <c r="AM60">
        <v>2.5665460000000001E-2</v>
      </c>
      <c r="AN60">
        <v>1.4422849999999999E-2</v>
      </c>
      <c r="AO60">
        <v>1.8831900000000001E-3</v>
      </c>
      <c r="AP60">
        <v>1.080794E-2</v>
      </c>
      <c r="AQ60">
        <v>-1.0303029999999999E-2</v>
      </c>
      <c r="AR60">
        <v>1.3021639999999999E-2</v>
      </c>
      <c r="AS60">
        <v>4.362796E-2</v>
      </c>
      <c r="AT60">
        <v>5.9867200000000001E-3</v>
      </c>
      <c r="AU60">
        <v>-4.9173999999999997E-3</v>
      </c>
      <c r="AV60">
        <v>2.0807409999999998E-2</v>
      </c>
      <c r="AW60">
        <v>2.9866170000000001E-2</v>
      </c>
      <c r="AX60">
        <v>8.8769899999999995E-3</v>
      </c>
      <c r="AY60">
        <v>2.0304400000000001E-3</v>
      </c>
      <c r="AZ60">
        <v>3.3147320000000001E-2</v>
      </c>
      <c r="BA60">
        <v>2.4933690000000001E-2</v>
      </c>
      <c r="BB60">
        <v>1.422373E-2</v>
      </c>
      <c r="BC60">
        <v>2.2037009999999999E-2</v>
      </c>
      <c r="BD60">
        <v>8.7625350000000005E-2</v>
      </c>
      <c r="BE60">
        <v>6.84273E-3</v>
      </c>
      <c r="BF60">
        <v>2.9393760000000001E-2</v>
      </c>
      <c r="BG60">
        <v>7.0080200000000002E-3</v>
      </c>
      <c r="BH60">
        <v>3.1807250000000002E-2</v>
      </c>
      <c r="BI60">
        <v>3.1072299999999999E-3</v>
      </c>
      <c r="BJ60">
        <v>7.9090299999999992E-3</v>
      </c>
      <c r="BK60">
        <v>3.2328040000000002E-2</v>
      </c>
      <c r="BL60">
        <v>2.3007360000000001E-2</v>
      </c>
      <c r="BM60">
        <v>3.8655999999999999E-4</v>
      </c>
      <c r="BN60">
        <v>8.7493399999999995E-3</v>
      </c>
      <c r="BO60">
        <v>1.6269760000000001E-2</v>
      </c>
      <c r="BP60">
        <v>9.1980299999999994E-3</v>
      </c>
      <c r="BQ60">
        <v>3.528009E-2</v>
      </c>
      <c r="BR60">
        <v>9.6835299999999992E-3</v>
      </c>
      <c r="BS60">
        <v>-1.316371E-2</v>
      </c>
      <c r="BT60">
        <v>1.5622209999999999E-2</v>
      </c>
      <c r="BU60">
        <v>3.5823470000000003E-2</v>
      </c>
      <c r="BV60">
        <v>1.267221E-2</v>
      </c>
      <c r="BW60">
        <v>1.826467E-2</v>
      </c>
      <c r="BX60">
        <v>7.3096300000000001E-3</v>
      </c>
      <c r="BY60">
        <v>1.875522E-2</v>
      </c>
      <c r="BZ60">
        <v>2.26372E-2</v>
      </c>
      <c r="CA60">
        <v>2.8488429999999999E-2</v>
      </c>
      <c r="CB60">
        <v>3.4050399999999998E-3</v>
      </c>
      <c r="CC60">
        <v>9.31769E-3</v>
      </c>
      <c r="CD60">
        <v>9.2599099999999997E-3</v>
      </c>
      <c r="CE60">
        <v>1.293594E-2</v>
      </c>
      <c r="CF60">
        <v>-1.3885720000000001E-2</v>
      </c>
      <c r="CG60">
        <v>1.007976E-2</v>
      </c>
      <c r="CH60">
        <v>3.9493060000000003E-2</v>
      </c>
      <c r="CI60">
        <v>-2.029243E-2</v>
      </c>
      <c r="CJ60">
        <v>7.5082999999999999E-3</v>
      </c>
      <c r="CK60">
        <v>3.4775800000000001E-3</v>
      </c>
      <c r="CL60">
        <v>4.1433700000000004E-3</v>
      </c>
      <c r="CM60">
        <v>1.31317E-2</v>
      </c>
      <c r="CN60">
        <v>2.857355E-2</v>
      </c>
      <c r="CO60">
        <v>2.4473979999999999E-2</v>
      </c>
      <c r="CP60">
        <v>5.0050199999999998E-3</v>
      </c>
      <c r="CQ60">
        <v>1.6830600000000001E-2</v>
      </c>
      <c r="CR60">
        <v>1.8772980000000002E-2</v>
      </c>
      <c r="CS60">
        <v>2.6093379999999999E-2</v>
      </c>
      <c r="CT60">
        <v>2.094565E-2</v>
      </c>
      <c r="CU60">
        <v>1.572312E-2</v>
      </c>
      <c r="CV60">
        <v>5.7450599999999998E-3</v>
      </c>
      <c r="CW60">
        <v>2.3734459999999999E-2</v>
      </c>
      <c r="CX60">
        <v>2.8250669999999999E-2</v>
      </c>
      <c r="CY60">
        <v>2.0560470000000001E-2</v>
      </c>
      <c r="CZ60">
        <v>1.987061E-2</v>
      </c>
      <c r="DA60">
        <v>1.1453690000000001E-2</v>
      </c>
      <c r="DB60">
        <v>2.2933350000000002E-2</v>
      </c>
      <c r="DC60">
        <v>5.2700429999999999E-2</v>
      </c>
      <c r="DD60">
        <v>1.9091489999999999E-2</v>
      </c>
      <c r="DE60">
        <v>3.4300509999999999E-2</v>
      </c>
      <c r="DF60">
        <v>-1.1243799999999999E-3</v>
      </c>
      <c r="DG60">
        <v>3.6482140000000003E-2</v>
      </c>
      <c r="DH60">
        <v>1.198639E-2</v>
      </c>
      <c r="DI60">
        <v>2.3683280000000001E-2</v>
      </c>
      <c r="DJ60">
        <v>1.31874E-2</v>
      </c>
      <c r="DK60">
        <v>2.477209E-2</v>
      </c>
      <c r="DL60">
        <v>4.901871E-2</v>
      </c>
      <c r="DM60">
        <v>3.1435600000000001E-2</v>
      </c>
      <c r="DN60">
        <v>7.0415E-3</v>
      </c>
      <c r="DO60">
        <v>1.6827390000000001E-2</v>
      </c>
      <c r="DP60">
        <v>2.5973920000000001E-2</v>
      </c>
      <c r="DQ60">
        <v>1.9362899999999999E-2</v>
      </c>
      <c r="DR60">
        <v>1.390535E-2</v>
      </c>
      <c r="DS60">
        <v>-1.57617E-2</v>
      </c>
      <c r="DT60">
        <v>7.9615899999999993E-3</v>
      </c>
      <c r="DU60">
        <v>3.5193080000000002E-2</v>
      </c>
      <c r="DV60">
        <v>-6.2453300000000003E-3</v>
      </c>
      <c r="DW60">
        <v>1.4905140000000001E-2</v>
      </c>
      <c r="DX60">
        <v>2.4133640000000001E-2</v>
      </c>
      <c r="DY60">
        <v>1.4346899999999999E-2</v>
      </c>
      <c r="DZ60">
        <v>1.1629759999999999E-2</v>
      </c>
      <c r="EA60">
        <v>2.205973E-2</v>
      </c>
      <c r="EB60">
        <v>9.3388499999999992E-3</v>
      </c>
      <c r="EC60">
        <v>1.972637E-2</v>
      </c>
      <c r="ED60">
        <v>3.0624120000000001E-2</v>
      </c>
      <c r="EE60">
        <v>3.5072440000000003E-2</v>
      </c>
      <c r="EF60">
        <v>1.8601119999999999E-2</v>
      </c>
      <c r="EG60">
        <v>2.9697029999999999E-2</v>
      </c>
      <c r="EH60">
        <v>1.357045E-2</v>
      </c>
      <c r="EI60">
        <v>2.253343E-2</v>
      </c>
      <c r="EJ60">
        <v>4.3097280000000002E-2</v>
      </c>
      <c r="EK60">
        <v>4.1289659999999999E-2</v>
      </c>
      <c r="EL60">
        <v>6.0534249999999998E-2</v>
      </c>
      <c r="EM60">
        <v>2.730175E-2</v>
      </c>
      <c r="EN60">
        <v>2.1633400000000001E-2</v>
      </c>
      <c r="EO60">
        <v>6.3996140000000007E-2</v>
      </c>
      <c r="EP60">
        <f t="shared" si="1"/>
        <v>0</v>
      </c>
      <c r="EQ60">
        <f>SUMIF('Mi portafolio'!$A$8:$A$19,$A60,'Mi portafolio'!$B$8:$B$19)</f>
        <v>0</v>
      </c>
    </row>
    <row r="61" spans="1:147" x14ac:dyDescent="0.25">
      <c r="A61" s="34" t="s">
        <v>137</v>
      </c>
      <c r="B61">
        <v>1.498739E-2</v>
      </c>
      <c r="C61">
        <v>3.7727699999999999E-3</v>
      </c>
      <c r="D61">
        <v>-9.7628999999999999E-4</v>
      </c>
      <c r="E61">
        <v>5.0432599999999999E-3</v>
      </c>
      <c r="F61">
        <v>2.5624310000000001E-2</v>
      </c>
      <c r="G61">
        <v>-1.53582E-3</v>
      </c>
      <c r="H61">
        <v>5.5145400000000001E-3</v>
      </c>
      <c r="I61">
        <v>2.2524550000000001E-2</v>
      </c>
      <c r="J61">
        <v>3.6168119999999998E-2</v>
      </c>
      <c r="K61">
        <v>2.597812E-2</v>
      </c>
      <c r="L61">
        <v>7.1034100000000001E-3</v>
      </c>
      <c r="M61">
        <v>1.9242929999999998E-2</v>
      </c>
      <c r="N61">
        <v>3.4284309999999998E-2</v>
      </c>
      <c r="O61">
        <v>7.5551000000000004E-3</v>
      </c>
      <c r="P61">
        <v>1.9831990000000001E-2</v>
      </c>
      <c r="Q61">
        <v>-5.4271900000000001E-3</v>
      </c>
      <c r="R61">
        <v>2.5029429999999998E-2</v>
      </c>
      <c r="S61">
        <v>1.053699E-2</v>
      </c>
      <c r="T61">
        <v>1.1857990000000001E-2</v>
      </c>
      <c r="U61">
        <v>1.5080949999999999E-2</v>
      </c>
      <c r="V61">
        <v>1.90413E-3</v>
      </c>
      <c r="W61">
        <v>7.2130700000000002E-3</v>
      </c>
      <c r="X61">
        <v>1.543895E-2</v>
      </c>
      <c r="Y61">
        <v>1.9068100000000001E-2</v>
      </c>
      <c r="Z61">
        <v>6.4442700000000002E-3</v>
      </c>
      <c r="AA61">
        <v>1.175724E-2</v>
      </c>
      <c r="AB61">
        <v>1.8967419999999999E-2</v>
      </c>
      <c r="AC61">
        <v>-3.5253999999999998E-4</v>
      </c>
      <c r="AD61">
        <v>9.1859699999999999E-3</v>
      </c>
      <c r="AE61">
        <v>3.8036400000000001E-3</v>
      </c>
      <c r="AF61">
        <v>3.9567500000000002E-3</v>
      </c>
      <c r="AG61">
        <v>2.2125200000000001E-2</v>
      </c>
      <c r="AH61">
        <v>2.082084E-2</v>
      </c>
      <c r="AI61">
        <v>1.2147969999999999E-2</v>
      </c>
      <c r="AJ61">
        <v>4.5107799999999998E-3</v>
      </c>
      <c r="AK61">
        <v>6.4120599999999998E-3</v>
      </c>
      <c r="AL61">
        <v>2.0818389999999999E-2</v>
      </c>
      <c r="AM61">
        <v>9.4716699999999997E-3</v>
      </c>
      <c r="AN61">
        <v>2.7235530000000001E-2</v>
      </c>
      <c r="AO61">
        <v>3.9002599999999998E-2</v>
      </c>
      <c r="AP61">
        <v>1.7511240000000001E-2</v>
      </c>
      <c r="AQ61">
        <v>9.9591599999999999E-3</v>
      </c>
      <c r="AR61">
        <v>1.283172E-2</v>
      </c>
      <c r="AS61">
        <v>3.9598100000000002E-3</v>
      </c>
      <c r="AT61">
        <v>1.2105100000000001E-2</v>
      </c>
      <c r="AU61">
        <v>2.301692E-2</v>
      </c>
      <c r="AV61">
        <v>6.5474900000000004E-3</v>
      </c>
      <c r="AW61">
        <v>9.1456100000000002E-3</v>
      </c>
      <c r="AX61">
        <v>4.6280849999999998E-2</v>
      </c>
      <c r="AY61">
        <v>2.3999840000000001E-2</v>
      </c>
      <c r="AZ61">
        <v>1.0652969999999999E-2</v>
      </c>
      <c r="BA61">
        <v>2.46479E-2</v>
      </c>
      <c r="BB61">
        <v>9.6044500000000005E-3</v>
      </c>
      <c r="BC61">
        <v>7.0862800000000004E-3</v>
      </c>
      <c r="BD61">
        <v>6.84273E-3</v>
      </c>
      <c r="BE61">
        <v>9.2933189999999999E-2</v>
      </c>
      <c r="BF61">
        <v>5.2883499999999998E-3</v>
      </c>
      <c r="BG61">
        <v>2.4775249999999999E-2</v>
      </c>
      <c r="BH61">
        <v>7.6880799999999999E-3</v>
      </c>
      <c r="BI61">
        <v>8.3221900000000001E-3</v>
      </c>
      <c r="BJ61">
        <v>1.5164600000000001E-3</v>
      </c>
      <c r="BK61">
        <v>3.7305699999999999E-3</v>
      </c>
      <c r="BL61">
        <v>1.637578E-2</v>
      </c>
      <c r="BM61">
        <v>2.8063899999999999E-2</v>
      </c>
      <c r="BN61">
        <v>1.9221120000000001E-2</v>
      </c>
      <c r="BO61">
        <v>9.3731200000000004E-3</v>
      </c>
      <c r="BP61">
        <v>-9.0663800000000006E-3</v>
      </c>
      <c r="BQ61">
        <v>1.3727619999999999E-2</v>
      </c>
      <c r="BR61">
        <v>1.1384389999999999E-2</v>
      </c>
      <c r="BS61">
        <v>5.2908599999999997E-3</v>
      </c>
      <c r="BT61">
        <v>2.38371E-2</v>
      </c>
      <c r="BU61">
        <v>5.8714400000000003E-3</v>
      </c>
      <c r="BV61">
        <v>7.7237599999999997E-3</v>
      </c>
      <c r="BW61">
        <v>1.564432E-2</v>
      </c>
      <c r="BX61">
        <v>4.8457449999999999E-2</v>
      </c>
      <c r="BY61">
        <v>2.5425630000000001E-2</v>
      </c>
      <c r="BZ61">
        <v>1.594139E-2</v>
      </c>
      <c r="CA61">
        <v>7.0766700000000002E-3</v>
      </c>
      <c r="CB61">
        <v>-3.6785000000000002E-4</v>
      </c>
      <c r="CC61">
        <v>1.5489589999999999E-2</v>
      </c>
      <c r="CD61">
        <v>1.283308E-2</v>
      </c>
      <c r="CE61">
        <v>7.1450300000000001E-3</v>
      </c>
      <c r="CF61">
        <v>1.0752029999999999E-2</v>
      </c>
      <c r="CG61">
        <v>1.328375E-2</v>
      </c>
      <c r="CH61">
        <v>1.5861380000000001E-2</v>
      </c>
      <c r="CI61">
        <v>8.1513499999999999E-3</v>
      </c>
      <c r="CJ61">
        <v>2.2555869999999999E-2</v>
      </c>
      <c r="CK61">
        <v>2.1716030000000001E-2</v>
      </c>
      <c r="CL61">
        <v>3.6785669999999999E-2</v>
      </c>
      <c r="CM61">
        <v>-1.2528839999999999E-2</v>
      </c>
      <c r="CN61">
        <v>5.0022699999999996E-3</v>
      </c>
      <c r="CO61">
        <v>4.2272500000000001E-3</v>
      </c>
      <c r="CP61">
        <v>9.6453700000000003E-3</v>
      </c>
      <c r="CQ61">
        <v>2.6962960000000001E-2</v>
      </c>
      <c r="CR61">
        <v>5.8033199999999998E-3</v>
      </c>
      <c r="CS61">
        <v>1.8810739999999999E-2</v>
      </c>
      <c r="CT61">
        <v>6.2686299999999999E-3</v>
      </c>
      <c r="CU61">
        <v>-4.9430999999999998E-4</v>
      </c>
      <c r="CV61">
        <v>4.70791E-3</v>
      </c>
      <c r="CW61">
        <v>1.9577959999999998E-2</v>
      </c>
      <c r="CX61">
        <v>1.8410820000000001E-2</v>
      </c>
      <c r="CY61">
        <v>2.8272829999999999E-2</v>
      </c>
      <c r="CZ61">
        <v>1.6785540000000002E-2</v>
      </c>
      <c r="DA61">
        <v>1.8491469999999999E-2</v>
      </c>
      <c r="DB61">
        <v>4.5761500000000002E-3</v>
      </c>
      <c r="DC61">
        <v>1.2115580000000001E-2</v>
      </c>
      <c r="DD61">
        <v>1.411423E-2</v>
      </c>
      <c r="DE61">
        <v>1.7749729999999998E-2</v>
      </c>
      <c r="DF61">
        <v>-1.97269E-3</v>
      </c>
      <c r="DG61">
        <v>2.4640019999999999E-2</v>
      </c>
      <c r="DH61">
        <v>-1.670141E-2</v>
      </c>
      <c r="DI61">
        <v>2.2113089999999998E-2</v>
      </c>
      <c r="DJ61">
        <v>3.2912499999999997E-2</v>
      </c>
      <c r="DK61">
        <v>2.9045560000000002E-2</v>
      </c>
      <c r="DL61">
        <v>7.9096199999999992E-3</v>
      </c>
      <c r="DM61">
        <v>3.5200420000000003E-2</v>
      </c>
      <c r="DN61">
        <v>1.9528139999999999E-2</v>
      </c>
      <c r="DO61">
        <v>8.8025399999999993E-3</v>
      </c>
      <c r="DP61">
        <v>3.572956E-2</v>
      </c>
      <c r="DQ61">
        <v>1.5241350000000001E-2</v>
      </c>
      <c r="DR61">
        <v>2.152917E-2</v>
      </c>
      <c r="DS61">
        <v>-4.3959699999999999E-3</v>
      </c>
      <c r="DT61">
        <v>-2.295316E-2</v>
      </c>
      <c r="DU61">
        <v>5.6441099999999999E-3</v>
      </c>
      <c r="DV61">
        <v>-7.0641999999999996E-3</v>
      </c>
      <c r="DW61">
        <v>-5.3972000000000004E-4</v>
      </c>
      <c r="DX61">
        <v>2.8508399999999999E-3</v>
      </c>
      <c r="DY61">
        <v>8.7845100000000006E-3</v>
      </c>
      <c r="DZ61">
        <v>-6.9494500000000002E-3</v>
      </c>
      <c r="EA61">
        <v>2.7468889999999999E-2</v>
      </c>
      <c r="EB61">
        <v>2.3580139999999999E-2</v>
      </c>
      <c r="EC61">
        <v>-4.3587900000000004E-3</v>
      </c>
      <c r="ED61">
        <v>2.161151E-2</v>
      </c>
      <c r="EE61">
        <v>-1.384734E-2</v>
      </c>
      <c r="EF61">
        <v>2.7772370000000001E-2</v>
      </c>
      <c r="EG61">
        <v>2.2598100000000001E-3</v>
      </c>
      <c r="EH61">
        <v>1.9876080000000001E-2</v>
      </c>
      <c r="EI61">
        <v>-5.7387699999999998E-3</v>
      </c>
      <c r="EJ61">
        <v>4.6733749999999998E-2</v>
      </c>
      <c r="EK61">
        <v>2.4531819999999999E-2</v>
      </c>
      <c r="EL61">
        <v>1.718043E-2</v>
      </c>
      <c r="EM61">
        <v>2.0204030000000001E-2</v>
      </c>
      <c r="EN61">
        <v>0.18067743999999999</v>
      </c>
      <c r="EO61">
        <v>3.5914370000000001E-2</v>
      </c>
      <c r="EP61">
        <f t="shared" si="1"/>
        <v>0</v>
      </c>
      <c r="EQ61">
        <f>SUMIF('Mi portafolio'!$A$8:$A$19,$A61,'Mi portafolio'!$B$8:$B$19)</f>
        <v>0</v>
      </c>
    </row>
    <row r="62" spans="1:147" x14ac:dyDescent="0.25">
      <c r="A62" s="34" t="s">
        <v>138</v>
      </c>
      <c r="B62">
        <v>2.049E-3</v>
      </c>
      <c r="C62">
        <v>-2.0252000000000001E-4</v>
      </c>
      <c r="D62">
        <v>8.0180400000000006E-3</v>
      </c>
      <c r="E62">
        <v>1.970007E-2</v>
      </c>
      <c r="F62">
        <v>2.15993E-3</v>
      </c>
      <c r="G62">
        <v>1.407899E-2</v>
      </c>
      <c r="H62">
        <v>1.502121E-2</v>
      </c>
      <c r="I62">
        <v>5.7864300000000004E-3</v>
      </c>
      <c r="J62">
        <v>2.5380200000000002E-3</v>
      </c>
      <c r="K62">
        <v>6.3364199999999997E-3</v>
      </c>
      <c r="L62">
        <v>1.0758500000000001E-2</v>
      </c>
      <c r="M62">
        <v>1.8172219999999999E-2</v>
      </c>
      <c r="N62">
        <v>1.119034E-2</v>
      </c>
      <c r="O62">
        <v>1.7744070000000001E-2</v>
      </c>
      <c r="P62">
        <v>5.6022499999999996E-3</v>
      </c>
      <c r="Q62">
        <v>4.7076699999999997E-3</v>
      </c>
      <c r="R62">
        <v>4.6113700000000001E-3</v>
      </c>
      <c r="S62">
        <v>1.492834E-2</v>
      </c>
      <c r="T62">
        <v>1.0697069999999999E-2</v>
      </c>
      <c r="U62">
        <v>2.213588E-2</v>
      </c>
      <c r="V62">
        <v>1.9444650000000001E-2</v>
      </c>
      <c r="W62">
        <v>1.5751250000000001E-2</v>
      </c>
      <c r="X62">
        <v>8.3343400000000008E-3</v>
      </c>
      <c r="Y62">
        <v>-2.1575800000000001E-3</v>
      </c>
      <c r="Z62">
        <v>3.3419240000000003E-2</v>
      </c>
      <c r="AA62">
        <v>1.4947210000000001E-2</v>
      </c>
      <c r="AB62">
        <v>-2.1591900000000001E-3</v>
      </c>
      <c r="AC62">
        <v>1.3274609999999999E-2</v>
      </c>
      <c r="AD62">
        <v>1.5085350000000001E-2</v>
      </c>
      <c r="AE62">
        <v>2.4060519999999998E-2</v>
      </c>
      <c r="AF62">
        <v>2.2778530000000002E-2</v>
      </c>
      <c r="AG62">
        <v>-2.5029000000000002E-3</v>
      </c>
      <c r="AH62">
        <v>-1.89083E-3</v>
      </c>
      <c r="AI62">
        <v>-5.2022800000000001E-3</v>
      </c>
      <c r="AJ62">
        <v>1.771522E-2</v>
      </c>
      <c r="AK62">
        <v>2.0195350000000001E-2</v>
      </c>
      <c r="AL62">
        <v>1.126368E-2</v>
      </c>
      <c r="AM62">
        <v>1.9222779999999998E-2</v>
      </c>
      <c r="AN62">
        <v>1.56606E-2</v>
      </c>
      <c r="AO62">
        <v>5.8777200000000003E-3</v>
      </c>
      <c r="AP62">
        <v>1.035107E-2</v>
      </c>
      <c r="AQ62">
        <v>8.7131000000000003E-4</v>
      </c>
      <c r="AR62">
        <v>9.6945899999999995E-3</v>
      </c>
      <c r="AS62">
        <v>2.6859540000000001E-2</v>
      </c>
      <c r="AT62">
        <v>8.0271800000000001E-3</v>
      </c>
      <c r="AU62">
        <v>2.0198500000000001E-3</v>
      </c>
      <c r="AV62">
        <v>2.2983139999999999E-2</v>
      </c>
      <c r="AW62">
        <v>3.111794E-2</v>
      </c>
      <c r="AX62">
        <v>1.0976919999999999E-2</v>
      </c>
      <c r="AY62">
        <v>2.8758799999999999E-3</v>
      </c>
      <c r="AZ62">
        <v>2.342663E-2</v>
      </c>
      <c r="BA62">
        <v>1.3144080000000001E-2</v>
      </c>
      <c r="BB62">
        <v>1.7057240000000001E-2</v>
      </c>
      <c r="BC62">
        <v>1.7466530000000001E-2</v>
      </c>
      <c r="BD62">
        <v>2.9393760000000001E-2</v>
      </c>
      <c r="BE62">
        <v>5.2883499999999998E-3</v>
      </c>
      <c r="BF62">
        <v>9.3361E-2</v>
      </c>
      <c r="BG62">
        <v>1.7745449999999999E-2</v>
      </c>
      <c r="BH62">
        <v>2.3952089999999999E-2</v>
      </c>
      <c r="BI62">
        <v>1.5754379999999998E-2</v>
      </c>
      <c r="BJ62">
        <v>1.3236400000000001E-3</v>
      </c>
      <c r="BK62">
        <v>3.2080850000000001E-2</v>
      </c>
      <c r="BL62">
        <v>2.2623790000000001E-2</v>
      </c>
      <c r="BM62">
        <v>1.3948700000000001E-3</v>
      </c>
      <c r="BN62">
        <v>4.5258E-3</v>
      </c>
      <c r="BO62">
        <v>5.9742700000000003E-3</v>
      </c>
      <c r="BP62">
        <v>-2.3910099999999998E-3</v>
      </c>
      <c r="BQ62">
        <v>2.555193E-2</v>
      </c>
      <c r="BR62">
        <v>1.973697E-2</v>
      </c>
      <c r="BS62">
        <v>-2.4624E-4</v>
      </c>
      <c r="BT62">
        <v>2.3129029999999998E-2</v>
      </c>
      <c r="BU62">
        <v>2.0669010000000002E-2</v>
      </c>
      <c r="BV62">
        <v>9.7908000000000001E-4</v>
      </c>
      <c r="BW62">
        <v>1.618172E-2</v>
      </c>
      <c r="BX62">
        <v>1.122657E-2</v>
      </c>
      <c r="BY62">
        <v>1.1295370000000001E-2</v>
      </c>
      <c r="BZ62">
        <v>2.1513259999999999E-2</v>
      </c>
      <c r="CA62">
        <v>2.5851209999999999E-2</v>
      </c>
      <c r="CB62">
        <v>-8.9161199999999996E-3</v>
      </c>
      <c r="CC62">
        <v>9.9664200000000001E-3</v>
      </c>
      <c r="CD62">
        <v>1.3554099999999999E-2</v>
      </c>
      <c r="CE62">
        <v>5.1083700000000001E-3</v>
      </c>
      <c r="CF62">
        <v>2.76422E-3</v>
      </c>
      <c r="CG62">
        <v>1.107613E-2</v>
      </c>
      <c r="CH62">
        <v>2.7577819999999999E-2</v>
      </c>
      <c r="CI62">
        <v>-4.7799599999999998E-3</v>
      </c>
      <c r="CJ62">
        <v>-8.5305000000000005E-4</v>
      </c>
      <c r="CK62">
        <v>1.386741E-2</v>
      </c>
      <c r="CL62">
        <v>4.5715799999999996E-3</v>
      </c>
      <c r="CM62">
        <v>4.1801499999999997E-3</v>
      </c>
      <c r="CN62">
        <v>2.809942E-2</v>
      </c>
      <c r="CO62">
        <v>2.502774E-2</v>
      </c>
      <c r="CP62">
        <v>1.853316E-2</v>
      </c>
      <c r="CQ62">
        <v>2.3666449999999999E-2</v>
      </c>
      <c r="CR62">
        <v>2.0499900000000001E-2</v>
      </c>
      <c r="CS62">
        <v>2.4582730000000001E-2</v>
      </c>
      <c r="CT62">
        <v>3.1015999999999998E-2</v>
      </c>
      <c r="CU62">
        <v>2.26471E-2</v>
      </c>
      <c r="CV62">
        <v>1.1164E-2</v>
      </c>
      <c r="CW62">
        <v>1.6457759999999998E-2</v>
      </c>
      <c r="CX62">
        <v>2.193552E-2</v>
      </c>
      <c r="CY62">
        <v>2.351425E-2</v>
      </c>
      <c r="CZ62">
        <v>9.7664399999999995E-3</v>
      </c>
      <c r="DA62">
        <v>1.244819E-2</v>
      </c>
      <c r="DB62">
        <v>3.3099829999999997E-2</v>
      </c>
      <c r="DC62">
        <v>3.8581560000000001E-2</v>
      </c>
      <c r="DD62">
        <v>1.7323149999999999E-2</v>
      </c>
      <c r="DE62">
        <v>3.0464339999999999E-2</v>
      </c>
      <c r="DF62">
        <v>-8.1323699999999999E-3</v>
      </c>
      <c r="DG62">
        <v>3.4634360000000003E-2</v>
      </c>
      <c r="DH62">
        <v>5.5595200000000001E-3</v>
      </c>
      <c r="DI62">
        <v>1.591969E-2</v>
      </c>
      <c r="DJ62">
        <v>1.862867E-2</v>
      </c>
      <c r="DK62">
        <v>2.3224539999999998E-2</v>
      </c>
      <c r="DL62">
        <v>3.6184750000000002E-2</v>
      </c>
      <c r="DM62">
        <v>3.0606009999999999E-2</v>
      </c>
      <c r="DN62">
        <v>5.5209999999999999E-3</v>
      </c>
      <c r="DO62">
        <v>2.65179E-2</v>
      </c>
      <c r="DP62">
        <v>3.1058479999999999E-2</v>
      </c>
      <c r="DQ62">
        <v>1.8904150000000002E-2</v>
      </c>
      <c r="DR62">
        <v>2.3315490000000001E-2</v>
      </c>
      <c r="DS62">
        <v>3.36966E-3</v>
      </c>
      <c r="DT62">
        <v>-9.9992000000000006E-4</v>
      </c>
      <c r="DU62">
        <v>2.066426E-2</v>
      </c>
      <c r="DV62">
        <v>9.1396499999999992E-3</v>
      </c>
      <c r="DW62">
        <v>8.2243999999999998E-3</v>
      </c>
      <c r="DX62">
        <v>2.610701E-2</v>
      </c>
      <c r="DY62">
        <v>2.105025E-2</v>
      </c>
      <c r="DZ62">
        <v>1.2397E-2</v>
      </c>
      <c r="EA62">
        <v>1.9300479999999998E-2</v>
      </c>
      <c r="EB62">
        <v>2.637755E-2</v>
      </c>
      <c r="EC62">
        <v>1.784167E-2</v>
      </c>
      <c r="ED62">
        <v>4.5479800000000001E-2</v>
      </c>
      <c r="EE62">
        <v>4.1280169999999998E-2</v>
      </c>
      <c r="EF62">
        <v>3.1036749999999998E-2</v>
      </c>
      <c r="EG62">
        <v>3.1794269999999999E-2</v>
      </c>
      <c r="EH62">
        <v>9.6719000000000004E-4</v>
      </c>
      <c r="EI62">
        <v>2.4060129999999999E-2</v>
      </c>
      <c r="EJ62">
        <v>5.3284749999999999E-2</v>
      </c>
      <c r="EK62">
        <v>3.9428610000000003E-2</v>
      </c>
      <c r="EL62">
        <v>4.5524210000000002E-2</v>
      </c>
      <c r="EM62">
        <v>-1.0405920000000001E-2</v>
      </c>
      <c r="EN62">
        <v>3.4381380000000003E-2</v>
      </c>
      <c r="EO62">
        <v>7.1719889999999994E-2</v>
      </c>
      <c r="EP62">
        <f t="shared" si="1"/>
        <v>0</v>
      </c>
      <c r="EQ62">
        <f>SUMIF('Mi portafolio'!$A$8:$A$19,$A62,'Mi portafolio'!$B$8:$B$19)</f>
        <v>0</v>
      </c>
    </row>
    <row r="63" spans="1:147" x14ac:dyDescent="0.25">
      <c r="A63" s="34" t="s">
        <v>139</v>
      </c>
      <c r="B63">
        <v>1.070841E-2</v>
      </c>
      <c r="C63">
        <v>4.8505999999999999E-4</v>
      </c>
      <c r="D63">
        <v>2.60399E-3</v>
      </c>
      <c r="E63">
        <v>-6.1454000000000001E-4</v>
      </c>
      <c r="F63">
        <v>6.5749900000000002E-3</v>
      </c>
      <c r="G63">
        <v>-1.0913699999999999E-3</v>
      </c>
      <c r="H63">
        <v>2.1047800000000001E-3</v>
      </c>
      <c r="I63">
        <v>9.6205300000000004E-3</v>
      </c>
      <c r="J63">
        <v>1.2952399999999999E-2</v>
      </c>
      <c r="K63">
        <v>8.98177E-3</v>
      </c>
      <c r="L63">
        <v>6.8612000000000002E-4</v>
      </c>
      <c r="M63">
        <v>2.2621530000000001E-2</v>
      </c>
      <c r="N63">
        <v>2.3670009999999998E-2</v>
      </c>
      <c r="O63">
        <v>-8.4780900000000006E-3</v>
      </c>
      <c r="P63">
        <v>4.4586599999999997E-3</v>
      </c>
      <c r="Q63">
        <v>1.90233E-3</v>
      </c>
      <c r="R63">
        <v>9.2812699999999995E-3</v>
      </c>
      <c r="S63">
        <v>5.1037799999999996E-3</v>
      </c>
      <c r="T63">
        <v>2.1360560000000001E-2</v>
      </c>
      <c r="U63">
        <v>4.1093800000000002E-3</v>
      </c>
      <c r="V63">
        <v>-2.3133899999999998E-3</v>
      </c>
      <c r="W63">
        <v>-7.0663200000000001E-3</v>
      </c>
      <c r="X63">
        <v>1.9315539999999999E-2</v>
      </c>
      <c r="Y63">
        <v>2.3458039999999999E-2</v>
      </c>
      <c r="Z63">
        <v>3.8710900000000002E-3</v>
      </c>
      <c r="AA63">
        <v>-1.3456200000000001E-3</v>
      </c>
      <c r="AB63">
        <v>2.4440920000000001E-2</v>
      </c>
      <c r="AC63">
        <v>8.9209000000000001E-4</v>
      </c>
      <c r="AD63">
        <v>-5.7253999999999996E-4</v>
      </c>
      <c r="AE63">
        <v>8.9810500000000008E-3</v>
      </c>
      <c r="AF63">
        <v>3.3697000000000002E-4</v>
      </c>
      <c r="AG63">
        <v>-5.1303000000000004E-4</v>
      </c>
      <c r="AH63">
        <v>-1.4541000000000001E-4</v>
      </c>
      <c r="AI63">
        <v>2.8497800000000001E-3</v>
      </c>
      <c r="AJ63">
        <v>1.26848E-3</v>
      </c>
      <c r="AK63">
        <v>8.1139000000000005E-4</v>
      </c>
      <c r="AL63">
        <v>1.0983700000000001E-2</v>
      </c>
      <c r="AM63">
        <v>7.2204299999999999E-3</v>
      </c>
      <c r="AN63">
        <v>2.7913460000000001E-2</v>
      </c>
      <c r="AO63">
        <v>2.464218E-2</v>
      </c>
      <c r="AP63">
        <v>2.5871999999999999E-2</v>
      </c>
      <c r="AQ63">
        <v>-9.0755000000000002E-4</v>
      </c>
      <c r="AR63">
        <v>2.0676369999999999E-2</v>
      </c>
      <c r="AS63">
        <v>8.5610900000000004E-3</v>
      </c>
      <c r="AT63">
        <v>3.4398440000000002E-2</v>
      </c>
      <c r="AU63">
        <v>1.4372600000000001E-3</v>
      </c>
      <c r="AV63">
        <v>9.3890899999999992E-3</v>
      </c>
      <c r="AW63">
        <v>1.0372009999999999E-2</v>
      </c>
      <c r="AX63">
        <v>2.0779300000000001E-2</v>
      </c>
      <c r="AY63">
        <v>2.079257E-2</v>
      </c>
      <c r="AZ63">
        <v>1.071098E-2</v>
      </c>
      <c r="BA63">
        <v>2.0186200000000001E-2</v>
      </c>
      <c r="BB63">
        <v>2.3836139999999999E-2</v>
      </c>
      <c r="BC63">
        <v>9.2457000000000008E-3</v>
      </c>
      <c r="BD63">
        <v>7.0080200000000002E-3</v>
      </c>
      <c r="BE63">
        <v>2.4775249999999999E-2</v>
      </c>
      <c r="BF63">
        <v>1.7745449999999999E-2</v>
      </c>
      <c r="BG63">
        <v>9.6126059999999999E-2</v>
      </c>
      <c r="BH63">
        <v>1.030621E-2</v>
      </c>
      <c r="BI63">
        <v>1.7077749999999999E-2</v>
      </c>
      <c r="BJ63">
        <v>-5.2351000000000003E-4</v>
      </c>
      <c r="BK63">
        <v>9.6481299999999996E-3</v>
      </c>
      <c r="BL63">
        <v>2.9062500000000002E-2</v>
      </c>
      <c r="BM63">
        <v>1.8411250000000001E-2</v>
      </c>
      <c r="BN63">
        <v>2.3674400000000002E-3</v>
      </c>
      <c r="BO63">
        <v>1.537284E-2</v>
      </c>
      <c r="BP63">
        <v>2.1211239999999999E-2</v>
      </c>
      <c r="BQ63">
        <v>3.4717200000000002E-3</v>
      </c>
      <c r="BR63">
        <v>3.5342659999999998E-2</v>
      </c>
      <c r="BS63">
        <v>-3.74596E-3</v>
      </c>
      <c r="BT63">
        <v>2.321434E-2</v>
      </c>
      <c r="BU63">
        <v>7.7354600000000004E-3</v>
      </c>
      <c r="BV63">
        <v>2.1616590000000001E-2</v>
      </c>
      <c r="BW63">
        <v>4.0255199999999998E-2</v>
      </c>
      <c r="BX63">
        <v>3.5298370000000003E-2</v>
      </c>
      <c r="BY63">
        <v>3.092495E-2</v>
      </c>
      <c r="BZ63">
        <v>2.1351149999999999E-2</v>
      </c>
      <c r="CA63">
        <v>3.5817000000000002E-3</v>
      </c>
      <c r="CB63">
        <v>-3.4408300000000002E-3</v>
      </c>
      <c r="CC63">
        <v>1.8777760000000001E-2</v>
      </c>
      <c r="CD63">
        <v>2.910211E-2</v>
      </c>
      <c r="CE63">
        <v>9.5396500000000002E-3</v>
      </c>
      <c r="CF63">
        <v>-3.92787E-3</v>
      </c>
      <c r="CG63">
        <v>3.9035309999999997E-2</v>
      </c>
      <c r="CH63">
        <v>1.367403E-2</v>
      </c>
      <c r="CI63">
        <v>-8.9179999999999999E-4</v>
      </c>
      <c r="CJ63">
        <v>1.5877309999999999E-2</v>
      </c>
      <c r="CK63">
        <v>3.2222420000000002E-2</v>
      </c>
      <c r="CL63">
        <v>2.512112E-2</v>
      </c>
      <c r="CM63">
        <v>1.790835E-2</v>
      </c>
      <c r="CN63">
        <v>1.9890799999999998E-3</v>
      </c>
      <c r="CO63">
        <v>1.1640670000000001E-2</v>
      </c>
      <c r="CP63">
        <v>2.666048E-2</v>
      </c>
      <c r="CQ63">
        <v>4.157156E-2</v>
      </c>
      <c r="CR63">
        <v>1.9047709999999999E-2</v>
      </c>
      <c r="CS63">
        <v>1.328053E-2</v>
      </c>
      <c r="CT63">
        <v>2.993235E-2</v>
      </c>
      <c r="CU63">
        <v>1.0943140000000001E-2</v>
      </c>
      <c r="CV63">
        <v>2.3365980000000001E-2</v>
      </c>
      <c r="CW63">
        <v>4.917324E-2</v>
      </c>
      <c r="CX63">
        <v>3.3953820000000003E-2</v>
      </c>
      <c r="CY63">
        <v>3.3245589999999998E-2</v>
      </c>
      <c r="CZ63">
        <v>2.256969E-2</v>
      </c>
      <c r="DA63">
        <v>4.8641759999999999E-2</v>
      </c>
      <c r="DB63">
        <v>7.7546799999999999E-3</v>
      </c>
      <c r="DC63">
        <v>2.030297E-2</v>
      </c>
      <c r="DD63">
        <v>5.550215E-2</v>
      </c>
      <c r="DE63">
        <v>4.1382919999999997E-2</v>
      </c>
      <c r="DF63">
        <v>3.3596010000000003E-2</v>
      </c>
      <c r="DG63">
        <v>2.9767419999999999E-2</v>
      </c>
      <c r="DH63">
        <v>1.2919720000000001E-2</v>
      </c>
      <c r="DI63">
        <v>3.4455640000000003E-2</v>
      </c>
      <c r="DJ63">
        <v>4.5960599999999997E-2</v>
      </c>
      <c r="DK63">
        <v>4.777054E-2</v>
      </c>
      <c r="DL63">
        <v>1.040088E-2</v>
      </c>
      <c r="DM63">
        <v>4.7691650000000002E-2</v>
      </c>
      <c r="DN63">
        <v>4.3238169999999999E-2</v>
      </c>
      <c r="DO63">
        <v>2.3137069999999999E-2</v>
      </c>
      <c r="DP63">
        <v>4.8340500000000002E-2</v>
      </c>
      <c r="DQ63">
        <v>1.318707E-2</v>
      </c>
      <c r="DR63">
        <v>2.7087509999999999E-2</v>
      </c>
      <c r="DS63">
        <v>3.4179139999999997E-2</v>
      </c>
      <c r="DT63">
        <v>2.4097339999999998E-2</v>
      </c>
      <c r="DU63">
        <v>5.003954E-2</v>
      </c>
      <c r="DV63">
        <v>3.6964940000000002E-2</v>
      </c>
      <c r="DW63">
        <v>5.99359E-2</v>
      </c>
      <c r="DX63">
        <v>1.8186239999999999E-2</v>
      </c>
      <c r="DY63">
        <v>6.8790809999999994E-2</v>
      </c>
      <c r="DZ63">
        <v>4.5728709999999999E-2</v>
      </c>
      <c r="EA63">
        <v>4.5417869999999999E-2</v>
      </c>
      <c r="EB63">
        <v>7.7619949999999993E-2</v>
      </c>
      <c r="EC63">
        <v>-8.2122800000000006E-3</v>
      </c>
      <c r="ED63">
        <v>3.607581E-2</v>
      </c>
      <c r="EE63">
        <v>1.8602270000000001E-2</v>
      </c>
      <c r="EF63">
        <v>4.0637140000000002E-2</v>
      </c>
      <c r="EG63">
        <v>1.5642920000000001E-2</v>
      </c>
      <c r="EH63">
        <v>4.7564339999999997E-2</v>
      </c>
      <c r="EI63">
        <v>1.2377279999999999E-2</v>
      </c>
      <c r="EJ63">
        <v>5.7048359999999999E-2</v>
      </c>
      <c r="EK63">
        <v>5.1694259999999999E-2</v>
      </c>
      <c r="EL63">
        <v>4.7233860000000003E-2</v>
      </c>
      <c r="EM63">
        <v>5.1077490000000003E-2</v>
      </c>
      <c r="EN63">
        <v>9.4909389999999996E-2</v>
      </c>
      <c r="EO63">
        <v>8.4786829999999994E-2</v>
      </c>
      <c r="EP63">
        <f t="shared" si="1"/>
        <v>0</v>
      </c>
      <c r="EQ63">
        <f>SUMIF('Mi portafolio'!$A$8:$A$19,$A63,'Mi portafolio'!$B$8:$B$19)</f>
        <v>0</v>
      </c>
    </row>
    <row r="64" spans="1:147" x14ac:dyDescent="0.25">
      <c r="A64" s="34" t="s">
        <v>140</v>
      </c>
      <c r="B64">
        <v>2.2869600000000002E-3</v>
      </c>
      <c r="C64">
        <v>2.9318E-3</v>
      </c>
      <c r="D64">
        <v>6.5488600000000001E-3</v>
      </c>
      <c r="E64">
        <v>1.3283339999999999E-2</v>
      </c>
      <c r="F64">
        <v>-5.0960000000000003E-4</v>
      </c>
      <c r="G64">
        <v>2.1392899999999999E-3</v>
      </c>
      <c r="H64">
        <v>1.9235740000000001E-2</v>
      </c>
      <c r="I64">
        <v>1.95159E-3</v>
      </c>
      <c r="J64">
        <v>-2.3798199999999999E-3</v>
      </c>
      <c r="K64">
        <v>1.8007699999999999E-3</v>
      </c>
      <c r="L64">
        <v>1.6544550000000002E-2</v>
      </c>
      <c r="M64">
        <v>1.095756E-2</v>
      </c>
      <c r="N64">
        <v>1.034856E-2</v>
      </c>
      <c r="O64">
        <v>1.252028E-2</v>
      </c>
      <c r="P64">
        <v>-2.1327400000000002E-3</v>
      </c>
      <c r="Q64">
        <v>-3.4793699999999999E-3</v>
      </c>
      <c r="R64">
        <v>4.9968199999999999E-3</v>
      </c>
      <c r="S64">
        <v>1.6331149999999999E-2</v>
      </c>
      <c r="T64">
        <v>6.7134899999999999E-3</v>
      </c>
      <c r="U64">
        <v>2.4702680000000001E-2</v>
      </c>
      <c r="V64">
        <v>1.6871110000000002E-2</v>
      </c>
      <c r="W64">
        <v>1.207019E-2</v>
      </c>
      <c r="X64">
        <v>1.04654E-2</v>
      </c>
      <c r="Y64">
        <v>2.01256E-3</v>
      </c>
      <c r="Z64">
        <v>2.442536E-2</v>
      </c>
      <c r="AA64">
        <v>5.0707800000000004E-3</v>
      </c>
      <c r="AB64">
        <v>2.3766E-4</v>
      </c>
      <c r="AC64">
        <v>1.9536020000000001E-2</v>
      </c>
      <c r="AD64">
        <v>1.510972E-2</v>
      </c>
      <c r="AE64">
        <v>1.9025259999999999E-2</v>
      </c>
      <c r="AF64">
        <v>1.863631E-2</v>
      </c>
      <c r="AG64">
        <v>-2.28831E-3</v>
      </c>
      <c r="AH64">
        <v>6.6394999999999996E-4</v>
      </c>
      <c r="AI64">
        <v>-1.1089730000000001E-2</v>
      </c>
      <c r="AJ64">
        <v>1.262042E-2</v>
      </c>
      <c r="AK64">
        <v>2.445553E-2</v>
      </c>
      <c r="AL64">
        <v>4.3899799999999999E-3</v>
      </c>
      <c r="AM64">
        <v>1.3875449999999999E-2</v>
      </c>
      <c r="AN64">
        <v>1.6566399999999998E-2</v>
      </c>
      <c r="AO64">
        <v>-1.3313800000000001E-3</v>
      </c>
      <c r="AP64">
        <v>1.0251130000000001E-2</v>
      </c>
      <c r="AQ64">
        <v>-1.293243E-2</v>
      </c>
      <c r="AR64">
        <v>7.4974000000000004E-3</v>
      </c>
      <c r="AS64">
        <v>2.8968540000000001E-2</v>
      </c>
      <c r="AT64">
        <v>1.096726E-2</v>
      </c>
      <c r="AU64">
        <v>-1.57183E-3</v>
      </c>
      <c r="AV64">
        <v>2.7926059999999999E-2</v>
      </c>
      <c r="AW64">
        <v>3.1663219999999999E-2</v>
      </c>
      <c r="AX64">
        <v>9.4481600000000006E-3</v>
      </c>
      <c r="AY64">
        <v>6.53704E-3</v>
      </c>
      <c r="AZ64">
        <v>1.7994300000000001E-2</v>
      </c>
      <c r="BA64">
        <v>8.4965500000000003E-3</v>
      </c>
      <c r="BB64">
        <v>1.261487E-2</v>
      </c>
      <c r="BC64">
        <v>1.9074290000000001E-2</v>
      </c>
      <c r="BD64">
        <v>3.1807250000000002E-2</v>
      </c>
      <c r="BE64">
        <v>7.6880799999999999E-3</v>
      </c>
      <c r="BF64">
        <v>2.3952089999999999E-2</v>
      </c>
      <c r="BG64">
        <v>1.030621E-2</v>
      </c>
      <c r="BH64">
        <v>9.5152340000000002E-2</v>
      </c>
      <c r="BI64">
        <v>1.517108E-2</v>
      </c>
      <c r="BJ64">
        <v>-6.5714900000000001E-3</v>
      </c>
      <c r="BK64">
        <v>1.5375460000000001E-2</v>
      </c>
      <c r="BL64">
        <v>1.1275149999999999E-2</v>
      </c>
      <c r="BM64">
        <v>1.21555E-2</v>
      </c>
      <c r="BN64">
        <v>1.0563E-3</v>
      </c>
      <c r="BO64">
        <v>2.1849210000000001E-2</v>
      </c>
      <c r="BP64">
        <v>1.5575800000000001E-2</v>
      </c>
      <c r="BQ64">
        <v>2.3106229999999998E-2</v>
      </c>
      <c r="BR64">
        <v>8.0693199999999996E-3</v>
      </c>
      <c r="BS64">
        <v>-1.6867360000000001E-2</v>
      </c>
      <c r="BT64">
        <v>2.3279890000000001E-2</v>
      </c>
      <c r="BU64">
        <v>2.960784E-2</v>
      </c>
      <c r="BV64">
        <v>1.4915680000000001E-2</v>
      </c>
      <c r="BW64">
        <v>1.7817550000000001E-2</v>
      </c>
      <c r="BX64">
        <v>2.1067899999999999E-3</v>
      </c>
      <c r="BY64">
        <v>1.166067E-2</v>
      </c>
      <c r="BZ64">
        <v>1.7316749999999999E-2</v>
      </c>
      <c r="CA64">
        <v>2.499962E-2</v>
      </c>
      <c r="CB64">
        <v>2.8977000000000001E-4</v>
      </c>
      <c r="CC64">
        <v>6.6278999999999999E-3</v>
      </c>
      <c r="CD64">
        <v>1.216537E-2</v>
      </c>
      <c r="CE64">
        <v>1.1776740000000001E-2</v>
      </c>
      <c r="CF64">
        <v>-1.9536600000000001E-2</v>
      </c>
      <c r="CG64">
        <v>1.776196E-2</v>
      </c>
      <c r="CH64">
        <v>3.1851640000000001E-2</v>
      </c>
      <c r="CI64">
        <v>-1.7830599999999999E-2</v>
      </c>
      <c r="CJ64">
        <v>1.8487569999999998E-2</v>
      </c>
      <c r="CK64">
        <v>1.154255E-2</v>
      </c>
      <c r="CL64">
        <v>1.302937E-2</v>
      </c>
      <c r="CM64">
        <v>1.5723419999999998E-2</v>
      </c>
      <c r="CN64">
        <v>1.8097249999999999E-2</v>
      </c>
      <c r="CO64">
        <v>2.1183759999999999E-2</v>
      </c>
      <c r="CP64">
        <v>1.345937E-2</v>
      </c>
      <c r="CQ64">
        <v>1.7556160000000001E-2</v>
      </c>
      <c r="CR64">
        <v>1.7984340000000001E-2</v>
      </c>
      <c r="CS64">
        <v>1.5767719999999999E-2</v>
      </c>
      <c r="CT64">
        <v>2.2930249999999999E-2</v>
      </c>
      <c r="CU64">
        <v>2.740538E-2</v>
      </c>
      <c r="CV64">
        <v>2.2873790000000001E-2</v>
      </c>
      <c r="CW64">
        <v>1.920177E-2</v>
      </c>
      <c r="CX64">
        <v>1.3267340000000001E-2</v>
      </c>
      <c r="CY64">
        <v>1.341754E-2</v>
      </c>
      <c r="CZ64">
        <v>4.76707E-3</v>
      </c>
      <c r="DA64">
        <v>1.7259469999999999E-2</v>
      </c>
      <c r="DB64">
        <v>3.963676E-2</v>
      </c>
      <c r="DC64">
        <v>3.077421E-2</v>
      </c>
      <c r="DD64">
        <v>2.8286390000000002E-2</v>
      </c>
      <c r="DE64">
        <v>3.1474950000000002E-2</v>
      </c>
      <c r="DF64">
        <v>1.309249E-2</v>
      </c>
      <c r="DG64">
        <v>2.7141430000000001E-2</v>
      </c>
      <c r="DH64">
        <v>3.0683120000000001E-2</v>
      </c>
      <c r="DI64">
        <v>2.3204369999999998E-2</v>
      </c>
      <c r="DJ64">
        <v>1.2695349999999999E-2</v>
      </c>
      <c r="DK64">
        <v>2.885279E-2</v>
      </c>
      <c r="DL64">
        <v>3.4573850000000003E-2</v>
      </c>
      <c r="DM64">
        <v>1.9204280000000001E-2</v>
      </c>
      <c r="DN64">
        <v>1.3481770000000001E-2</v>
      </c>
      <c r="DO64">
        <v>1.368864E-2</v>
      </c>
      <c r="DP64">
        <v>2.3731550000000001E-2</v>
      </c>
      <c r="DQ64">
        <v>2.83278E-3</v>
      </c>
      <c r="DR64">
        <v>2.9364080000000001E-2</v>
      </c>
      <c r="DS64">
        <v>1.8849699999999999E-3</v>
      </c>
      <c r="DT64">
        <v>2.7076380000000001E-2</v>
      </c>
      <c r="DU64">
        <v>3.5049990000000003E-2</v>
      </c>
      <c r="DV64">
        <v>3.0951800000000002E-2</v>
      </c>
      <c r="DW64">
        <v>4.3712809999999998E-2</v>
      </c>
      <c r="DX64">
        <v>1.3344669999999999E-2</v>
      </c>
      <c r="DY64">
        <v>2.4779539999999999E-2</v>
      </c>
      <c r="DZ64">
        <v>2.2378840000000001E-2</v>
      </c>
      <c r="EA64">
        <v>2.5215270000000001E-2</v>
      </c>
      <c r="EB64">
        <v>2.748712E-2</v>
      </c>
      <c r="EC64">
        <v>6.4807399999999996E-3</v>
      </c>
      <c r="ED64">
        <v>4.408513E-2</v>
      </c>
      <c r="EE64">
        <v>3.017514E-2</v>
      </c>
      <c r="EF64">
        <v>1.6867150000000001E-2</v>
      </c>
      <c r="EG64">
        <v>1.865756E-2</v>
      </c>
      <c r="EH64">
        <v>5.4889400000000003E-3</v>
      </c>
      <c r="EI64">
        <v>1.7108180000000001E-2</v>
      </c>
      <c r="EJ64">
        <v>3.7208909999999998E-2</v>
      </c>
      <c r="EK64">
        <v>4.5818369999999997E-2</v>
      </c>
      <c r="EL64">
        <v>4.3258570000000003E-2</v>
      </c>
      <c r="EM64">
        <v>3.6819400000000002E-2</v>
      </c>
      <c r="EN64">
        <v>2.3123189999999998E-2</v>
      </c>
      <c r="EO64">
        <v>3.3510249999999998E-2</v>
      </c>
      <c r="EP64">
        <f t="shared" si="1"/>
        <v>0</v>
      </c>
      <c r="EQ64">
        <f>SUMIF('Mi portafolio'!$A$8:$A$19,$A64,'Mi portafolio'!$B$8:$B$19)</f>
        <v>0</v>
      </c>
    </row>
    <row r="65" spans="1:147" x14ac:dyDescent="0.25">
      <c r="A65" s="34" t="s">
        <v>141</v>
      </c>
      <c r="B65">
        <v>4.8938699999999998E-3</v>
      </c>
      <c r="C65">
        <v>-7.8299999999999995E-4</v>
      </c>
      <c r="D65">
        <v>6.8786899999999998E-3</v>
      </c>
      <c r="E65">
        <v>1.238584E-2</v>
      </c>
      <c r="F65">
        <v>-4.7496200000000004E-3</v>
      </c>
      <c r="G65">
        <v>6.0902700000000001E-3</v>
      </c>
      <c r="H65">
        <v>9.1104700000000007E-3</v>
      </c>
      <c r="I65">
        <v>1.94568E-3</v>
      </c>
      <c r="J65">
        <v>-8.5691999999999995E-4</v>
      </c>
      <c r="K65">
        <v>2.6188399999999999E-3</v>
      </c>
      <c r="L65">
        <v>1.144558E-2</v>
      </c>
      <c r="M65">
        <v>8.9927199999999992E-3</v>
      </c>
      <c r="N65">
        <v>3.8418300000000001E-3</v>
      </c>
      <c r="O65">
        <v>1.680454E-2</v>
      </c>
      <c r="P65">
        <v>-1.6513000000000001E-3</v>
      </c>
      <c r="Q65">
        <v>4.5000400000000003E-3</v>
      </c>
      <c r="R65">
        <v>4.3542900000000002E-3</v>
      </c>
      <c r="S65">
        <v>1.2300480000000001E-2</v>
      </c>
      <c r="T65">
        <v>9.4419199999999995E-3</v>
      </c>
      <c r="U65">
        <v>9.7872600000000008E-3</v>
      </c>
      <c r="V65">
        <v>1.583592E-2</v>
      </c>
      <c r="W65">
        <v>4.3041599999999996E-3</v>
      </c>
      <c r="X65">
        <v>8.9916300000000005E-3</v>
      </c>
      <c r="Y65">
        <v>2.6087200000000001E-3</v>
      </c>
      <c r="Z65">
        <v>9.5363199999999992E-3</v>
      </c>
      <c r="AA65">
        <v>1.62514E-3</v>
      </c>
      <c r="AB65">
        <v>6.02135E-3</v>
      </c>
      <c r="AC65">
        <v>1.394246E-2</v>
      </c>
      <c r="AD65">
        <v>1.7634300000000001E-3</v>
      </c>
      <c r="AE65">
        <v>1.047322E-2</v>
      </c>
      <c r="AF65">
        <v>1.621241E-2</v>
      </c>
      <c r="AG65">
        <v>-4.9495199999999998E-3</v>
      </c>
      <c r="AH65">
        <v>-3.49073E-3</v>
      </c>
      <c r="AI65">
        <v>3.5410000000000001E-5</v>
      </c>
      <c r="AJ65">
        <v>2.5048000000000002E-3</v>
      </c>
      <c r="AK65">
        <v>3.3746599999999998E-3</v>
      </c>
      <c r="AL65">
        <v>1.67501E-3</v>
      </c>
      <c r="AM65">
        <v>8.9039600000000007E-3</v>
      </c>
      <c r="AN65">
        <v>8.5072800000000007E-3</v>
      </c>
      <c r="AO65">
        <v>-4.4990300000000002E-3</v>
      </c>
      <c r="AP65">
        <v>9.4549200000000003E-3</v>
      </c>
      <c r="AQ65">
        <v>-3.1286E-3</v>
      </c>
      <c r="AR65">
        <v>8.4114099999999994E-3</v>
      </c>
      <c r="AS65">
        <v>3.5761500000000002E-3</v>
      </c>
      <c r="AT65">
        <v>1.1361629999999999E-2</v>
      </c>
      <c r="AU65">
        <v>-3.0501999999999999E-3</v>
      </c>
      <c r="AV65">
        <v>1.8378470000000001E-2</v>
      </c>
      <c r="AW65">
        <v>1.040609E-2</v>
      </c>
      <c r="AX65">
        <v>4.8576599999999998E-3</v>
      </c>
      <c r="AY65">
        <v>1.20488E-3</v>
      </c>
      <c r="AZ65">
        <v>1.615724E-2</v>
      </c>
      <c r="BA65">
        <v>7.9726699999999994E-3</v>
      </c>
      <c r="BB65">
        <v>1.0189810000000001E-2</v>
      </c>
      <c r="BC65">
        <v>7.3344899999999999E-3</v>
      </c>
      <c r="BD65">
        <v>3.1072299999999999E-3</v>
      </c>
      <c r="BE65">
        <v>8.3221900000000001E-3</v>
      </c>
      <c r="BF65">
        <v>1.5754379999999998E-2</v>
      </c>
      <c r="BG65">
        <v>1.7077749999999999E-2</v>
      </c>
      <c r="BH65">
        <v>1.517108E-2</v>
      </c>
      <c r="BI65">
        <v>9.2556529999999998E-2</v>
      </c>
      <c r="BJ65">
        <v>7.00353E-3</v>
      </c>
      <c r="BK65">
        <v>1.5374550000000001E-2</v>
      </c>
      <c r="BL65">
        <v>1.30058E-2</v>
      </c>
      <c r="BM65">
        <v>9.1111999999999999E-3</v>
      </c>
      <c r="BN65">
        <v>2.1099000000000001E-3</v>
      </c>
      <c r="BO65">
        <v>1.291699E-2</v>
      </c>
      <c r="BP65">
        <v>6.0285399999999998E-3</v>
      </c>
      <c r="BQ65">
        <v>1.3735610000000001E-2</v>
      </c>
      <c r="BR65">
        <v>1.8734939999999999E-2</v>
      </c>
      <c r="BS65">
        <v>-4.0613899999999998E-3</v>
      </c>
      <c r="BT65">
        <v>1.224797E-2</v>
      </c>
      <c r="BU65">
        <v>8.6797599999999999E-3</v>
      </c>
      <c r="BV65">
        <v>1.91565E-2</v>
      </c>
      <c r="BW65">
        <v>2.38225E-2</v>
      </c>
      <c r="BX65">
        <v>2.9129300000000002E-3</v>
      </c>
      <c r="BY65">
        <v>-4.2330000000000003E-5</v>
      </c>
      <c r="BZ65">
        <v>1.2830889999999999E-2</v>
      </c>
      <c r="CA65">
        <v>1.855528E-2</v>
      </c>
      <c r="CB65">
        <v>-2.6135500000000001E-3</v>
      </c>
      <c r="CC65">
        <v>8.3823400000000003E-3</v>
      </c>
      <c r="CD65">
        <v>7.8457900000000001E-3</v>
      </c>
      <c r="CE65">
        <v>2.08874E-3</v>
      </c>
      <c r="CF65">
        <v>1.3359400000000001E-3</v>
      </c>
      <c r="CG65">
        <v>1.0102079999999999E-2</v>
      </c>
      <c r="CH65">
        <v>1.735797E-2</v>
      </c>
      <c r="CI65">
        <v>3.4712000000000002E-4</v>
      </c>
      <c r="CJ65">
        <v>-3.8735800000000002E-3</v>
      </c>
      <c r="CK65">
        <v>8.4251199999999995E-3</v>
      </c>
      <c r="CL65">
        <v>2.7328700000000001E-3</v>
      </c>
      <c r="CM65">
        <v>-6.0433800000000001E-3</v>
      </c>
      <c r="CN65">
        <v>-2.8974399999999998E-3</v>
      </c>
      <c r="CO65">
        <v>1.445364E-2</v>
      </c>
      <c r="CP65">
        <v>1.7434649999999999E-2</v>
      </c>
      <c r="CQ65">
        <v>1.7040949999999999E-2</v>
      </c>
      <c r="CR65">
        <v>4.5077800000000003E-3</v>
      </c>
      <c r="CS65">
        <v>-1.19232E-3</v>
      </c>
      <c r="CT65">
        <v>1.530046E-2</v>
      </c>
      <c r="CU65">
        <v>1.197777E-2</v>
      </c>
      <c r="CV65">
        <v>2.0836940000000002E-2</v>
      </c>
      <c r="CW65">
        <v>9.7417200000000006E-3</v>
      </c>
      <c r="CX65">
        <v>8.4160999999999993E-3</v>
      </c>
      <c r="CY65">
        <v>2.2288899999999999E-3</v>
      </c>
      <c r="CZ65">
        <v>1.1147600000000001E-2</v>
      </c>
      <c r="DA65">
        <v>-5.3450999999999998E-4</v>
      </c>
      <c r="DB65">
        <v>2.1204580000000001E-2</v>
      </c>
      <c r="DC65">
        <v>2.3191489999999999E-2</v>
      </c>
      <c r="DD65">
        <v>2.3897560000000002E-2</v>
      </c>
      <c r="DE65">
        <v>1.1584819999999999E-2</v>
      </c>
      <c r="DF65">
        <v>7.5226399999999997E-3</v>
      </c>
      <c r="DG65">
        <v>1.8450729999999999E-2</v>
      </c>
      <c r="DH65">
        <v>3.5342099999999999E-3</v>
      </c>
      <c r="DI65">
        <v>3.1718040000000003E-2</v>
      </c>
      <c r="DJ65">
        <v>1.425886E-2</v>
      </c>
      <c r="DK65">
        <v>2.6010579999999998E-2</v>
      </c>
      <c r="DL65">
        <v>1.4522530000000001E-2</v>
      </c>
      <c r="DM65">
        <v>1.45714E-2</v>
      </c>
      <c r="DN65">
        <v>3.0703640000000001E-2</v>
      </c>
      <c r="DO65">
        <v>2.1564030000000001E-2</v>
      </c>
      <c r="DP65">
        <v>1.6289330000000001E-2</v>
      </c>
      <c r="DQ65">
        <v>2.4228699999999999E-2</v>
      </c>
      <c r="DR65">
        <v>2.6095170000000001E-2</v>
      </c>
      <c r="DS65">
        <v>1.384229E-2</v>
      </c>
      <c r="DT65">
        <v>1.8761030000000001E-2</v>
      </c>
      <c r="DU65">
        <v>1.8147320000000002E-2</v>
      </c>
      <c r="DV65">
        <v>2.558231E-2</v>
      </c>
      <c r="DW65">
        <v>1.4092260000000001E-2</v>
      </c>
      <c r="DX65">
        <v>8.4848800000000002E-3</v>
      </c>
      <c r="DY65">
        <v>3.7390329999999999E-2</v>
      </c>
      <c r="DZ65">
        <v>1.6372810000000002E-2</v>
      </c>
      <c r="EA65">
        <v>-4.3579300000000003E-3</v>
      </c>
      <c r="EB65">
        <v>2.9373300000000001E-2</v>
      </c>
      <c r="EC65">
        <v>6.9767300000000004E-3</v>
      </c>
      <c r="ED65">
        <v>2.7419349999999999E-2</v>
      </c>
      <c r="EE65">
        <v>1.46933E-3</v>
      </c>
      <c r="EF65">
        <v>1.339864E-2</v>
      </c>
      <c r="EG65">
        <v>1.498969E-2</v>
      </c>
      <c r="EH65">
        <v>-1.5789480000000002E-2</v>
      </c>
      <c r="EI65">
        <v>3.4692199999999999E-3</v>
      </c>
      <c r="EJ65">
        <v>2.8590109999999998E-2</v>
      </c>
      <c r="EK65">
        <v>5.83308E-3</v>
      </c>
      <c r="EL65">
        <v>2.6808229999999999E-2</v>
      </c>
      <c r="EM65">
        <v>2.7191750000000001E-2</v>
      </c>
      <c r="EN65">
        <v>1.020999E-2</v>
      </c>
      <c r="EO65">
        <v>-3.3884110000000002E-2</v>
      </c>
      <c r="EP65">
        <f t="shared" si="1"/>
        <v>0</v>
      </c>
      <c r="EQ65">
        <f>SUMIF('Mi portafolio'!$A$8:$A$19,$A65,'Mi portafolio'!$B$8:$B$19)</f>
        <v>0</v>
      </c>
    </row>
    <row r="66" spans="1:147" x14ac:dyDescent="0.25">
      <c r="A66" s="34" t="s">
        <v>142</v>
      </c>
      <c r="B66">
        <v>-1.3313400000000001E-3</v>
      </c>
      <c r="C66">
        <v>1.4544E-3</v>
      </c>
      <c r="D66">
        <v>4.1372400000000004E-3</v>
      </c>
      <c r="E66">
        <v>3.9018899999999999E-3</v>
      </c>
      <c r="F66">
        <v>-5.60393E-3</v>
      </c>
      <c r="G66">
        <v>4.1590500000000001E-3</v>
      </c>
      <c r="H66">
        <v>-5.3015099999999997E-3</v>
      </c>
      <c r="I66">
        <v>7.8432999999999997E-4</v>
      </c>
      <c r="J66">
        <v>-1.9202100000000001E-3</v>
      </c>
      <c r="K66">
        <v>-3.18908E-3</v>
      </c>
      <c r="L66">
        <v>1.2589299999999999E-3</v>
      </c>
      <c r="M66">
        <v>-7.4209200000000001E-3</v>
      </c>
      <c r="N66">
        <v>-1.3479900000000001E-3</v>
      </c>
      <c r="O66">
        <v>7.2849000000000004E-4</v>
      </c>
      <c r="P66">
        <v>-3.9060599999999998E-3</v>
      </c>
      <c r="Q66">
        <v>-4.3080000000000001E-4</v>
      </c>
      <c r="R66">
        <v>-6.8599000000000004E-3</v>
      </c>
      <c r="S66">
        <v>6.7399000000000001E-3</v>
      </c>
      <c r="T66">
        <v>2.5276999999999999E-3</v>
      </c>
      <c r="U66">
        <v>5.6422199999999999E-3</v>
      </c>
      <c r="V66">
        <v>2.8096000000000002E-4</v>
      </c>
      <c r="W66">
        <v>3.9874000000000002E-4</v>
      </c>
      <c r="X66">
        <v>5.3660999999999997E-4</v>
      </c>
      <c r="Y66">
        <v>2.0723400000000002E-3</v>
      </c>
      <c r="Z66">
        <v>-6.9659500000000003E-3</v>
      </c>
      <c r="AA66">
        <v>-6.3453999999999995E-4</v>
      </c>
      <c r="AB66">
        <v>1.50011E-3</v>
      </c>
      <c r="AC66">
        <v>3.3763500000000002E-3</v>
      </c>
      <c r="AD66">
        <v>2.8843300000000001E-3</v>
      </c>
      <c r="AE66">
        <v>6.4715700000000003E-3</v>
      </c>
      <c r="AF66">
        <v>1.1304750000000001E-2</v>
      </c>
      <c r="AG66">
        <v>-1.5407800000000001E-3</v>
      </c>
      <c r="AH66">
        <v>-8.1780900000000007E-3</v>
      </c>
      <c r="AI66">
        <v>-2.0775099999999999E-3</v>
      </c>
      <c r="AJ66">
        <v>1.297101E-2</v>
      </c>
      <c r="AK66">
        <v>6.3323700000000004E-3</v>
      </c>
      <c r="AL66">
        <v>-7.1944000000000001E-3</v>
      </c>
      <c r="AM66">
        <v>3.0895300000000001E-3</v>
      </c>
      <c r="AN66">
        <v>-4.7087600000000002E-3</v>
      </c>
      <c r="AO66">
        <v>-5.5833000000000002E-3</v>
      </c>
      <c r="AP66">
        <v>-6.6286000000000003E-4</v>
      </c>
      <c r="AQ66">
        <v>-2.0008600000000001E-3</v>
      </c>
      <c r="AR66">
        <v>7.4632500000000003E-3</v>
      </c>
      <c r="AS66">
        <v>7.1955500000000002E-3</v>
      </c>
      <c r="AT66">
        <v>-4.6838699999999997E-3</v>
      </c>
      <c r="AU66">
        <v>-6.0629200000000003E-3</v>
      </c>
      <c r="AV66">
        <v>1.0623189999999999E-2</v>
      </c>
      <c r="AW66">
        <v>6.8409600000000001E-3</v>
      </c>
      <c r="AX66">
        <v>6.9620899999999998E-3</v>
      </c>
      <c r="AY66">
        <v>-6.0608199999999997E-3</v>
      </c>
      <c r="AZ66">
        <v>9.6504799999999995E-3</v>
      </c>
      <c r="BA66">
        <v>2.9825300000000002E-3</v>
      </c>
      <c r="BB66">
        <v>1.2038000000000001E-3</v>
      </c>
      <c r="BC66">
        <v>6.5253899999999998E-3</v>
      </c>
      <c r="BD66">
        <v>7.9090299999999992E-3</v>
      </c>
      <c r="BE66">
        <v>1.5164600000000001E-3</v>
      </c>
      <c r="BF66">
        <v>1.3236400000000001E-3</v>
      </c>
      <c r="BG66">
        <v>-5.2351000000000003E-4</v>
      </c>
      <c r="BH66">
        <v>-6.5714900000000001E-3</v>
      </c>
      <c r="BI66">
        <v>7.00353E-3</v>
      </c>
      <c r="BJ66">
        <v>9.6807009999999999E-2</v>
      </c>
      <c r="BK66">
        <v>1.041636E-2</v>
      </c>
      <c r="BL66">
        <v>3.0228999999999998E-3</v>
      </c>
      <c r="BM66">
        <v>-1.07992E-2</v>
      </c>
      <c r="BN66">
        <v>-8.08065E-3</v>
      </c>
      <c r="BO66">
        <v>-6.4028000000000002E-4</v>
      </c>
      <c r="BP66">
        <v>-2.3279500000000001E-3</v>
      </c>
      <c r="BQ66">
        <v>2.3792100000000001E-3</v>
      </c>
      <c r="BR66">
        <v>6.1754799999999997E-3</v>
      </c>
      <c r="BS66">
        <v>8.0593899999999996E-3</v>
      </c>
      <c r="BT66">
        <v>4.9678500000000002E-3</v>
      </c>
      <c r="BU66">
        <v>1.58551E-3</v>
      </c>
      <c r="BV66">
        <v>4.2399400000000002E-3</v>
      </c>
      <c r="BW66">
        <v>1.1994499999999999E-3</v>
      </c>
      <c r="BX66">
        <v>-2.7772399999999998E-3</v>
      </c>
      <c r="BY66">
        <v>-1.407022E-2</v>
      </c>
      <c r="BZ66">
        <v>-6.64907E-3</v>
      </c>
      <c r="CA66">
        <v>8.9640599999999994E-3</v>
      </c>
      <c r="CB66">
        <v>2.9371800000000002E-3</v>
      </c>
      <c r="CC66">
        <v>9.3057999999999997E-4</v>
      </c>
      <c r="CD66">
        <v>-5.5616800000000003E-3</v>
      </c>
      <c r="CE66">
        <v>-6.13235E-3</v>
      </c>
      <c r="CF66">
        <v>4.3118699999999998E-3</v>
      </c>
      <c r="CG66">
        <v>-3.93371E-3</v>
      </c>
      <c r="CH66">
        <v>1.6534420000000001E-2</v>
      </c>
      <c r="CI66">
        <v>6.2958900000000002E-3</v>
      </c>
      <c r="CJ66">
        <v>-5.5501999999999999E-3</v>
      </c>
      <c r="CK66">
        <v>-5.6474699999999999E-3</v>
      </c>
      <c r="CL66">
        <v>-1.5438749999999999E-2</v>
      </c>
      <c r="CM66">
        <v>-8.1295699999999992E-3</v>
      </c>
      <c r="CN66">
        <v>3.5489499999999999E-3</v>
      </c>
      <c r="CO66">
        <v>-8.2964200000000005E-3</v>
      </c>
      <c r="CP66">
        <v>-6.50536E-3</v>
      </c>
      <c r="CQ66">
        <v>-2.4423399999999999E-3</v>
      </c>
      <c r="CR66">
        <v>4.14271E-3</v>
      </c>
      <c r="CS66">
        <v>8.2583199999999995E-3</v>
      </c>
      <c r="CT66">
        <v>-3.43897E-3</v>
      </c>
      <c r="CU66">
        <v>-2.5975E-3</v>
      </c>
      <c r="CV66">
        <v>-8.0556299999999994E-3</v>
      </c>
      <c r="CW66">
        <v>6.97446E-3</v>
      </c>
      <c r="CX66">
        <v>2.1532000000000001E-3</v>
      </c>
      <c r="CY66">
        <v>-4.9327099999999999E-3</v>
      </c>
      <c r="CZ66">
        <v>-2.8837899999999998E-3</v>
      </c>
      <c r="DA66">
        <v>-1.486116E-2</v>
      </c>
      <c r="DB66">
        <v>6.5811799999999998E-3</v>
      </c>
      <c r="DC66">
        <v>1.8161440000000001E-2</v>
      </c>
      <c r="DD66">
        <v>-3.5603000000000002E-4</v>
      </c>
      <c r="DE66">
        <v>2.4706099999999998E-3</v>
      </c>
      <c r="DF66">
        <v>-8.9097800000000008E-3</v>
      </c>
      <c r="DG66">
        <v>2.0283639999999999E-2</v>
      </c>
      <c r="DH66">
        <v>8.3990899999999997E-3</v>
      </c>
      <c r="DI66">
        <v>-8.6372500000000008E-3</v>
      </c>
      <c r="DJ66">
        <v>-1.0637600000000001E-2</v>
      </c>
      <c r="DK66">
        <v>-2.1852E-3</v>
      </c>
      <c r="DL66">
        <v>2.6186210000000001E-2</v>
      </c>
      <c r="DM66">
        <v>-1.0360619999999999E-2</v>
      </c>
      <c r="DN66">
        <v>-1.711495E-2</v>
      </c>
      <c r="DO66">
        <v>8.2278799999999999E-3</v>
      </c>
      <c r="DP66">
        <v>-1.086414E-2</v>
      </c>
      <c r="DQ66">
        <v>1.7122000000000001E-3</v>
      </c>
      <c r="DR66">
        <v>1.43169E-3</v>
      </c>
      <c r="DS66">
        <v>-1.7476889999999998E-2</v>
      </c>
      <c r="DT66">
        <v>-3.9380700000000001E-3</v>
      </c>
      <c r="DU66">
        <v>2.54397E-3</v>
      </c>
      <c r="DV66">
        <v>-1.398085E-2</v>
      </c>
      <c r="DW66">
        <v>-1.1547699999999999E-2</v>
      </c>
      <c r="DX66">
        <v>1.589635E-2</v>
      </c>
      <c r="DY66">
        <v>-4.8617E-3</v>
      </c>
      <c r="DZ66">
        <v>-5.0460799999999997E-3</v>
      </c>
      <c r="EA66">
        <v>1.3509810000000001E-2</v>
      </c>
      <c r="EB66">
        <v>-1.3000599999999999E-2</v>
      </c>
      <c r="EC66">
        <v>-6.5195899999999996E-3</v>
      </c>
      <c r="ED66">
        <v>-4.4158000000000001E-3</v>
      </c>
      <c r="EE66">
        <v>8.0545200000000008E-3</v>
      </c>
      <c r="EF66">
        <v>1.125263E-2</v>
      </c>
      <c r="EG66">
        <v>1.471256E-2</v>
      </c>
      <c r="EH66">
        <v>-2.7265890000000001E-2</v>
      </c>
      <c r="EI66">
        <v>2.066057E-2</v>
      </c>
      <c r="EJ66">
        <v>-2.4677000000000002E-3</v>
      </c>
      <c r="EK66">
        <v>1.639179E-2</v>
      </c>
      <c r="EL66">
        <v>3.117108E-2</v>
      </c>
      <c r="EM66">
        <v>1.1003239999999999E-2</v>
      </c>
      <c r="EN66">
        <v>1.3890059999999999E-2</v>
      </c>
      <c r="EO66">
        <v>-2.8616929999999999E-2</v>
      </c>
      <c r="EP66">
        <f t="shared" si="1"/>
        <v>0</v>
      </c>
      <c r="EQ66">
        <f>SUMIF('Mi portafolio'!$A$8:$A$19,$A66,'Mi portafolio'!$B$8:$B$19)</f>
        <v>0</v>
      </c>
    </row>
    <row r="67" spans="1:147" x14ac:dyDescent="0.25">
      <c r="A67" s="34" t="s">
        <v>143</v>
      </c>
      <c r="B67">
        <v>1.29733E-3</v>
      </c>
      <c r="C67">
        <v>3.1842099999999998E-3</v>
      </c>
      <c r="D67">
        <v>1.36883E-2</v>
      </c>
      <c r="E67">
        <v>1.1568999999999999E-2</v>
      </c>
      <c r="F67">
        <v>-3.2269400000000002E-3</v>
      </c>
      <c r="G67">
        <v>1.1051729999999999E-2</v>
      </c>
      <c r="H67">
        <v>1.2795229999999999E-2</v>
      </c>
      <c r="I67">
        <v>5.0874000000000004E-4</v>
      </c>
      <c r="J67">
        <v>-3.9475700000000001E-3</v>
      </c>
      <c r="K67">
        <v>1.9985699999999999E-3</v>
      </c>
      <c r="L67">
        <v>1.3504540000000001E-2</v>
      </c>
      <c r="M67">
        <v>1.2743340000000001E-2</v>
      </c>
      <c r="N67">
        <v>1.27753E-3</v>
      </c>
      <c r="O67">
        <v>1.7215999999999999E-2</v>
      </c>
      <c r="P67">
        <v>4.7090999999999999E-3</v>
      </c>
      <c r="Q67">
        <v>1.210163E-2</v>
      </c>
      <c r="R67">
        <v>2.2152000000000001E-3</v>
      </c>
      <c r="S67">
        <v>1.576936E-2</v>
      </c>
      <c r="T67">
        <v>1.386309E-2</v>
      </c>
      <c r="U67">
        <v>1.7749879999999999E-2</v>
      </c>
      <c r="V67">
        <v>1.363118E-2</v>
      </c>
      <c r="W67">
        <v>1.176662E-2</v>
      </c>
      <c r="X67">
        <v>1.069146E-2</v>
      </c>
      <c r="Y67">
        <v>7.84405E-3</v>
      </c>
      <c r="Z67">
        <v>2.252846E-2</v>
      </c>
      <c r="AA67">
        <v>1.870925E-2</v>
      </c>
      <c r="AB67">
        <v>5.68047E-3</v>
      </c>
      <c r="AC67">
        <v>1.066373E-2</v>
      </c>
      <c r="AD67">
        <v>1.6544960000000001E-2</v>
      </c>
      <c r="AE67">
        <v>5.3320119999999999E-2</v>
      </c>
      <c r="AF67">
        <v>3.4207509999999997E-2</v>
      </c>
      <c r="AG67">
        <v>-2.18345E-3</v>
      </c>
      <c r="AH67">
        <v>-3.5159100000000001E-3</v>
      </c>
      <c r="AI67">
        <v>-1.5691199999999999E-2</v>
      </c>
      <c r="AJ67">
        <v>1.6259969999999999E-2</v>
      </c>
      <c r="AK67">
        <v>2.4588349999999998E-2</v>
      </c>
      <c r="AL67">
        <v>4.0032999999999996E-3</v>
      </c>
      <c r="AM67">
        <v>2.461195E-2</v>
      </c>
      <c r="AN67">
        <v>1.149092E-2</v>
      </c>
      <c r="AO67">
        <v>-1.4144100000000001E-3</v>
      </c>
      <c r="AP67">
        <v>5.3548199999999997E-3</v>
      </c>
      <c r="AQ67">
        <v>-1.253425E-2</v>
      </c>
      <c r="AR67">
        <v>1.7487809999999999E-2</v>
      </c>
      <c r="AS67">
        <v>1.665225E-2</v>
      </c>
      <c r="AT67">
        <v>1.503558E-2</v>
      </c>
      <c r="AU67">
        <v>-6.3179000000000002E-4</v>
      </c>
      <c r="AV67">
        <v>1.924915E-2</v>
      </c>
      <c r="AW67">
        <v>1.806249E-2</v>
      </c>
      <c r="AX67">
        <v>4.9319699999999999E-3</v>
      </c>
      <c r="AY67">
        <v>7.5416299999999997E-3</v>
      </c>
      <c r="AZ67">
        <v>6.4704059999999994E-2</v>
      </c>
      <c r="BA67">
        <v>1.4330209999999999E-2</v>
      </c>
      <c r="BB67">
        <v>2.5464870000000001E-2</v>
      </c>
      <c r="BC67">
        <v>2.2630890000000001E-2</v>
      </c>
      <c r="BD67">
        <v>3.2328040000000002E-2</v>
      </c>
      <c r="BE67">
        <v>3.7305699999999999E-3</v>
      </c>
      <c r="BF67">
        <v>3.2080850000000001E-2</v>
      </c>
      <c r="BG67">
        <v>9.6481299999999996E-3</v>
      </c>
      <c r="BH67">
        <v>1.5375460000000001E-2</v>
      </c>
      <c r="BI67">
        <v>1.5374550000000001E-2</v>
      </c>
      <c r="BJ67">
        <v>1.041636E-2</v>
      </c>
      <c r="BK67">
        <v>0.10420363000000001</v>
      </c>
      <c r="BL67">
        <v>1.049019E-2</v>
      </c>
      <c r="BM67">
        <v>4.8962500000000004E-3</v>
      </c>
      <c r="BN67">
        <v>2.7925599999999999E-3</v>
      </c>
      <c r="BO67">
        <v>1.0631450000000001E-2</v>
      </c>
      <c r="BP67">
        <v>4.6767500000000004E-3</v>
      </c>
      <c r="BQ67">
        <v>3.463695E-2</v>
      </c>
      <c r="BR67">
        <v>1.768256E-2</v>
      </c>
      <c r="BS67">
        <v>-1.3293569999999999E-2</v>
      </c>
      <c r="BT67">
        <v>1.8754219999999999E-2</v>
      </c>
      <c r="BU67">
        <v>2.409681E-2</v>
      </c>
      <c r="BV67">
        <v>6.2456899999999999E-3</v>
      </c>
      <c r="BW67">
        <v>7.1738499999999998E-3</v>
      </c>
      <c r="BX67">
        <v>1.9882E-4</v>
      </c>
      <c r="BY67">
        <v>6.5352199999999996E-3</v>
      </c>
      <c r="BZ67">
        <v>1.1668039999999999E-2</v>
      </c>
      <c r="CA67">
        <v>2.4576830000000001E-2</v>
      </c>
      <c r="CB67">
        <v>2.296E-4</v>
      </c>
      <c r="CC67">
        <v>9.12374E-3</v>
      </c>
      <c r="CD67">
        <v>1.099172E-2</v>
      </c>
      <c r="CE67">
        <v>2.2749200000000001E-2</v>
      </c>
      <c r="CF67">
        <v>-1.0628240000000001E-2</v>
      </c>
      <c r="CG67">
        <v>1.0460489999999999E-2</v>
      </c>
      <c r="CH67">
        <v>2.9350060000000001E-2</v>
      </c>
      <c r="CI67">
        <v>-1.604423E-2</v>
      </c>
      <c r="CJ67">
        <v>-1.3347049999999999E-2</v>
      </c>
      <c r="CK67">
        <v>3.90654E-3</v>
      </c>
      <c r="CL67">
        <v>7.9484199999999994E-3</v>
      </c>
      <c r="CM67">
        <v>1.2539399999999999E-2</v>
      </c>
      <c r="CN67">
        <v>2.000219E-2</v>
      </c>
      <c r="CO67">
        <v>2.2609009999999999E-2</v>
      </c>
      <c r="CP67">
        <v>7.4336200000000002E-3</v>
      </c>
      <c r="CQ67">
        <v>2.7999759999999999E-2</v>
      </c>
      <c r="CR67">
        <v>2.7441460000000001E-2</v>
      </c>
      <c r="CS67">
        <v>3.5220059999999997E-2</v>
      </c>
      <c r="CT67">
        <v>1.542527E-2</v>
      </c>
      <c r="CU67">
        <v>1.5971019999999999E-2</v>
      </c>
      <c r="CV67">
        <v>2.5374359999999999E-2</v>
      </c>
      <c r="CW67">
        <v>1.5720189999999998E-2</v>
      </c>
      <c r="CX67">
        <v>2.303666E-2</v>
      </c>
      <c r="CY67">
        <v>2.9931059999999999E-2</v>
      </c>
      <c r="CZ67">
        <v>6.9164300000000003E-3</v>
      </c>
      <c r="DA67">
        <v>6.0435000000000003E-4</v>
      </c>
      <c r="DB67">
        <v>2.865034E-2</v>
      </c>
      <c r="DC67">
        <v>5.3505549999999999E-2</v>
      </c>
      <c r="DD67">
        <v>2.2529770000000001E-2</v>
      </c>
      <c r="DE67">
        <v>2.6036299999999998E-2</v>
      </c>
      <c r="DF67">
        <v>-2.0047789999999999E-2</v>
      </c>
      <c r="DG67">
        <v>2.8720639999999999E-2</v>
      </c>
      <c r="DH67">
        <v>3.0368409999999998E-2</v>
      </c>
      <c r="DI67">
        <v>3.7411769999999997E-2</v>
      </c>
      <c r="DJ67">
        <v>2.1983039999999999E-2</v>
      </c>
      <c r="DK67">
        <v>3.735666E-2</v>
      </c>
      <c r="DL67">
        <v>2.80883E-2</v>
      </c>
      <c r="DM67">
        <v>3.4652189999999999E-2</v>
      </c>
      <c r="DN67">
        <v>-1.2963229999999999E-2</v>
      </c>
      <c r="DO67">
        <v>3.2053379999999999E-2</v>
      </c>
      <c r="DP67">
        <v>2.3381450000000002E-2</v>
      </c>
      <c r="DQ67">
        <v>1.7976780000000001E-2</v>
      </c>
      <c r="DR67">
        <v>1.4077569999999999E-2</v>
      </c>
      <c r="DS67">
        <v>-5.3662000000000002E-4</v>
      </c>
      <c r="DT67">
        <v>-5.1812200000000003E-3</v>
      </c>
      <c r="DU67">
        <v>3.1123749999999999E-2</v>
      </c>
      <c r="DV67">
        <v>9.2090799999999997E-3</v>
      </c>
      <c r="DW67">
        <v>1.7355889999999999E-2</v>
      </c>
      <c r="DX67">
        <v>4.4169899999999998E-2</v>
      </c>
      <c r="DY67">
        <v>2.8214679999999999E-2</v>
      </c>
      <c r="DZ67">
        <v>9.2348099999999995E-3</v>
      </c>
      <c r="EA67">
        <v>4.2055250000000002E-2</v>
      </c>
      <c r="EB67">
        <v>3.7217510000000002E-2</v>
      </c>
      <c r="EC67">
        <v>5.3031500000000004E-3</v>
      </c>
      <c r="ED67">
        <v>4.2296239999999999E-2</v>
      </c>
      <c r="EE67">
        <v>5.2375320000000003E-2</v>
      </c>
      <c r="EF67">
        <v>2.7721559999999999E-2</v>
      </c>
      <c r="EG67">
        <v>4.1205510000000001E-2</v>
      </c>
      <c r="EH67">
        <v>-1.4361530000000001E-2</v>
      </c>
      <c r="EI67">
        <v>4.2789199999999999E-2</v>
      </c>
      <c r="EJ67">
        <v>5.0773949999999998E-2</v>
      </c>
      <c r="EK67">
        <v>4.1587079999999998E-2</v>
      </c>
      <c r="EL67">
        <v>5.8911079999999998E-2</v>
      </c>
      <c r="EM67">
        <v>-2.338867E-2</v>
      </c>
      <c r="EN67">
        <v>3.1510259999999998E-2</v>
      </c>
      <c r="EO67">
        <v>-6.3150330000000005E-2</v>
      </c>
      <c r="EP67">
        <f t="shared" si="1"/>
        <v>0</v>
      </c>
      <c r="EQ67">
        <f>SUMIF('Mi portafolio'!$A$8:$A$19,$A67,'Mi portafolio'!$B$8:$B$19)</f>
        <v>0</v>
      </c>
    </row>
    <row r="68" spans="1:147" x14ac:dyDescent="0.25">
      <c r="A68" s="34" t="s">
        <v>144</v>
      </c>
      <c r="B68">
        <v>4.4216500000000001E-3</v>
      </c>
      <c r="C68">
        <v>-3.7766999999999998E-4</v>
      </c>
      <c r="D68">
        <v>-3.3059299999999999E-3</v>
      </c>
      <c r="E68">
        <v>6.56173E-3</v>
      </c>
      <c r="F68">
        <v>6.8588E-3</v>
      </c>
      <c r="G68">
        <v>5.3574299999999998E-3</v>
      </c>
      <c r="H68">
        <v>8.5150599999999996E-3</v>
      </c>
      <c r="I68">
        <v>7.7217500000000003E-3</v>
      </c>
      <c r="J68">
        <v>1.1717699999999999E-2</v>
      </c>
      <c r="K68">
        <v>1.3525560000000001E-2</v>
      </c>
      <c r="L68">
        <v>5.8681699999999998E-3</v>
      </c>
      <c r="M68">
        <v>2.5517649999999999E-2</v>
      </c>
      <c r="N68">
        <v>1.431266E-2</v>
      </c>
      <c r="O68">
        <v>1.1051750000000001E-2</v>
      </c>
      <c r="P68">
        <v>-1.5101299999999999E-3</v>
      </c>
      <c r="Q68">
        <v>2.85981E-3</v>
      </c>
      <c r="R68">
        <v>9.0343100000000003E-3</v>
      </c>
      <c r="S68">
        <v>4.8977500000000002E-3</v>
      </c>
      <c r="T68">
        <v>2.1925500000000001E-2</v>
      </c>
      <c r="U68">
        <v>1.378564E-2</v>
      </c>
      <c r="V68">
        <v>1.133937E-2</v>
      </c>
      <c r="W68">
        <v>3.66417E-3</v>
      </c>
      <c r="X68">
        <v>2.4980260000000001E-2</v>
      </c>
      <c r="Y68">
        <v>1.8415199999999999E-3</v>
      </c>
      <c r="Z68">
        <v>1.402609E-2</v>
      </c>
      <c r="AA68">
        <v>8.9418599999999994E-3</v>
      </c>
      <c r="AB68">
        <v>4.2376000000000002E-4</v>
      </c>
      <c r="AC68">
        <v>-5.2981999999999997E-4</v>
      </c>
      <c r="AD68">
        <v>1.3063699999999999E-2</v>
      </c>
      <c r="AE68">
        <v>1.229602E-2</v>
      </c>
      <c r="AF68">
        <v>1.048733E-2</v>
      </c>
      <c r="AG68">
        <v>4.3687500000000002E-3</v>
      </c>
      <c r="AH68">
        <v>3.1941299999999999E-3</v>
      </c>
      <c r="AI68">
        <v>-3.85295E-3</v>
      </c>
      <c r="AJ68">
        <v>1.034059E-2</v>
      </c>
      <c r="AK68">
        <v>1.761602E-2</v>
      </c>
      <c r="AL68">
        <v>1.5689950000000001E-2</v>
      </c>
      <c r="AM68">
        <v>8.3706700000000002E-3</v>
      </c>
      <c r="AN68">
        <v>2.544213E-2</v>
      </c>
      <c r="AO68">
        <v>1.317245E-2</v>
      </c>
      <c r="AP68">
        <v>1.492869E-2</v>
      </c>
      <c r="AQ68">
        <v>-4.1866000000000004E-3</v>
      </c>
      <c r="AR68">
        <v>2.6639090000000001E-2</v>
      </c>
      <c r="AS68">
        <v>2.288051E-2</v>
      </c>
      <c r="AT68">
        <v>2.282499E-2</v>
      </c>
      <c r="AU68">
        <v>6.4301000000000002E-3</v>
      </c>
      <c r="AV68">
        <v>1.0313930000000001E-2</v>
      </c>
      <c r="AW68">
        <v>2.2958389999999999E-2</v>
      </c>
      <c r="AX68">
        <v>1.158177E-2</v>
      </c>
      <c r="AY68">
        <v>1.504165E-2</v>
      </c>
      <c r="AZ68">
        <v>1.561571E-2</v>
      </c>
      <c r="BA68">
        <v>3.277687E-2</v>
      </c>
      <c r="BB68">
        <v>3.4212029999999997E-2</v>
      </c>
      <c r="BC68">
        <v>4.7438999999999997E-3</v>
      </c>
      <c r="BD68">
        <v>2.3007360000000001E-2</v>
      </c>
      <c r="BE68">
        <v>1.637578E-2</v>
      </c>
      <c r="BF68">
        <v>2.2623790000000001E-2</v>
      </c>
      <c r="BG68">
        <v>2.9062500000000002E-2</v>
      </c>
      <c r="BH68">
        <v>1.1275149999999999E-2</v>
      </c>
      <c r="BI68">
        <v>1.30058E-2</v>
      </c>
      <c r="BJ68">
        <v>3.0228999999999998E-3</v>
      </c>
      <c r="BK68">
        <v>1.049019E-2</v>
      </c>
      <c r="BL68">
        <v>0.10197523999999999</v>
      </c>
      <c r="BM68">
        <v>2.0358979999999999E-2</v>
      </c>
      <c r="BN68">
        <v>1.201759E-2</v>
      </c>
      <c r="BO68">
        <v>1.766618E-2</v>
      </c>
      <c r="BP68">
        <v>2.71623E-3</v>
      </c>
      <c r="BQ68">
        <v>3.540227E-2</v>
      </c>
      <c r="BR68">
        <v>2.4627940000000001E-2</v>
      </c>
      <c r="BS68">
        <v>-2.0976599999999999E-3</v>
      </c>
      <c r="BT68">
        <v>3.8073929999999999E-2</v>
      </c>
      <c r="BU68">
        <v>1.546384E-2</v>
      </c>
      <c r="BV68">
        <v>1.9727580000000002E-2</v>
      </c>
      <c r="BW68">
        <v>2.2882489999999998E-2</v>
      </c>
      <c r="BX68">
        <v>1.311699E-2</v>
      </c>
      <c r="BY68">
        <v>3.9936220000000001E-2</v>
      </c>
      <c r="BZ68">
        <v>4.1127919999999998E-2</v>
      </c>
      <c r="CA68">
        <v>6.5788799999999996E-3</v>
      </c>
      <c r="CB68">
        <v>-3.1761799999999998E-3</v>
      </c>
      <c r="CC68">
        <v>1.477154E-2</v>
      </c>
      <c r="CD68">
        <v>2.2146699999999998E-2</v>
      </c>
      <c r="CE68">
        <v>2.6785199999999999E-2</v>
      </c>
      <c r="CF68">
        <v>-2.9107299999999998E-3</v>
      </c>
      <c r="CG68">
        <v>2.6352049999999998E-2</v>
      </c>
      <c r="CH68">
        <v>5.2776799999999999E-2</v>
      </c>
      <c r="CI68">
        <v>-7.2004999999999997E-4</v>
      </c>
      <c r="CJ68">
        <v>2.2028500000000001E-3</v>
      </c>
      <c r="CK68">
        <v>1.9400669999999998E-2</v>
      </c>
      <c r="CL68">
        <v>3.5032609999999999E-2</v>
      </c>
      <c r="CM68">
        <v>3.9008540000000001E-2</v>
      </c>
      <c r="CN68">
        <v>7.9755999999999994E-3</v>
      </c>
      <c r="CO68">
        <v>1.3041179999999999E-2</v>
      </c>
      <c r="CP68">
        <v>2.1051179999999999E-2</v>
      </c>
      <c r="CQ68">
        <v>4.2652320000000001E-2</v>
      </c>
      <c r="CR68">
        <v>5.0308770000000003E-2</v>
      </c>
      <c r="CS68">
        <v>5.018297E-2</v>
      </c>
      <c r="CT68">
        <v>3.0943430000000001E-2</v>
      </c>
      <c r="CU68">
        <v>3.3889080000000002E-2</v>
      </c>
      <c r="CV68">
        <v>1.522958E-2</v>
      </c>
      <c r="CW68">
        <v>2.5360899999999999E-2</v>
      </c>
      <c r="CX68">
        <v>4.4030399999999997E-2</v>
      </c>
      <c r="CY68">
        <v>4.7707970000000002E-2</v>
      </c>
      <c r="CZ68">
        <v>1.272888E-2</v>
      </c>
      <c r="DA68">
        <v>1.332915E-2</v>
      </c>
      <c r="DB68">
        <v>3.8053339999999998E-2</v>
      </c>
      <c r="DC68">
        <v>3.5862570000000003E-2</v>
      </c>
      <c r="DD68">
        <v>3.3269939999999998E-2</v>
      </c>
      <c r="DE68">
        <v>8.0575610000000006E-2</v>
      </c>
      <c r="DF68">
        <v>2.1040999999999998E-3</v>
      </c>
      <c r="DG68">
        <v>7.0223889999999997E-2</v>
      </c>
      <c r="DH68">
        <v>3.4566960000000001E-2</v>
      </c>
      <c r="DI68">
        <v>4.2254079999999999E-2</v>
      </c>
      <c r="DJ68">
        <v>5.7972049999999997E-2</v>
      </c>
      <c r="DK68">
        <v>5.6874429999999997E-2</v>
      </c>
      <c r="DL68">
        <v>4.543523E-2</v>
      </c>
      <c r="DM68">
        <v>6.0770909999999997E-2</v>
      </c>
      <c r="DN68">
        <v>3.6388249999999997E-2</v>
      </c>
      <c r="DO68">
        <v>6.1564050000000002E-2</v>
      </c>
      <c r="DP68">
        <v>5.9132249999999997E-2</v>
      </c>
      <c r="DQ68">
        <v>4.856369E-2</v>
      </c>
      <c r="DR68">
        <v>7.9356389999999999E-2</v>
      </c>
      <c r="DS68">
        <v>3.5459300000000001E-3</v>
      </c>
      <c r="DT68">
        <v>3.6782099999999998E-2</v>
      </c>
      <c r="DU68">
        <v>4.3402820000000002E-2</v>
      </c>
      <c r="DV68">
        <v>1.3951720000000001E-2</v>
      </c>
      <c r="DW68">
        <v>2.1782369999999999E-2</v>
      </c>
      <c r="DX68">
        <v>6.9273070000000006E-2</v>
      </c>
      <c r="DY68">
        <v>3.845291E-2</v>
      </c>
      <c r="DZ68">
        <v>2.4879769999999999E-2</v>
      </c>
      <c r="EA68">
        <v>6.5292879999999998E-2</v>
      </c>
      <c r="EB68">
        <v>3.621721E-2</v>
      </c>
      <c r="EC68">
        <v>3.0859580000000001E-2</v>
      </c>
      <c r="ED68">
        <v>3.4178890000000003E-2</v>
      </c>
      <c r="EE68">
        <v>8.5815500000000003E-2</v>
      </c>
      <c r="EF68">
        <v>0.10478648</v>
      </c>
      <c r="EG68">
        <v>8.4434380000000003E-2</v>
      </c>
      <c r="EH68">
        <v>5.3022199999999998E-3</v>
      </c>
      <c r="EI68">
        <v>8.3887349999999999E-2</v>
      </c>
      <c r="EJ68">
        <v>3.9649669999999998E-2</v>
      </c>
      <c r="EK68">
        <v>8.3175669999999993E-2</v>
      </c>
      <c r="EL68">
        <v>9.8521810000000001E-2</v>
      </c>
      <c r="EM68">
        <v>3.1324270000000001E-2</v>
      </c>
      <c r="EN68">
        <v>5.1380040000000002E-2</v>
      </c>
      <c r="EO68">
        <v>8.0943100000000004E-2</v>
      </c>
      <c r="EP68">
        <f t="shared" si="1"/>
        <v>0</v>
      </c>
      <c r="EQ68">
        <f>SUMIF('Mi portafolio'!$A$8:$A$19,$A68,'Mi portafolio'!$B$8:$B$19)</f>
        <v>0</v>
      </c>
    </row>
    <row r="69" spans="1:147" x14ac:dyDescent="0.25">
      <c r="A69" s="34" t="s">
        <v>145</v>
      </c>
      <c r="B69">
        <v>8.9044699999999994E-3</v>
      </c>
      <c r="C69">
        <v>1.7370700000000001E-3</v>
      </c>
      <c r="D69">
        <v>3.2041700000000001E-3</v>
      </c>
      <c r="E69">
        <v>1.4288779999999999E-2</v>
      </c>
      <c r="F69">
        <v>2.335831E-2</v>
      </c>
      <c r="G69">
        <v>-5.1192599999999996E-3</v>
      </c>
      <c r="H69">
        <v>3.3242900000000001E-3</v>
      </c>
      <c r="I69">
        <v>2.254832E-2</v>
      </c>
      <c r="J69">
        <v>1.3506270000000001E-2</v>
      </c>
      <c r="K69">
        <v>2.262687E-2</v>
      </c>
      <c r="L69">
        <v>8.8694599999999992E-3</v>
      </c>
      <c r="M69">
        <v>2.242369E-2</v>
      </c>
      <c r="N69">
        <v>1.7421099999999998E-2</v>
      </c>
      <c r="O69">
        <v>3.5018499999999999E-3</v>
      </c>
      <c r="P69">
        <v>2.895787E-2</v>
      </c>
      <c r="Q69">
        <v>3.6592999999999999E-4</v>
      </c>
      <c r="R69">
        <v>3.0221000000000001E-2</v>
      </c>
      <c r="S69">
        <v>8.0798499999999995E-3</v>
      </c>
      <c r="T69">
        <v>1.559583E-2</v>
      </c>
      <c r="U69">
        <v>1.200352E-2</v>
      </c>
      <c r="V69">
        <v>8.6279200000000007E-3</v>
      </c>
      <c r="W69">
        <v>6.2414300000000001E-3</v>
      </c>
      <c r="X69">
        <v>1.4458220000000001E-2</v>
      </c>
      <c r="Y69">
        <v>1.531333E-2</v>
      </c>
      <c r="Z69">
        <v>2.36075E-3</v>
      </c>
      <c r="AA69">
        <v>1.3654390000000001E-2</v>
      </c>
      <c r="AB69">
        <v>1.7742069999999999E-2</v>
      </c>
      <c r="AC69">
        <v>-2.0290600000000001E-3</v>
      </c>
      <c r="AD69">
        <v>1.76542E-3</v>
      </c>
      <c r="AE69">
        <v>2.6054300000000002E-3</v>
      </c>
      <c r="AF69">
        <v>7.1885999999999999E-4</v>
      </c>
      <c r="AG69">
        <v>2.5417459999999999E-2</v>
      </c>
      <c r="AH69">
        <v>2.824072E-2</v>
      </c>
      <c r="AI69">
        <v>8.7735899999999995E-3</v>
      </c>
      <c r="AJ69">
        <v>-7.2420200000000001E-3</v>
      </c>
      <c r="AK69">
        <v>3.7483899999999999E-3</v>
      </c>
      <c r="AL69">
        <v>2.0485199999999999E-2</v>
      </c>
      <c r="AM69">
        <v>6.3691700000000004E-3</v>
      </c>
      <c r="AN69">
        <v>3.750742E-2</v>
      </c>
      <c r="AO69">
        <v>1.857294E-2</v>
      </c>
      <c r="AP69">
        <v>2.4728610000000002E-2</v>
      </c>
      <c r="AQ69">
        <v>4.4176099999999998E-3</v>
      </c>
      <c r="AR69">
        <v>1.8782449999999999E-2</v>
      </c>
      <c r="AS69">
        <v>3.2241599999999998E-3</v>
      </c>
      <c r="AT69">
        <v>2.318802E-2</v>
      </c>
      <c r="AU69">
        <v>3.1152369999999999E-2</v>
      </c>
      <c r="AV69">
        <v>1.1141119999999999E-2</v>
      </c>
      <c r="AW69">
        <v>2.2137300000000001E-3</v>
      </c>
      <c r="AX69">
        <v>2.6001320000000001E-2</v>
      </c>
      <c r="AY69">
        <v>3.7910899999999997E-2</v>
      </c>
      <c r="AZ69">
        <v>9.8056900000000006E-3</v>
      </c>
      <c r="BA69">
        <v>2.62066E-2</v>
      </c>
      <c r="BB69">
        <v>1.350754E-2</v>
      </c>
      <c r="BC69">
        <v>-6.3572699999999999E-3</v>
      </c>
      <c r="BD69">
        <v>3.8655999999999999E-4</v>
      </c>
      <c r="BE69">
        <v>2.8063899999999999E-2</v>
      </c>
      <c r="BF69">
        <v>1.3948700000000001E-3</v>
      </c>
      <c r="BG69">
        <v>1.8411250000000001E-2</v>
      </c>
      <c r="BH69">
        <v>1.21555E-2</v>
      </c>
      <c r="BI69">
        <v>9.1111999999999999E-3</v>
      </c>
      <c r="BJ69">
        <v>-1.07992E-2</v>
      </c>
      <c r="BK69">
        <v>4.8962500000000004E-3</v>
      </c>
      <c r="BL69">
        <v>2.0358979999999999E-2</v>
      </c>
      <c r="BM69">
        <v>0.10443234999999999</v>
      </c>
      <c r="BN69">
        <v>1.7879570000000001E-2</v>
      </c>
      <c r="BO69">
        <v>1.3734100000000001E-2</v>
      </c>
      <c r="BP69">
        <v>1.3416930000000001E-2</v>
      </c>
      <c r="BQ69">
        <v>9.9286600000000006E-3</v>
      </c>
      <c r="BR69">
        <v>3.4484380000000002E-2</v>
      </c>
      <c r="BS69">
        <v>5.2955700000000003E-3</v>
      </c>
      <c r="BT69">
        <v>1.3968990000000001E-2</v>
      </c>
      <c r="BU69">
        <v>7.8388299999999998E-3</v>
      </c>
      <c r="BV69">
        <v>2.1373E-2</v>
      </c>
      <c r="BW69">
        <v>2.5896260000000001E-2</v>
      </c>
      <c r="BX69">
        <v>1.820399E-2</v>
      </c>
      <c r="BY69">
        <v>3.5414389999999997E-2</v>
      </c>
      <c r="BZ69">
        <v>1.9751600000000001E-2</v>
      </c>
      <c r="CA69">
        <v>2.1323599999999998E-3</v>
      </c>
      <c r="CB69">
        <v>4.1260000000000001E-5</v>
      </c>
      <c r="CC69">
        <v>1.7843729999999999E-2</v>
      </c>
      <c r="CD69">
        <v>2.9603230000000001E-2</v>
      </c>
      <c r="CE69">
        <v>1.551955E-2</v>
      </c>
      <c r="CF69">
        <v>5.1368000000000004E-3</v>
      </c>
      <c r="CG69">
        <v>3.4846809999999999E-2</v>
      </c>
      <c r="CH69">
        <v>3.0017500000000001E-3</v>
      </c>
      <c r="CI69">
        <v>7.6545700000000003E-3</v>
      </c>
      <c r="CJ69">
        <v>2.2931360000000001E-2</v>
      </c>
      <c r="CK69">
        <v>4.8435779999999998E-2</v>
      </c>
      <c r="CL69">
        <v>3.4091000000000003E-2</v>
      </c>
      <c r="CM69">
        <v>4.0693700000000001E-3</v>
      </c>
      <c r="CN69">
        <v>-5.6291600000000002E-3</v>
      </c>
      <c r="CO69">
        <v>1.7349340000000001E-2</v>
      </c>
      <c r="CP69">
        <v>1.8926020000000002E-2</v>
      </c>
      <c r="CQ69">
        <v>4.2378039999999999E-2</v>
      </c>
      <c r="CR69">
        <v>8.0576399999999996E-3</v>
      </c>
      <c r="CS69">
        <v>1.19177E-2</v>
      </c>
      <c r="CT69">
        <v>2.299064E-2</v>
      </c>
      <c r="CU69">
        <v>1.326215E-2</v>
      </c>
      <c r="CV69">
        <v>1.590948E-2</v>
      </c>
      <c r="CW69">
        <v>2.6434909999999999E-2</v>
      </c>
      <c r="CX69">
        <v>1.841127E-2</v>
      </c>
      <c r="CY69">
        <v>4.1561210000000001E-2</v>
      </c>
      <c r="CZ69">
        <v>2.2323969999999999E-2</v>
      </c>
      <c r="DA69">
        <v>3.2559589999999999E-2</v>
      </c>
      <c r="DB69">
        <v>1.0224789999999999E-2</v>
      </c>
      <c r="DC69">
        <v>1.8108610000000001E-2</v>
      </c>
      <c r="DD69">
        <v>3.1668580000000002E-2</v>
      </c>
      <c r="DE69">
        <v>1.2593419999999999E-2</v>
      </c>
      <c r="DF69">
        <v>2.250752E-2</v>
      </c>
      <c r="DG69">
        <v>1.4831899999999999E-3</v>
      </c>
      <c r="DH69">
        <v>4.2531799999999996E-3</v>
      </c>
      <c r="DI69">
        <v>4.4026200000000001E-2</v>
      </c>
      <c r="DJ69">
        <v>5.0903200000000003E-2</v>
      </c>
      <c r="DK69">
        <v>4.811874E-2</v>
      </c>
      <c r="DL69">
        <v>-1.297119E-2</v>
      </c>
      <c r="DM69">
        <v>4.872783E-2</v>
      </c>
      <c r="DN69">
        <v>5.4163990000000002E-2</v>
      </c>
      <c r="DO69">
        <v>1.7427539999999998E-2</v>
      </c>
      <c r="DP69">
        <v>5.0198569999999998E-2</v>
      </c>
      <c r="DQ69">
        <v>1.5940329999999999E-2</v>
      </c>
      <c r="DR69">
        <v>1.231692E-2</v>
      </c>
      <c r="DS69">
        <v>2.5527879999999999E-2</v>
      </c>
      <c r="DT69">
        <v>-1.1503799999999999E-3</v>
      </c>
      <c r="DU69">
        <v>3.2632620000000001E-2</v>
      </c>
      <c r="DV69">
        <v>1.5699189999999998E-2</v>
      </c>
      <c r="DW69">
        <v>3.2453059999999999E-2</v>
      </c>
      <c r="DX69">
        <v>-1.7123999999999999E-4</v>
      </c>
      <c r="DY69">
        <v>4.998379E-2</v>
      </c>
      <c r="DZ69">
        <v>6.0343799999999998E-3</v>
      </c>
      <c r="EA69">
        <v>1.394889E-2</v>
      </c>
      <c r="EB69">
        <v>5.5225530000000002E-2</v>
      </c>
      <c r="EC69">
        <v>-3.3142629999999999E-2</v>
      </c>
      <c r="ED69">
        <v>3.7263270000000001E-2</v>
      </c>
      <c r="EE69">
        <v>9.3130999999999997E-4</v>
      </c>
      <c r="EF69">
        <v>2.1799430000000002E-2</v>
      </c>
      <c r="EG69">
        <v>9.4859000000000002E-4</v>
      </c>
      <c r="EH69">
        <v>3.583302E-2</v>
      </c>
      <c r="EI69">
        <v>-1.9407839999999999E-2</v>
      </c>
      <c r="EJ69">
        <v>3.4107459999999999E-2</v>
      </c>
      <c r="EK69">
        <v>3.2570109999999999E-2</v>
      </c>
      <c r="EL69">
        <v>2.0341479999999999E-2</v>
      </c>
      <c r="EM69">
        <v>2.3800350000000001E-2</v>
      </c>
      <c r="EN69">
        <v>5.2280930000000003E-2</v>
      </c>
      <c r="EO69">
        <v>0.10063336000000001</v>
      </c>
      <c r="EP69">
        <f t="shared" si="1"/>
        <v>0</v>
      </c>
      <c r="EQ69">
        <f>SUMIF('Mi portafolio'!$A$8:$A$19,$A69,'Mi portafolio'!$B$8:$B$19)</f>
        <v>0</v>
      </c>
    </row>
    <row r="70" spans="1:147" x14ac:dyDescent="0.25">
      <c r="A70" s="34" t="s">
        <v>146</v>
      </c>
      <c r="B70">
        <v>1.5467E-2</v>
      </c>
      <c r="C70">
        <v>1.51278E-3</v>
      </c>
      <c r="D70">
        <v>-7.5429099999999999E-3</v>
      </c>
      <c r="E70">
        <v>5.1610199999999997E-3</v>
      </c>
      <c r="F70">
        <v>1.37495E-2</v>
      </c>
      <c r="G70">
        <v>9.5609000000000004E-4</v>
      </c>
      <c r="H70">
        <v>-5.7762000000000004E-3</v>
      </c>
      <c r="I70">
        <v>9.0200499999999999E-3</v>
      </c>
      <c r="J70">
        <v>1.4305790000000001E-2</v>
      </c>
      <c r="K70">
        <v>1.6077939999999999E-2</v>
      </c>
      <c r="L70">
        <v>6.5925000000000003E-3</v>
      </c>
      <c r="M70">
        <v>1.84246E-3</v>
      </c>
      <c r="N70">
        <v>4.8688100000000003E-3</v>
      </c>
      <c r="O70">
        <v>8.6157899999999999E-3</v>
      </c>
      <c r="P70">
        <v>1.8279400000000001E-2</v>
      </c>
      <c r="Q70">
        <v>2.25458E-3</v>
      </c>
      <c r="R70">
        <v>1.25442E-2</v>
      </c>
      <c r="S70">
        <v>8.0565700000000007E-3</v>
      </c>
      <c r="T70">
        <v>9.9971999999999995E-3</v>
      </c>
      <c r="U70">
        <v>3.38748E-3</v>
      </c>
      <c r="V70">
        <v>5.6813000000000002E-4</v>
      </c>
      <c r="W70">
        <v>1.3017519999999999E-2</v>
      </c>
      <c r="X70">
        <v>1.527366E-2</v>
      </c>
      <c r="Y70">
        <v>1.688684E-2</v>
      </c>
      <c r="Z70">
        <v>-1.5048000000000001E-4</v>
      </c>
      <c r="AA70">
        <v>1.13546E-3</v>
      </c>
      <c r="AB70">
        <v>1.5843059999999999E-2</v>
      </c>
      <c r="AC70">
        <v>-1.82646E-3</v>
      </c>
      <c r="AD70">
        <v>8.2765300000000007E-3</v>
      </c>
      <c r="AE70">
        <v>-4.0842300000000003E-3</v>
      </c>
      <c r="AF70">
        <v>1.02881E-3</v>
      </c>
      <c r="AG70">
        <v>1.9341609999999999E-2</v>
      </c>
      <c r="AH70">
        <v>1.759782E-2</v>
      </c>
      <c r="AI70">
        <v>1.116178E-2</v>
      </c>
      <c r="AJ70">
        <v>4.6725E-4</v>
      </c>
      <c r="AK70">
        <v>5.2128799999999996E-3</v>
      </c>
      <c r="AL70">
        <v>3.8075399999999999E-3</v>
      </c>
      <c r="AM70">
        <v>1.2753489999999999E-2</v>
      </c>
      <c r="AN70">
        <v>1.1894419999999999E-2</v>
      </c>
      <c r="AO70">
        <v>1.9080219999999998E-2</v>
      </c>
      <c r="AP70">
        <v>1.2691010000000001E-2</v>
      </c>
      <c r="AQ70">
        <v>1.033218E-2</v>
      </c>
      <c r="AR70">
        <v>1.515646E-2</v>
      </c>
      <c r="AS70">
        <v>-3.0668000000000002E-3</v>
      </c>
      <c r="AT70">
        <v>1.2970529999999999E-2</v>
      </c>
      <c r="AU70">
        <v>1.8737170000000001E-2</v>
      </c>
      <c r="AV70">
        <v>3.3968900000000001E-3</v>
      </c>
      <c r="AW70">
        <v>4.5178900000000001E-3</v>
      </c>
      <c r="AX70">
        <v>1.35207E-2</v>
      </c>
      <c r="AY70">
        <v>1.9955190000000001E-2</v>
      </c>
      <c r="AZ70">
        <v>-4.19966E-3</v>
      </c>
      <c r="BA70">
        <v>2.5865320000000001E-2</v>
      </c>
      <c r="BB70">
        <v>1.2023829999999999E-2</v>
      </c>
      <c r="BC70">
        <v>9.5375100000000008E-3</v>
      </c>
      <c r="BD70">
        <v>8.7493399999999995E-3</v>
      </c>
      <c r="BE70">
        <v>1.9221120000000001E-2</v>
      </c>
      <c r="BF70">
        <v>4.5258E-3</v>
      </c>
      <c r="BG70">
        <v>2.3674400000000002E-3</v>
      </c>
      <c r="BH70">
        <v>1.0563E-3</v>
      </c>
      <c r="BI70">
        <v>2.1099000000000001E-3</v>
      </c>
      <c r="BJ70">
        <v>-8.08065E-3</v>
      </c>
      <c r="BK70">
        <v>2.7925599999999999E-3</v>
      </c>
      <c r="BL70">
        <v>1.201759E-2</v>
      </c>
      <c r="BM70">
        <v>1.7879570000000001E-2</v>
      </c>
      <c r="BN70">
        <v>0.10867766</v>
      </c>
      <c r="BO70">
        <v>1.140857E-2</v>
      </c>
      <c r="BP70">
        <v>-3.07778E-3</v>
      </c>
      <c r="BQ70">
        <v>1.2602159999999999E-2</v>
      </c>
      <c r="BR70">
        <v>3.6248999999999998E-4</v>
      </c>
      <c r="BS70">
        <v>5.2803499999999996E-3</v>
      </c>
      <c r="BT70">
        <v>1.2989570000000001E-2</v>
      </c>
      <c r="BU70">
        <v>-1.42482E-3</v>
      </c>
      <c r="BV70">
        <v>5.4625400000000001E-3</v>
      </c>
      <c r="BW70">
        <v>1.396591E-2</v>
      </c>
      <c r="BX70">
        <v>1.113773E-2</v>
      </c>
      <c r="BY70">
        <v>5.2901600000000003E-3</v>
      </c>
      <c r="BZ70">
        <v>2.4988759999999999E-2</v>
      </c>
      <c r="CA70">
        <v>5.3047999999999995E-4</v>
      </c>
      <c r="CB70">
        <v>5.7264600000000001E-3</v>
      </c>
      <c r="CC70">
        <v>8.0135590000000007E-2</v>
      </c>
      <c r="CD70">
        <v>1.439869E-2</v>
      </c>
      <c r="CE70">
        <v>6.0372999999999998E-3</v>
      </c>
      <c r="CF70">
        <v>7.6547899999999999E-3</v>
      </c>
      <c r="CG70">
        <v>1.2087209999999999E-2</v>
      </c>
      <c r="CH70">
        <v>5.7627800000000003E-3</v>
      </c>
      <c r="CI70">
        <v>8.03508E-3</v>
      </c>
      <c r="CJ70">
        <v>1.7938490000000001E-2</v>
      </c>
      <c r="CK70">
        <v>1.50277E-2</v>
      </c>
      <c r="CL70">
        <v>1.3913439999999999E-2</v>
      </c>
      <c r="CM70">
        <v>4.1770399999999999E-3</v>
      </c>
      <c r="CN70">
        <v>7.1856000000000003E-4</v>
      </c>
      <c r="CO70">
        <v>-2.7020899999999999E-3</v>
      </c>
      <c r="CP70">
        <v>5.77276E-3</v>
      </c>
      <c r="CQ70">
        <v>2.1384130000000001E-2</v>
      </c>
      <c r="CR70">
        <v>3.34702E-3</v>
      </c>
      <c r="CS70">
        <v>1.8556940000000001E-2</v>
      </c>
      <c r="CT70">
        <v>1.8420200000000001E-2</v>
      </c>
      <c r="CU70">
        <v>8.1882199999999995E-3</v>
      </c>
      <c r="CV70">
        <v>1.354429E-2</v>
      </c>
      <c r="CW70">
        <v>-7.6350000000000003E-3</v>
      </c>
      <c r="CX70">
        <v>1.358761E-2</v>
      </c>
      <c r="CY70">
        <v>2.0003340000000001E-2</v>
      </c>
      <c r="CZ70">
        <v>-6.0308799999999997E-3</v>
      </c>
      <c r="DA70">
        <v>1.1100799999999999E-2</v>
      </c>
      <c r="DB70">
        <v>7.4208599999999996E-3</v>
      </c>
      <c r="DC70">
        <v>-6.14505E-3</v>
      </c>
      <c r="DD70">
        <v>1.495311E-2</v>
      </c>
      <c r="DE70">
        <v>-4.5710000000000004E-3</v>
      </c>
      <c r="DF70">
        <v>-1.31986E-2</v>
      </c>
      <c r="DG70">
        <v>4.0816400000000001E-3</v>
      </c>
      <c r="DH70">
        <v>-6.4756400000000004E-3</v>
      </c>
      <c r="DI70">
        <v>3.0681070000000001E-2</v>
      </c>
      <c r="DJ70">
        <v>1.765419E-2</v>
      </c>
      <c r="DK70">
        <v>2.8262240000000001E-2</v>
      </c>
      <c r="DL70">
        <v>-3.7916199999999999E-3</v>
      </c>
      <c r="DM70">
        <v>1.6704409999999999E-2</v>
      </c>
      <c r="DN70">
        <v>2.9650119999999999E-2</v>
      </c>
      <c r="DO70">
        <v>1.0950339999999999E-2</v>
      </c>
      <c r="DP70">
        <v>1.6722270000000001E-2</v>
      </c>
      <c r="DQ70">
        <v>2.4864600000000001E-2</v>
      </c>
      <c r="DR70">
        <v>1.0505099999999999E-3</v>
      </c>
      <c r="DS70">
        <v>1.150384E-2</v>
      </c>
      <c r="DT70">
        <v>-1.198507E-2</v>
      </c>
      <c r="DU70">
        <v>3.3961099999999999E-3</v>
      </c>
      <c r="DV70">
        <v>-4.2136300000000003E-3</v>
      </c>
      <c r="DW70">
        <v>-1.684451E-2</v>
      </c>
      <c r="DX70">
        <v>9.2056599999999992E-3</v>
      </c>
      <c r="DY70">
        <v>-1.058455E-2</v>
      </c>
      <c r="DZ70">
        <v>-1.032448E-2</v>
      </c>
      <c r="EA70">
        <v>5.1035000000000004E-3</v>
      </c>
      <c r="EB70">
        <v>-8.1716099999999993E-3</v>
      </c>
      <c r="EC70">
        <v>-2.56924E-3</v>
      </c>
      <c r="ED70">
        <v>8.1455899999999994E-3</v>
      </c>
      <c r="EE70">
        <v>2.7002470000000001E-2</v>
      </c>
      <c r="EF70">
        <v>2.4035870000000001E-2</v>
      </c>
      <c r="EG70">
        <v>1.3993830000000001E-2</v>
      </c>
      <c r="EH70">
        <v>-1.111495E-2</v>
      </c>
      <c r="EI70">
        <v>8.8459100000000002E-3</v>
      </c>
      <c r="EJ70">
        <v>5.7695899999999998E-3</v>
      </c>
      <c r="EK70">
        <v>1.578541E-2</v>
      </c>
      <c r="EL70">
        <v>-4.9858699999999999E-3</v>
      </c>
      <c r="EM70">
        <v>-8.7235000000000004E-4</v>
      </c>
      <c r="EN70">
        <v>9.5293500000000007E-3</v>
      </c>
      <c r="EO70">
        <v>2.8758200000000001E-2</v>
      </c>
      <c r="EP70">
        <f t="shared" ref="EP70:EP101" si="2">SUMPRODUCT(B70:EO70,$B$5:$EO$5)</f>
        <v>0</v>
      </c>
      <c r="EQ70">
        <f>SUMIF('Mi portafolio'!$A$8:$A$19,$A70,'Mi portafolio'!$B$8:$B$19)</f>
        <v>0</v>
      </c>
    </row>
    <row r="71" spans="1:147" x14ac:dyDescent="0.25">
      <c r="A71" s="34" t="s">
        <v>147</v>
      </c>
      <c r="B71">
        <v>7.7044399999999999E-3</v>
      </c>
      <c r="C71">
        <v>-1.27893E-3</v>
      </c>
      <c r="D71">
        <v>5.4213000000000004E-3</v>
      </c>
      <c r="E71">
        <v>4.9760999999999998E-3</v>
      </c>
      <c r="F71">
        <v>5.0466599999999997E-3</v>
      </c>
      <c r="G71">
        <v>5.0400799999999997E-3</v>
      </c>
      <c r="H71">
        <v>1.263265E-2</v>
      </c>
      <c r="I71">
        <v>1.3996949999999999E-2</v>
      </c>
      <c r="J71">
        <v>9.6469399999999997E-3</v>
      </c>
      <c r="K71">
        <v>1.432747E-2</v>
      </c>
      <c r="L71">
        <v>6.3230600000000001E-3</v>
      </c>
      <c r="M71">
        <v>2.268732E-2</v>
      </c>
      <c r="N71">
        <v>1.299869E-2</v>
      </c>
      <c r="O71">
        <v>5.15498E-3</v>
      </c>
      <c r="P71">
        <v>1.0658040000000001E-2</v>
      </c>
      <c r="Q71">
        <v>5.3650499999999997E-3</v>
      </c>
      <c r="R71">
        <v>8.94088E-3</v>
      </c>
      <c r="S71">
        <v>9.4941899999999996E-3</v>
      </c>
      <c r="T71">
        <v>1.7368700000000001E-2</v>
      </c>
      <c r="U71">
        <v>1.21374E-2</v>
      </c>
      <c r="V71">
        <v>-3.1011900000000002E-3</v>
      </c>
      <c r="W71">
        <v>1.0300739999999999E-2</v>
      </c>
      <c r="X71">
        <v>1.9734910000000001E-2</v>
      </c>
      <c r="Y71">
        <v>1.5697969999999999E-2</v>
      </c>
      <c r="Z71">
        <v>4.0769300000000003E-3</v>
      </c>
      <c r="AA71">
        <v>4.6454900000000004E-3</v>
      </c>
      <c r="AB71">
        <v>1.404824E-2</v>
      </c>
      <c r="AC71">
        <v>3.2934000000000001E-3</v>
      </c>
      <c r="AD71">
        <v>5.7728600000000003E-3</v>
      </c>
      <c r="AE71">
        <v>1.173044E-2</v>
      </c>
      <c r="AF71">
        <v>5.6039699999999998E-3</v>
      </c>
      <c r="AG71">
        <v>-2.9662600000000001E-3</v>
      </c>
      <c r="AH71">
        <v>2.45195E-3</v>
      </c>
      <c r="AI71">
        <v>-1.1148119999999999E-2</v>
      </c>
      <c r="AJ71">
        <v>1.0806100000000001E-3</v>
      </c>
      <c r="AK71">
        <v>9.8478400000000001E-3</v>
      </c>
      <c r="AL71">
        <v>1.9390040000000001E-2</v>
      </c>
      <c r="AM71">
        <v>1.406163E-2</v>
      </c>
      <c r="AN71">
        <v>2.3766289999999999E-2</v>
      </c>
      <c r="AO71">
        <v>5.1950099999999999E-3</v>
      </c>
      <c r="AP71">
        <v>2.4398369999999999E-2</v>
      </c>
      <c r="AQ71">
        <v>-1.545182E-2</v>
      </c>
      <c r="AR71">
        <v>1.8039409999999999E-2</v>
      </c>
      <c r="AS71">
        <v>1.7361919999999999E-2</v>
      </c>
      <c r="AT71">
        <v>3.1388930000000002E-2</v>
      </c>
      <c r="AU71">
        <v>1.140912E-2</v>
      </c>
      <c r="AV71">
        <v>1.4733700000000001E-2</v>
      </c>
      <c r="AW71">
        <v>8.6640199999999997E-3</v>
      </c>
      <c r="AX71">
        <v>2.4289560000000002E-2</v>
      </c>
      <c r="AY71">
        <v>1.3348199999999999E-2</v>
      </c>
      <c r="AZ71">
        <v>8.3408100000000006E-3</v>
      </c>
      <c r="BA71">
        <v>2.3993469999999999E-2</v>
      </c>
      <c r="BB71">
        <v>2.6274559999999999E-2</v>
      </c>
      <c r="BC71">
        <v>1.378133E-2</v>
      </c>
      <c r="BD71">
        <v>1.6269760000000001E-2</v>
      </c>
      <c r="BE71">
        <v>9.3731200000000004E-3</v>
      </c>
      <c r="BF71">
        <v>5.9742700000000003E-3</v>
      </c>
      <c r="BG71">
        <v>1.537284E-2</v>
      </c>
      <c r="BH71">
        <v>2.1849210000000001E-2</v>
      </c>
      <c r="BI71">
        <v>1.291699E-2</v>
      </c>
      <c r="BJ71">
        <v>-6.4028000000000002E-4</v>
      </c>
      <c r="BK71">
        <v>1.0631450000000001E-2</v>
      </c>
      <c r="BL71">
        <v>1.766618E-2</v>
      </c>
      <c r="BM71">
        <v>1.3734100000000001E-2</v>
      </c>
      <c r="BN71">
        <v>1.140857E-2</v>
      </c>
      <c r="BO71">
        <v>0.10801736000000001</v>
      </c>
      <c r="BP71">
        <v>2.191769E-2</v>
      </c>
      <c r="BQ71">
        <v>2.1586169999999998E-2</v>
      </c>
      <c r="BR71">
        <v>2.3675180000000001E-2</v>
      </c>
      <c r="BS71">
        <v>-1.251159E-2</v>
      </c>
      <c r="BT71">
        <v>3.8598970000000003E-2</v>
      </c>
      <c r="BU71">
        <v>1.614175E-2</v>
      </c>
      <c r="BV71">
        <v>6.5716479999999994E-2</v>
      </c>
      <c r="BW71">
        <v>2.3077219999999999E-2</v>
      </c>
      <c r="BX71">
        <v>2.8303680000000001E-2</v>
      </c>
      <c r="BY71">
        <v>2.7882980000000002E-2</v>
      </c>
      <c r="BZ71">
        <v>3.3036540000000003E-2</v>
      </c>
      <c r="CA71">
        <v>1.170883E-2</v>
      </c>
      <c r="CB71">
        <v>-2.7358399999999998E-3</v>
      </c>
      <c r="CC71">
        <v>1.0735639999999999E-2</v>
      </c>
      <c r="CD71">
        <v>3.8118840000000001E-2</v>
      </c>
      <c r="CE71">
        <v>2.0307459999999999E-2</v>
      </c>
      <c r="CF71">
        <v>-1.4975540000000001E-2</v>
      </c>
      <c r="CG71">
        <v>3.9666920000000001E-2</v>
      </c>
      <c r="CH71">
        <v>2.9119590000000001E-2</v>
      </c>
      <c r="CI71">
        <v>-1.7697620000000001E-2</v>
      </c>
      <c r="CJ71">
        <v>2.466262E-2</v>
      </c>
      <c r="CK71">
        <v>2.1193119999999999E-2</v>
      </c>
      <c r="CL71">
        <v>2.9663220000000001E-2</v>
      </c>
      <c r="CM71">
        <v>3.4968310000000002E-2</v>
      </c>
      <c r="CN71">
        <v>-2.1084200000000002E-3</v>
      </c>
      <c r="CO71">
        <v>2.064301E-2</v>
      </c>
      <c r="CP71">
        <v>2.3988800000000001E-2</v>
      </c>
      <c r="CQ71">
        <v>4.6139310000000003E-2</v>
      </c>
      <c r="CR71">
        <v>4.3928710000000003E-2</v>
      </c>
      <c r="CS71">
        <v>4.3332200000000001E-2</v>
      </c>
      <c r="CT71">
        <v>4.4065790000000001E-2</v>
      </c>
      <c r="CU71">
        <v>5.0694940000000001E-2</v>
      </c>
      <c r="CV71">
        <v>4.254981E-2</v>
      </c>
      <c r="CW71">
        <v>4.1383209999999997E-2</v>
      </c>
      <c r="CX71">
        <v>4.6530769999999999E-2</v>
      </c>
      <c r="CY71">
        <v>5.0888410000000002E-2</v>
      </c>
      <c r="CZ71">
        <v>3.1618979999999998E-2</v>
      </c>
      <c r="DA71">
        <v>2.68509E-2</v>
      </c>
      <c r="DB71">
        <v>6.4582059999999997E-2</v>
      </c>
      <c r="DC71">
        <v>3.0179379999999999E-2</v>
      </c>
      <c r="DD71">
        <v>5.0108350000000003E-2</v>
      </c>
      <c r="DE71">
        <v>3.2078790000000003E-2</v>
      </c>
      <c r="DF71">
        <v>1.8660960000000001E-2</v>
      </c>
      <c r="DG71">
        <v>3.0004550000000001E-2</v>
      </c>
      <c r="DH71">
        <v>5.1037029999999997E-2</v>
      </c>
      <c r="DI71">
        <v>5.966482E-2</v>
      </c>
      <c r="DJ71">
        <v>5.3824370000000003E-2</v>
      </c>
      <c r="DK71">
        <v>5.5063630000000002E-2</v>
      </c>
      <c r="DL71">
        <v>1.35692E-2</v>
      </c>
      <c r="DM71">
        <v>5.9330029999999999E-2</v>
      </c>
      <c r="DN71">
        <v>3.5715330000000003E-2</v>
      </c>
      <c r="DO71">
        <v>5.2395329999999997E-2</v>
      </c>
      <c r="DP71">
        <v>6.2758789999999995E-2</v>
      </c>
      <c r="DQ71">
        <v>5.1115750000000001E-2</v>
      </c>
      <c r="DR71">
        <v>1.8279150000000001E-2</v>
      </c>
      <c r="DS71">
        <v>4.5209230000000003E-2</v>
      </c>
      <c r="DT71">
        <v>4.7110029999999997E-2</v>
      </c>
      <c r="DU71">
        <v>6.2130789999999998E-2</v>
      </c>
      <c r="DV71">
        <v>5.5995339999999998E-2</v>
      </c>
      <c r="DW71">
        <v>5.6020130000000001E-2</v>
      </c>
      <c r="DX71">
        <v>4.141777E-2</v>
      </c>
      <c r="DY71">
        <v>6.1884269999999998E-2</v>
      </c>
      <c r="DZ71">
        <v>3.5041379999999997E-2</v>
      </c>
      <c r="EA71">
        <v>4.2184510000000001E-2</v>
      </c>
      <c r="EB71">
        <v>6.5239580000000005E-2</v>
      </c>
      <c r="EC71">
        <v>-5.3327499999999998E-3</v>
      </c>
      <c r="ED71">
        <v>4.8468339999999999E-2</v>
      </c>
      <c r="EE71">
        <v>5.830519E-2</v>
      </c>
      <c r="EF71">
        <v>1.6903430000000001E-2</v>
      </c>
      <c r="EG71">
        <v>5.8588679999999997E-2</v>
      </c>
      <c r="EH71">
        <v>5.6962529999999997E-2</v>
      </c>
      <c r="EI71">
        <v>4.278498E-2</v>
      </c>
      <c r="EJ71">
        <v>6.5952150000000001E-2</v>
      </c>
      <c r="EK71">
        <v>5.895587E-2</v>
      </c>
      <c r="EL71">
        <v>5.7630269999999997E-2</v>
      </c>
      <c r="EM71">
        <v>5.6391330000000003E-2</v>
      </c>
      <c r="EN71">
        <v>6.0222270000000001E-2</v>
      </c>
      <c r="EO71">
        <v>5.8152200000000001E-2</v>
      </c>
      <c r="EP71">
        <f t="shared" si="2"/>
        <v>0</v>
      </c>
      <c r="EQ71">
        <f>SUMIF('Mi portafolio'!$A$8:$A$19,$A71,'Mi portafolio'!$B$8:$B$19)</f>
        <v>0</v>
      </c>
    </row>
    <row r="72" spans="1:147" x14ac:dyDescent="0.25">
      <c r="A72" s="34" t="s">
        <v>148</v>
      </c>
      <c r="B72">
        <v>6.7268700000000002E-3</v>
      </c>
      <c r="C72">
        <v>-4.1190200000000001E-3</v>
      </c>
      <c r="D72">
        <v>5.3665400000000004E-3</v>
      </c>
      <c r="E72">
        <v>4.9553100000000001E-3</v>
      </c>
      <c r="F72">
        <v>-9.4121000000000005E-4</v>
      </c>
      <c r="G72">
        <v>-1.9839699999999998E-3</v>
      </c>
      <c r="H72">
        <v>2.0410799999999998E-3</v>
      </c>
      <c r="I72">
        <v>7.8844399999999995E-3</v>
      </c>
      <c r="J72">
        <v>-1.004072E-2</v>
      </c>
      <c r="K72">
        <v>-2.94611E-3</v>
      </c>
      <c r="L72">
        <v>1.284106E-2</v>
      </c>
      <c r="M72">
        <v>1.1884789999999999E-2</v>
      </c>
      <c r="N72">
        <v>5.0355299999999999E-3</v>
      </c>
      <c r="O72">
        <v>5.4045000000000004E-4</v>
      </c>
      <c r="P72">
        <v>4.4347099999999997E-3</v>
      </c>
      <c r="Q72">
        <v>-1.8726299999999999E-3</v>
      </c>
      <c r="R72">
        <v>7.0814000000000001E-4</v>
      </c>
      <c r="S72">
        <v>7.1659699999999998E-3</v>
      </c>
      <c r="T72">
        <v>1.096216E-2</v>
      </c>
      <c r="U72">
        <v>9.5293900000000004E-3</v>
      </c>
      <c r="V72">
        <v>2.0231699999999999E-3</v>
      </c>
      <c r="W72">
        <v>3.91238E-3</v>
      </c>
      <c r="X72">
        <v>9.5556900000000004E-3</v>
      </c>
      <c r="Y72">
        <v>2.009323E-2</v>
      </c>
      <c r="Z72">
        <v>1.8128700000000001E-3</v>
      </c>
      <c r="AA72">
        <v>7.0708999999999998E-3</v>
      </c>
      <c r="AB72">
        <v>2.4802009999999999E-2</v>
      </c>
      <c r="AC72">
        <v>6.0644100000000001E-3</v>
      </c>
      <c r="AD72">
        <v>-5.5099499999999996E-3</v>
      </c>
      <c r="AE72">
        <v>3.4212000000000001E-3</v>
      </c>
      <c r="AF72">
        <v>3.1160200000000002E-3</v>
      </c>
      <c r="AG72">
        <v>-4.6265899999999999E-3</v>
      </c>
      <c r="AH72">
        <v>-1.2371299999999999E-3</v>
      </c>
      <c r="AI72">
        <v>-4.1078000000000002E-4</v>
      </c>
      <c r="AJ72">
        <v>6.0221399999999996E-3</v>
      </c>
      <c r="AK72">
        <v>-5.7281900000000002E-3</v>
      </c>
      <c r="AL72">
        <v>1.5967350000000002E-2</v>
      </c>
      <c r="AM72">
        <v>5.0690600000000002E-3</v>
      </c>
      <c r="AN72">
        <v>8.0316599999999995E-3</v>
      </c>
      <c r="AO72">
        <v>-4.5192000000000001E-3</v>
      </c>
      <c r="AP72">
        <v>1.480918E-2</v>
      </c>
      <c r="AQ72">
        <v>-6.0737899999999999E-3</v>
      </c>
      <c r="AR72">
        <v>1.4184489999999999E-2</v>
      </c>
      <c r="AS72">
        <v>4.5992200000000002E-3</v>
      </c>
      <c r="AT72">
        <v>2.5277549999999999E-2</v>
      </c>
      <c r="AU72">
        <v>-4.0138400000000003E-3</v>
      </c>
      <c r="AV72">
        <v>9.9437999999999992E-3</v>
      </c>
      <c r="AW72">
        <v>-1.80916E-3</v>
      </c>
      <c r="AX72">
        <v>8.1107699999999998E-3</v>
      </c>
      <c r="AY72">
        <v>1.377253E-2</v>
      </c>
      <c r="AZ72">
        <v>3.7559899999999998E-3</v>
      </c>
      <c r="BA72">
        <v>4.3061E-4</v>
      </c>
      <c r="BB72">
        <v>2.307008E-2</v>
      </c>
      <c r="BC72">
        <v>1.2377010000000001E-2</v>
      </c>
      <c r="BD72">
        <v>9.1980299999999994E-3</v>
      </c>
      <c r="BE72">
        <v>-9.0663800000000006E-3</v>
      </c>
      <c r="BF72">
        <v>-2.3910099999999998E-3</v>
      </c>
      <c r="BG72">
        <v>2.1211239999999999E-2</v>
      </c>
      <c r="BH72">
        <v>1.5575800000000001E-2</v>
      </c>
      <c r="BI72">
        <v>6.0285399999999998E-3</v>
      </c>
      <c r="BJ72">
        <v>-2.3279500000000001E-3</v>
      </c>
      <c r="BK72">
        <v>4.6767500000000004E-3</v>
      </c>
      <c r="BL72">
        <v>2.71623E-3</v>
      </c>
      <c r="BM72">
        <v>1.3416930000000001E-2</v>
      </c>
      <c r="BN72">
        <v>-3.07778E-3</v>
      </c>
      <c r="BO72">
        <v>2.191769E-2</v>
      </c>
      <c r="BP72">
        <v>0.11055374</v>
      </c>
      <c r="BQ72">
        <v>6.4686700000000001E-3</v>
      </c>
      <c r="BR72">
        <v>2.3380310000000001E-2</v>
      </c>
      <c r="BS72">
        <v>-4.39596E-3</v>
      </c>
      <c r="BT72">
        <v>8.0163600000000002E-3</v>
      </c>
      <c r="BU72">
        <v>-3.9623799999999997E-3</v>
      </c>
      <c r="BV72">
        <v>4.8113780000000002E-2</v>
      </c>
      <c r="BW72">
        <v>4.124738E-2</v>
      </c>
      <c r="BX72">
        <v>-2.7020099999999999E-3</v>
      </c>
      <c r="BY72">
        <v>1.198196E-2</v>
      </c>
      <c r="BZ72">
        <v>3.2626719999999998E-2</v>
      </c>
      <c r="CA72">
        <v>-5.2897999999999997E-4</v>
      </c>
      <c r="CB72">
        <v>-6.5460199999999996E-3</v>
      </c>
      <c r="CC72">
        <v>8.1464699999999994E-3</v>
      </c>
      <c r="CD72">
        <v>3.6130259999999997E-2</v>
      </c>
      <c r="CE72">
        <v>9.6271399999999993E-3</v>
      </c>
      <c r="CF72">
        <v>-5.4662499999999998E-3</v>
      </c>
      <c r="CG72">
        <v>3.7878229999999999E-2</v>
      </c>
      <c r="CH72">
        <v>1.09246E-3</v>
      </c>
      <c r="CI72">
        <v>-1.9935399999999998E-3</v>
      </c>
      <c r="CJ72">
        <v>3.4626169999999998E-2</v>
      </c>
      <c r="CK72">
        <v>2.1790839999999999E-2</v>
      </c>
      <c r="CL72">
        <v>5.3277699999999999E-3</v>
      </c>
      <c r="CM72">
        <v>3.5012450000000001E-2</v>
      </c>
      <c r="CN72">
        <v>2.9495799999999998E-3</v>
      </c>
      <c r="CO72">
        <v>1.1714830000000001E-2</v>
      </c>
      <c r="CP72">
        <v>2.3212239999999999E-2</v>
      </c>
      <c r="CQ72">
        <v>2.1976849999999999E-2</v>
      </c>
      <c r="CR72">
        <v>2.4473330000000001E-2</v>
      </c>
      <c r="CS72">
        <v>-1.4374700000000001E-2</v>
      </c>
      <c r="CT72">
        <v>3.6438209999999999E-2</v>
      </c>
      <c r="CU72">
        <v>1.950737E-2</v>
      </c>
      <c r="CV72">
        <v>2.583537E-2</v>
      </c>
      <c r="CW72">
        <v>4.5193520000000001E-2</v>
      </c>
      <c r="CX72">
        <v>3.6513120000000003E-2</v>
      </c>
      <c r="CY72">
        <v>1.98453E-3</v>
      </c>
      <c r="CZ72">
        <v>6.0357309999999997E-2</v>
      </c>
      <c r="DA72">
        <v>4.7894319999999997E-2</v>
      </c>
      <c r="DB72">
        <v>3.8956820000000003E-2</v>
      </c>
      <c r="DC72">
        <v>8.72443E-3</v>
      </c>
      <c r="DD72">
        <v>5.4390750000000002E-2</v>
      </c>
      <c r="DE72">
        <v>1.3882540000000001E-2</v>
      </c>
      <c r="DF72">
        <v>7.7178819999999995E-2</v>
      </c>
      <c r="DG72">
        <v>2.1209660000000002E-2</v>
      </c>
      <c r="DH72">
        <v>3.7249560000000001E-2</v>
      </c>
      <c r="DI72">
        <v>2.890177E-2</v>
      </c>
      <c r="DJ72">
        <v>5.5342500000000001E-3</v>
      </c>
      <c r="DK72">
        <v>3.0234199999999999E-2</v>
      </c>
      <c r="DL72">
        <v>5.1295200000000003E-3</v>
      </c>
      <c r="DM72">
        <v>1.5994040000000001E-2</v>
      </c>
      <c r="DN72">
        <v>4.1784620000000001E-2</v>
      </c>
      <c r="DO72">
        <v>1.745499E-2</v>
      </c>
      <c r="DP72">
        <v>2.70667E-3</v>
      </c>
      <c r="DQ72">
        <v>2.899945E-2</v>
      </c>
      <c r="DR72">
        <v>1.7203010000000001E-2</v>
      </c>
      <c r="DS72">
        <v>5.6940409999999997E-2</v>
      </c>
      <c r="DT72">
        <v>8.8391040000000004E-2</v>
      </c>
      <c r="DU72">
        <v>7.9907809999999996E-2</v>
      </c>
      <c r="DV72">
        <v>8.9530730000000003E-2</v>
      </c>
      <c r="DW72">
        <v>6.8771219999999994E-2</v>
      </c>
      <c r="DX72">
        <v>3.2949300000000002E-3</v>
      </c>
      <c r="DY72">
        <v>7.7490920000000005E-2</v>
      </c>
      <c r="DZ72">
        <v>7.060814E-2</v>
      </c>
      <c r="EA72">
        <v>2.2348670000000001E-2</v>
      </c>
      <c r="EB72">
        <v>8.0081459999999993E-2</v>
      </c>
      <c r="EC72">
        <v>-6.5716699999999999E-3</v>
      </c>
      <c r="ED72">
        <v>4.4924270000000002E-2</v>
      </c>
      <c r="EE72">
        <v>3.8213629999999998E-2</v>
      </c>
      <c r="EF72">
        <v>1.5519059999999999E-2</v>
      </c>
      <c r="EG72">
        <v>9.9610800000000006E-3</v>
      </c>
      <c r="EH72">
        <v>7.1798029999999999E-2</v>
      </c>
      <c r="EI72">
        <v>1.286382E-2</v>
      </c>
      <c r="EJ72">
        <v>4.9362200000000002E-2</v>
      </c>
      <c r="EK72">
        <v>7.7036729999999998E-2</v>
      </c>
      <c r="EL72">
        <v>6.8390880000000001E-2</v>
      </c>
      <c r="EM72">
        <v>0.11008776000000001</v>
      </c>
      <c r="EN72">
        <v>3.1058390000000002E-2</v>
      </c>
      <c r="EO72">
        <v>6.0570840000000001E-2</v>
      </c>
      <c r="EP72">
        <f t="shared" si="2"/>
        <v>0</v>
      </c>
      <c r="EQ72">
        <f>SUMIF('Mi portafolio'!$A$8:$A$19,$A72,'Mi portafolio'!$B$8:$B$19)</f>
        <v>0</v>
      </c>
    </row>
    <row r="73" spans="1:147" x14ac:dyDescent="0.25">
      <c r="A73" s="34" t="s">
        <v>149</v>
      </c>
      <c r="B73">
        <v>-2.63818E-3</v>
      </c>
      <c r="C73">
        <v>1.1142900000000001E-2</v>
      </c>
      <c r="D73">
        <v>6.5212600000000001E-3</v>
      </c>
      <c r="E73">
        <v>9.6352199999999999E-3</v>
      </c>
      <c r="F73">
        <v>-2.7845299999999999E-3</v>
      </c>
      <c r="G73">
        <v>6.4305899999999999E-3</v>
      </c>
      <c r="H73">
        <v>1.898963E-2</v>
      </c>
      <c r="I73">
        <v>1.4379900000000001E-3</v>
      </c>
      <c r="J73">
        <v>-1.8564199999999999E-3</v>
      </c>
      <c r="K73">
        <v>7.2139400000000003E-3</v>
      </c>
      <c r="L73">
        <v>1.580461E-2</v>
      </c>
      <c r="M73">
        <v>2.4479540000000001E-2</v>
      </c>
      <c r="N73">
        <v>2.9039000000000001E-3</v>
      </c>
      <c r="O73">
        <v>2.617392E-2</v>
      </c>
      <c r="P73">
        <v>-1.0830600000000001E-3</v>
      </c>
      <c r="Q73">
        <v>7.8586000000000003E-3</v>
      </c>
      <c r="R73">
        <v>4.9923000000000003E-4</v>
      </c>
      <c r="S73">
        <v>2.2358889999999999E-2</v>
      </c>
      <c r="T73">
        <v>2.0096659999999999E-2</v>
      </c>
      <c r="U73">
        <v>2.5665549999999999E-2</v>
      </c>
      <c r="V73">
        <v>2.1427559999999998E-2</v>
      </c>
      <c r="W73">
        <v>2.3813979999999998E-2</v>
      </c>
      <c r="X73">
        <v>2.4776699999999999E-2</v>
      </c>
      <c r="Y73">
        <v>3.4838E-3</v>
      </c>
      <c r="Z73">
        <v>3.008332E-2</v>
      </c>
      <c r="AA73">
        <v>2.088129E-2</v>
      </c>
      <c r="AB73">
        <v>-1.20152E-3</v>
      </c>
      <c r="AC73">
        <v>9.3876600000000008E-3</v>
      </c>
      <c r="AD73">
        <v>2.6527149999999999E-2</v>
      </c>
      <c r="AE73">
        <v>2.8502710000000001E-2</v>
      </c>
      <c r="AF73">
        <v>3.5364810000000003E-2</v>
      </c>
      <c r="AG73">
        <v>-4.3829100000000003E-3</v>
      </c>
      <c r="AH73">
        <v>-2.6400799999999999E-3</v>
      </c>
      <c r="AI73">
        <v>-1.232394E-2</v>
      </c>
      <c r="AJ73">
        <v>1.4402689999999999E-2</v>
      </c>
      <c r="AK73">
        <v>3.3948800000000001E-2</v>
      </c>
      <c r="AL73">
        <v>8.0111699999999997E-3</v>
      </c>
      <c r="AM73">
        <v>2.5200650000000002E-2</v>
      </c>
      <c r="AN73">
        <v>2.3615770000000001E-2</v>
      </c>
      <c r="AO73">
        <v>-6.2434400000000003E-3</v>
      </c>
      <c r="AP73">
        <v>1.4884319999999999E-2</v>
      </c>
      <c r="AQ73">
        <v>-1.368309E-2</v>
      </c>
      <c r="AR73">
        <v>2.2653220000000002E-2</v>
      </c>
      <c r="AS73">
        <v>2.7538360000000001E-2</v>
      </c>
      <c r="AT73">
        <v>1.9851170000000001E-2</v>
      </c>
      <c r="AU73">
        <v>2.4831499999999999E-3</v>
      </c>
      <c r="AV73">
        <v>2.3732840000000002E-2</v>
      </c>
      <c r="AW73">
        <v>4.4963929999999999E-2</v>
      </c>
      <c r="AX73">
        <v>5.57969E-3</v>
      </c>
      <c r="AY73">
        <v>1.9952290000000001E-2</v>
      </c>
      <c r="AZ73">
        <v>3.2849009999999998E-2</v>
      </c>
      <c r="BA73">
        <v>3.2542410000000001E-2</v>
      </c>
      <c r="BB73">
        <v>3.1504810000000001E-2</v>
      </c>
      <c r="BC73">
        <v>2.126921E-2</v>
      </c>
      <c r="BD73">
        <v>3.528009E-2</v>
      </c>
      <c r="BE73">
        <v>1.3727619999999999E-2</v>
      </c>
      <c r="BF73">
        <v>2.555193E-2</v>
      </c>
      <c r="BG73">
        <v>3.4717200000000002E-3</v>
      </c>
      <c r="BH73">
        <v>2.3106229999999998E-2</v>
      </c>
      <c r="BI73">
        <v>1.3735610000000001E-2</v>
      </c>
      <c r="BJ73">
        <v>2.3792100000000001E-3</v>
      </c>
      <c r="BK73">
        <v>3.463695E-2</v>
      </c>
      <c r="BL73">
        <v>3.540227E-2</v>
      </c>
      <c r="BM73">
        <v>9.9286600000000006E-3</v>
      </c>
      <c r="BN73">
        <v>1.2602159999999999E-2</v>
      </c>
      <c r="BO73">
        <v>2.1586169999999998E-2</v>
      </c>
      <c r="BP73">
        <v>6.4686700000000001E-3</v>
      </c>
      <c r="BQ73">
        <v>0.11108086</v>
      </c>
      <c r="BR73">
        <v>2.6941969999999999E-2</v>
      </c>
      <c r="BS73">
        <v>-1.9693229999999999E-2</v>
      </c>
      <c r="BT73">
        <v>3.7043310000000003E-2</v>
      </c>
      <c r="BU73">
        <v>3.172092E-2</v>
      </c>
      <c r="BV73">
        <v>2.4267250000000001E-2</v>
      </c>
      <c r="BW73">
        <v>1.379265E-2</v>
      </c>
      <c r="BX73">
        <v>-6.8053999999999999E-4</v>
      </c>
      <c r="BY73">
        <v>2.5589339999999999E-2</v>
      </c>
      <c r="BZ73">
        <v>3.2291889999999997E-2</v>
      </c>
      <c r="CA73">
        <v>3.0930510000000001E-2</v>
      </c>
      <c r="CB73">
        <v>-1.5868500000000001E-2</v>
      </c>
      <c r="CC73">
        <v>1.3161559999999999E-2</v>
      </c>
      <c r="CD73">
        <v>1.8955240000000002E-2</v>
      </c>
      <c r="CE73">
        <v>2.298275E-2</v>
      </c>
      <c r="CF73">
        <v>-2.314536E-2</v>
      </c>
      <c r="CG73">
        <v>1.9039110000000001E-2</v>
      </c>
      <c r="CH73">
        <v>5.8756290000000003E-2</v>
      </c>
      <c r="CI73">
        <v>-2.2065109999999999E-2</v>
      </c>
      <c r="CJ73">
        <v>-5.5696399999999998E-3</v>
      </c>
      <c r="CK73">
        <v>1.559252E-2</v>
      </c>
      <c r="CL73">
        <v>3.7365839999999997E-2</v>
      </c>
      <c r="CM73">
        <v>3.0901990000000001E-2</v>
      </c>
      <c r="CN73">
        <v>2.6427320000000001E-2</v>
      </c>
      <c r="CO73">
        <v>2.881218E-2</v>
      </c>
      <c r="CP73">
        <v>6.6186300000000003E-3</v>
      </c>
      <c r="CQ73">
        <v>4.1583059999999998E-2</v>
      </c>
      <c r="CR73">
        <v>4.0943309999999997E-2</v>
      </c>
      <c r="CS73">
        <v>5.6860710000000002E-2</v>
      </c>
      <c r="CT73">
        <v>3.6049680000000001E-2</v>
      </c>
      <c r="CU73">
        <v>2.1785820000000001E-2</v>
      </c>
      <c r="CV73">
        <v>2.375261E-2</v>
      </c>
      <c r="CW73">
        <v>2.7287430000000001E-2</v>
      </c>
      <c r="CX73">
        <v>4.8331619999999999E-2</v>
      </c>
      <c r="CY73">
        <v>3.3960039999999997E-2</v>
      </c>
      <c r="CZ73">
        <v>1.0776529999999999E-2</v>
      </c>
      <c r="DA73">
        <v>1.4119420000000001E-2</v>
      </c>
      <c r="DB73">
        <v>5.140434E-2</v>
      </c>
      <c r="DC73">
        <v>5.0202400000000001E-2</v>
      </c>
      <c r="DD73">
        <v>3.2770300000000002E-2</v>
      </c>
      <c r="DE73">
        <v>6.2550980000000006E-2</v>
      </c>
      <c r="DF73">
        <v>-1.9725099999999999E-2</v>
      </c>
      <c r="DG73">
        <v>6.464686E-2</v>
      </c>
      <c r="DH73">
        <v>3.5208549999999998E-2</v>
      </c>
      <c r="DI73">
        <v>4.2327579999999997E-2</v>
      </c>
      <c r="DJ73">
        <v>3.1808059999999999E-2</v>
      </c>
      <c r="DK73">
        <v>5.7115810000000003E-2</v>
      </c>
      <c r="DL73">
        <v>5.4323740000000002E-2</v>
      </c>
      <c r="DM73">
        <v>5.6737410000000002E-2</v>
      </c>
      <c r="DN73">
        <v>1.1043570000000001E-2</v>
      </c>
      <c r="DO73">
        <v>3.978425E-2</v>
      </c>
      <c r="DP73">
        <v>4.4050869999999999E-2</v>
      </c>
      <c r="DQ73">
        <v>5.009417E-2</v>
      </c>
      <c r="DR73">
        <v>3.9931170000000002E-2</v>
      </c>
      <c r="DS73">
        <v>-1.202726E-2</v>
      </c>
      <c r="DT73">
        <v>3.61613E-2</v>
      </c>
      <c r="DU73">
        <v>5.4396350000000003E-2</v>
      </c>
      <c r="DV73">
        <v>1.060531E-2</v>
      </c>
      <c r="DW73">
        <v>2.5264160000000001E-2</v>
      </c>
      <c r="DX73">
        <v>6.8108929999999998E-2</v>
      </c>
      <c r="DY73">
        <v>4.1347599999999998E-2</v>
      </c>
      <c r="DZ73">
        <v>-1.57821E-3</v>
      </c>
      <c r="EA73">
        <v>4.1038720000000001E-2</v>
      </c>
      <c r="EB73">
        <v>3.2515469999999998E-2</v>
      </c>
      <c r="EC73">
        <v>3.7909760000000001E-2</v>
      </c>
      <c r="ED73">
        <v>5.7320030000000001E-2</v>
      </c>
      <c r="EE73">
        <v>6.9617029999999996E-2</v>
      </c>
      <c r="EF73">
        <v>6.1920889999999999E-2</v>
      </c>
      <c r="EG73">
        <v>6.8675260000000002E-2</v>
      </c>
      <c r="EH73">
        <v>4.52901E-3</v>
      </c>
      <c r="EI73">
        <v>7.0761829999999998E-2</v>
      </c>
      <c r="EJ73">
        <v>5.354888E-2</v>
      </c>
      <c r="EK73">
        <v>8.0564739999999996E-2</v>
      </c>
      <c r="EL73">
        <v>9.6135559999999995E-2</v>
      </c>
      <c r="EM73">
        <v>4.7374609999999998E-2</v>
      </c>
      <c r="EN73">
        <v>2.6199589999999998E-2</v>
      </c>
      <c r="EO73">
        <v>-5.1224699999999996E-3</v>
      </c>
      <c r="EP73">
        <f t="shared" si="2"/>
        <v>0</v>
      </c>
      <c r="EQ73">
        <f>SUMIF('Mi portafolio'!$A$8:$A$19,$A73,'Mi portafolio'!$B$8:$B$19)</f>
        <v>0</v>
      </c>
    </row>
    <row r="74" spans="1:147" x14ac:dyDescent="0.25">
      <c r="A74" s="34" t="s">
        <v>150</v>
      </c>
      <c r="B74">
        <v>1.2005689999999999E-2</v>
      </c>
      <c r="C74">
        <v>-4.3126700000000002E-3</v>
      </c>
      <c r="D74">
        <v>2.3243000000000001E-3</v>
      </c>
      <c r="E74">
        <v>4.5732300000000002E-3</v>
      </c>
      <c r="F74">
        <v>9.7785300000000006E-3</v>
      </c>
      <c r="G74">
        <v>-4.4360000000000002E-5</v>
      </c>
      <c r="H74">
        <v>8.2006700000000002E-3</v>
      </c>
      <c r="I74">
        <v>1.6572420000000001E-2</v>
      </c>
      <c r="J74">
        <v>6.4135399999999997E-3</v>
      </c>
      <c r="K74">
        <v>9.8947800000000006E-3</v>
      </c>
      <c r="L74">
        <v>6.9602300000000004E-3</v>
      </c>
      <c r="M74">
        <v>2.531713E-2</v>
      </c>
      <c r="N74">
        <v>2.0081970000000001E-2</v>
      </c>
      <c r="O74">
        <v>3.4535899999999999E-3</v>
      </c>
      <c r="P74">
        <v>1.112425E-2</v>
      </c>
      <c r="Q74">
        <v>3.67484E-3</v>
      </c>
      <c r="R74">
        <v>1.5563830000000001E-2</v>
      </c>
      <c r="S74">
        <v>6.72516E-3</v>
      </c>
      <c r="T74">
        <v>2.775364E-2</v>
      </c>
      <c r="U74">
        <v>9.5512600000000007E-3</v>
      </c>
      <c r="V74">
        <v>6.6490400000000002E-3</v>
      </c>
      <c r="W74">
        <v>6.3160300000000003E-3</v>
      </c>
      <c r="X74">
        <v>2.3924000000000001E-2</v>
      </c>
      <c r="Y74">
        <v>1.4174930000000001E-2</v>
      </c>
      <c r="Z74">
        <v>2.5392499999999998E-3</v>
      </c>
      <c r="AA74">
        <v>1.486824E-2</v>
      </c>
      <c r="AB74">
        <v>1.889103E-2</v>
      </c>
      <c r="AC74">
        <v>-5.5725499999999999E-3</v>
      </c>
      <c r="AD74">
        <v>2.8693500000000001E-3</v>
      </c>
      <c r="AE74">
        <v>1.3079439999999999E-2</v>
      </c>
      <c r="AF74">
        <v>9.7631799999999998E-3</v>
      </c>
      <c r="AG74">
        <v>2.2064099999999998E-3</v>
      </c>
      <c r="AH74">
        <v>5.2649100000000002E-3</v>
      </c>
      <c r="AI74">
        <v>-3.8785199999999999E-3</v>
      </c>
      <c r="AJ74">
        <v>1.014834E-2</v>
      </c>
      <c r="AK74">
        <v>9.2171300000000005E-3</v>
      </c>
      <c r="AL74">
        <v>2.586422E-2</v>
      </c>
      <c r="AM74">
        <v>1.494265E-2</v>
      </c>
      <c r="AN74">
        <v>3.1664940000000003E-2</v>
      </c>
      <c r="AO74">
        <v>-1.06335E-3</v>
      </c>
      <c r="AP74">
        <v>3.7192129999999997E-2</v>
      </c>
      <c r="AQ74">
        <v>-4.7111799999999997E-3</v>
      </c>
      <c r="AR74">
        <v>2.7829679999999999E-2</v>
      </c>
      <c r="AS74">
        <v>1.203336E-2</v>
      </c>
      <c r="AT74">
        <v>3.37024E-2</v>
      </c>
      <c r="AU74">
        <v>1.182559E-2</v>
      </c>
      <c r="AV74">
        <v>1.511323E-2</v>
      </c>
      <c r="AW74">
        <v>1.212392E-2</v>
      </c>
      <c r="AX74">
        <v>2.0014649999999998E-2</v>
      </c>
      <c r="AY74">
        <v>3.4162959999999999E-2</v>
      </c>
      <c r="AZ74">
        <v>1.803869E-2</v>
      </c>
      <c r="BA74">
        <v>2.8419940000000001E-2</v>
      </c>
      <c r="BB74">
        <v>4.0692390000000002E-2</v>
      </c>
      <c r="BC74">
        <v>1.6515849999999999E-2</v>
      </c>
      <c r="BD74">
        <v>9.6835299999999992E-3</v>
      </c>
      <c r="BE74">
        <v>1.1384389999999999E-2</v>
      </c>
      <c r="BF74">
        <v>1.973697E-2</v>
      </c>
      <c r="BG74">
        <v>3.5342659999999998E-2</v>
      </c>
      <c r="BH74">
        <v>8.0693199999999996E-3</v>
      </c>
      <c r="BI74">
        <v>1.8734939999999999E-2</v>
      </c>
      <c r="BJ74">
        <v>6.1754799999999997E-3</v>
      </c>
      <c r="BK74">
        <v>1.768256E-2</v>
      </c>
      <c r="BL74">
        <v>2.4627940000000001E-2</v>
      </c>
      <c r="BM74">
        <v>3.4484380000000002E-2</v>
      </c>
      <c r="BN74">
        <v>3.6248999999999998E-4</v>
      </c>
      <c r="BO74">
        <v>2.3675180000000001E-2</v>
      </c>
      <c r="BP74">
        <v>2.3380310000000001E-2</v>
      </c>
      <c r="BQ74">
        <v>2.6941969999999999E-2</v>
      </c>
      <c r="BR74">
        <v>0.10949899</v>
      </c>
      <c r="BS74">
        <v>4.7770699999999996E-3</v>
      </c>
      <c r="BT74">
        <v>3.5938999999999999E-2</v>
      </c>
      <c r="BU74">
        <v>1.7026280000000001E-2</v>
      </c>
      <c r="BV74">
        <v>2.7787630000000001E-2</v>
      </c>
      <c r="BW74">
        <v>7.1998909999999999E-2</v>
      </c>
      <c r="BX74">
        <v>2.4994240000000001E-2</v>
      </c>
      <c r="BY74">
        <v>3.6999579999999997E-2</v>
      </c>
      <c r="BZ74">
        <v>3.2834629999999997E-2</v>
      </c>
      <c r="CA74">
        <v>4.6285500000000004E-3</v>
      </c>
      <c r="CB74">
        <v>-6.7606999999999997E-4</v>
      </c>
      <c r="CC74">
        <v>8.1271299999999998E-3</v>
      </c>
      <c r="CD74">
        <v>3.4119829999999997E-2</v>
      </c>
      <c r="CE74">
        <v>2.352827E-2</v>
      </c>
      <c r="CF74">
        <v>4.5375299999999997E-3</v>
      </c>
      <c r="CG74">
        <v>5.0240079999999999E-2</v>
      </c>
      <c r="CH74">
        <v>1.8346080000000001E-2</v>
      </c>
      <c r="CI74">
        <v>4.4719999999999997E-4</v>
      </c>
      <c r="CJ74">
        <v>2.4082070000000001E-2</v>
      </c>
      <c r="CK74">
        <v>4.5577510000000002E-2</v>
      </c>
      <c r="CL74">
        <v>3.0739229999999999E-2</v>
      </c>
      <c r="CM74">
        <v>1.9312619999999999E-2</v>
      </c>
      <c r="CN74">
        <v>-5.5867499999999997E-3</v>
      </c>
      <c r="CO74">
        <v>1.8896320000000001E-2</v>
      </c>
      <c r="CP74">
        <v>3.34121E-2</v>
      </c>
      <c r="CQ74">
        <v>6.8862889999999996E-2</v>
      </c>
      <c r="CR74">
        <v>3.779975E-2</v>
      </c>
      <c r="CS74">
        <v>3.3292780000000001E-2</v>
      </c>
      <c r="CT74">
        <v>4.0806540000000002E-2</v>
      </c>
      <c r="CU74">
        <v>3.8047900000000003E-2</v>
      </c>
      <c r="CV74">
        <v>1.8392550000000001E-2</v>
      </c>
      <c r="CW74">
        <v>4.8285910000000001E-2</v>
      </c>
      <c r="CX74">
        <v>4.1885480000000003E-2</v>
      </c>
      <c r="CY74">
        <v>4.9797559999999998E-2</v>
      </c>
      <c r="CZ74">
        <v>2.7946740000000001E-2</v>
      </c>
      <c r="DA74">
        <v>2.3283120000000001E-2</v>
      </c>
      <c r="DB74">
        <v>2.279084E-2</v>
      </c>
      <c r="DC74">
        <v>4.3610599999999999E-2</v>
      </c>
      <c r="DD74">
        <v>4.3563829999999998E-2</v>
      </c>
      <c r="DE74">
        <v>3.1677200000000003E-2</v>
      </c>
      <c r="DF74">
        <v>1.8859770000000001E-2</v>
      </c>
      <c r="DG74">
        <v>3.1158149999999999E-2</v>
      </c>
      <c r="DH74">
        <v>2.9734670000000001E-2</v>
      </c>
      <c r="DI74">
        <v>7.4747309999999997E-2</v>
      </c>
      <c r="DJ74">
        <v>5.4882880000000002E-2</v>
      </c>
      <c r="DK74">
        <v>8.3333480000000001E-2</v>
      </c>
      <c r="DL74">
        <v>4.5767000000000004E-3</v>
      </c>
      <c r="DM74">
        <v>7.2710120000000003E-2</v>
      </c>
      <c r="DN74">
        <v>4.8753980000000002E-2</v>
      </c>
      <c r="DO74">
        <v>3.3773070000000002E-2</v>
      </c>
      <c r="DP74">
        <v>6.8563899999999997E-2</v>
      </c>
      <c r="DQ74">
        <v>4.3914719999999997E-2</v>
      </c>
      <c r="DR74">
        <v>3.3442680000000002E-2</v>
      </c>
      <c r="DS74">
        <v>2.4939570000000001E-2</v>
      </c>
      <c r="DT74">
        <v>1.8541530000000001E-2</v>
      </c>
      <c r="DU74">
        <v>5.7739079999999998E-2</v>
      </c>
      <c r="DV74">
        <v>2.878501E-2</v>
      </c>
      <c r="DW74">
        <v>5.711389E-2</v>
      </c>
      <c r="DX74">
        <v>3.9438809999999998E-2</v>
      </c>
      <c r="DY74">
        <v>6.9239060000000005E-2</v>
      </c>
      <c r="DZ74">
        <v>3.8565210000000003E-2</v>
      </c>
      <c r="EA74">
        <v>4.0488669999999997E-2</v>
      </c>
      <c r="EB74">
        <v>7.2702349999999999E-2</v>
      </c>
      <c r="EC74">
        <v>-1.43994E-3</v>
      </c>
      <c r="ED74">
        <v>7.2812689999999999E-2</v>
      </c>
      <c r="EE74">
        <v>3.7026589999999998E-2</v>
      </c>
      <c r="EF74">
        <v>6.0050390000000002E-2</v>
      </c>
      <c r="EG74">
        <v>4.6256119999999998E-2</v>
      </c>
      <c r="EH74">
        <v>5.6883290000000003E-2</v>
      </c>
      <c r="EI74">
        <v>4.0680029999999999E-2</v>
      </c>
      <c r="EJ74">
        <v>4.8315909999999997E-2</v>
      </c>
      <c r="EK74">
        <v>6.8022340000000001E-2</v>
      </c>
      <c r="EL74">
        <v>8.0823900000000004E-2</v>
      </c>
      <c r="EM74">
        <v>7.0002289999999995E-2</v>
      </c>
      <c r="EN74">
        <v>1.8525900000000001E-2</v>
      </c>
      <c r="EO74">
        <v>6.8306889999999995E-2</v>
      </c>
      <c r="EP74">
        <f t="shared" si="2"/>
        <v>0</v>
      </c>
      <c r="EQ74">
        <f>SUMIF('Mi portafolio'!$A$8:$A$19,$A74,'Mi portafolio'!$B$8:$B$19)</f>
        <v>0</v>
      </c>
    </row>
    <row r="75" spans="1:147" x14ac:dyDescent="0.25">
      <c r="A75" s="34" t="s">
        <v>151</v>
      </c>
      <c r="B75">
        <v>1.1314700000000001E-3</v>
      </c>
      <c r="C75">
        <v>-1.7506900000000001E-3</v>
      </c>
      <c r="D75">
        <v>-4.1638400000000002E-3</v>
      </c>
      <c r="E75">
        <v>2.1058399999999999E-3</v>
      </c>
      <c r="F75">
        <v>9.6803299999999991E-3</v>
      </c>
      <c r="G75">
        <v>-1.3294000000000001E-4</v>
      </c>
      <c r="H75">
        <v>-7.0304E-3</v>
      </c>
      <c r="I75">
        <v>5.7686E-4</v>
      </c>
      <c r="J75">
        <v>7.9578700000000006E-3</v>
      </c>
      <c r="K75">
        <v>-4.3378899999999996E-3</v>
      </c>
      <c r="L75">
        <v>-4.6521799999999997E-3</v>
      </c>
      <c r="M75">
        <v>-7.0871700000000003E-3</v>
      </c>
      <c r="N75">
        <v>2.9315999999999999E-3</v>
      </c>
      <c r="O75">
        <v>-4.8202899999999996E-3</v>
      </c>
      <c r="P75">
        <v>1.270078E-2</v>
      </c>
      <c r="Q75">
        <v>-4.0335099999999997E-3</v>
      </c>
      <c r="R75">
        <v>1.048733E-2</v>
      </c>
      <c r="S75">
        <v>-9.56598E-3</v>
      </c>
      <c r="T75">
        <v>-6.0382000000000003E-4</v>
      </c>
      <c r="U75">
        <v>-7.6860599999999998E-3</v>
      </c>
      <c r="V75">
        <v>-7.2007800000000004E-3</v>
      </c>
      <c r="W75">
        <v>-3.4441900000000002E-3</v>
      </c>
      <c r="X75">
        <v>-1.3424000000000001E-3</v>
      </c>
      <c r="Y75">
        <v>-1.26819E-3</v>
      </c>
      <c r="Z75">
        <v>-9.0867099999999996E-3</v>
      </c>
      <c r="AA75">
        <v>-1.121015E-2</v>
      </c>
      <c r="AB75">
        <v>-3.9723999999999998E-4</v>
      </c>
      <c r="AC75">
        <v>5.8726999999999998E-4</v>
      </c>
      <c r="AD75">
        <v>5.6396500000000004E-3</v>
      </c>
      <c r="AE75">
        <v>-1.9312329999999999E-2</v>
      </c>
      <c r="AF75">
        <v>-9.0840299999999999E-3</v>
      </c>
      <c r="AG75">
        <v>1.9087570000000002E-2</v>
      </c>
      <c r="AH75">
        <v>1.8409979999999999E-2</v>
      </c>
      <c r="AI75">
        <v>6.3511419999999999E-2</v>
      </c>
      <c r="AJ75">
        <v>-5.8989899999999998E-3</v>
      </c>
      <c r="AK75">
        <v>-1.3273770000000001E-2</v>
      </c>
      <c r="AL75">
        <v>-1.08591E-3</v>
      </c>
      <c r="AM75">
        <v>-1.115172E-2</v>
      </c>
      <c r="AN75">
        <v>-1.761192E-2</v>
      </c>
      <c r="AO75">
        <v>5.5550599999999997E-3</v>
      </c>
      <c r="AP75">
        <v>-6.97856E-3</v>
      </c>
      <c r="AQ75">
        <v>6.948066E-2</v>
      </c>
      <c r="AR75">
        <v>2.4501599999999998E-3</v>
      </c>
      <c r="AS75">
        <v>-1.43611E-2</v>
      </c>
      <c r="AT75">
        <v>-8.3374399999999998E-3</v>
      </c>
      <c r="AU75">
        <v>1.063324E-2</v>
      </c>
      <c r="AV75">
        <v>-2.8272100000000001E-3</v>
      </c>
      <c r="AW75">
        <v>-6.8612400000000002E-3</v>
      </c>
      <c r="AX75">
        <v>1.5443799999999999E-3</v>
      </c>
      <c r="AY75">
        <v>-2.2818E-4</v>
      </c>
      <c r="AZ75">
        <v>-2.0287429999999999E-2</v>
      </c>
      <c r="BA75">
        <v>-3.37842E-3</v>
      </c>
      <c r="BB75">
        <v>-1.029216E-2</v>
      </c>
      <c r="BC75">
        <v>-4.6318399999999999E-3</v>
      </c>
      <c r="BD75">
        <v>-1.316371E-2</v>
      </c>
      <c r="BE75">
        <v>5.2908599999999997E-3</v>
      </c>
      <c r="BF75">
        <v>-2.4624E-4</v>
      </c>
      <c r="BG75">
        <v>-3.74596E-3</v>
      </c>
      <c r="BH75">
        <v>-1.6867360000000001E-2</v>
      </c>
      <c r="BI75">
        <v>-4.0613899999999998E-3</v>
      </c>
      <c r="BJ75">
        <v>8.0593899999999996E-3</v>
      </c>
      <c r="BK75">
        <v>-1.3293569999999999E-2</v>
      </c>
      <c r="BL75">
        <v>-2.0976599999999999E-3</v>
      </c>
      <c r="BM75">
        <v>5.2955700000000003E-3</v>
      </c>
      <c r="BN75">
        <v>5.2803499999999996E-3</v>
      </c>
      <c r="BO75">
        <v>-1.251159E-2</v>
      </c>
      <c r="BP75">
        <v>-4.39596E-3</v>
      </c>
      <c r="BQ75">
        <v>-1.9693229999999999E-2</v>
      </c>
      <c r="BR75">
        <v>4.7770699999999996E-3</v>
      </c>
      <c r="BS75">
        <v>0.11625641</v>
      </c>
      <c r="BT75">
        <v>-2.720798E-2</v>
      </c>
      <c r="BU75">
        <v>-1.047082E-2</v>
      </c>
      <c r="BV75">
        <v>-3.8074200000000002E-3</v>
      </c>
      <c r="BW75">
        <v>3.4830199999999999E-3</v>
      </c>
      <c r="BX75">
        <v>8.9517000000000004E-4</v>
      </c>
      <c r="BY75">
        <v>-4.3619000000000002E-3</v>
      </c>
      <c r="BZ75">
        <v>-1.755027E-2</v>
      </c>
      <c r="CA75">
        <v>-1.156898E-2</v>
      </c>
      <c r="CB75">
        <v>1.6198489999999999E-2</v>
      </c>
      <c r="CC75">
        <v>-1.1112400000000001E-3</v>
      </c>
      <c r="CD75">
        <v>9.7243999999999998E-4</v>
      </c>
      <c r="CE75">
        <v>1.51506E-2</v>
      </c>
      <c r="CF75">
        <v>0.10336432</v>
      </c>
      <c r="CG75">
        <v>-9.8624000000000003E-3</v>
      </c>
      <c r="CH75">
        <v>-1.863631E-2</v>
      </c>
      <c r="CI75">
        <v>0.10206232</v>
      </c>
      <c r="CJ75">
        <v>1.463239E-2</v>
      </c>
      <c r="CK75">
        <v>6.0425100000000001E-3</v>
      </c>
      <c r="CL75">
        <v>-6.2089399999999996E-3</v>
      </c>
      <c r="CM75">
        <v>-6.25868E-3</v>
      </c>
      <c r="CN75">
        <v>-3.4730000000000001E-5</v>
      </c>
      <c r="CO75">
        <v>-1.6242280000000001E-2</v>
      </c>
      <c r="CP75">
        <v>8.0132799999999994E-3</v>
      </c>
      <c r="CQ75">
        <v>-2.930205E-2</v>
      </c>
      <c r="CR75">
        <v>-1.010774E-2</v>
      </c>
      <c r="CS75">
        <v>2.94268E-3</v>
      </c>
      <c r="CT75">
        <v>-9.9112999999999996E-3</v>
      </c>
      <c r="CU75">
        <v>4.7920699999999998E-3</v>
      </c>
      <c r="CV75">
        <v>-1.7225299999999999E-2</v>
      </c>
      <c r="CW75">
        <v>-1.068757E-2</v>
      </c>
      <c r="CX75">
        <v>-1.5268489999999999E-2</v>
      </c>
      <c r="CY75">
        <v>-3.888167E-2</v>
      </c>
      <c r="CZ75">
        <v>1.203941E-2</v>
      </c>
      <c r="DA75">
        <v>1.5343900000000001E-3</v>
      </c>
      <c r="DB75">
        <v>-7.3489200000000001E-3</v>
      </c>
      <c r="DC75">
        <v>-4.5816000000000003E-2</v>
      </c>
      <c r="DD75">
        <v>-9.7456000000000001E-3</v>
      </c>
      <c r="DE75">
        <v>-1.5827870000000001E-2</v>
      </c>
      <c r="DF75">
        <v>8.7055699999999993E-3</v>
      </c>
      <c r="DG75">
        <v>-1.3751849999999999E-2</v>
      </c>
      <c r="DH75">
        <v>1.9716400000000002E-3</v>
      </c>
      <c r="DI75">
        <v>-5.283707E-2</v>
      </c>
      <c r="DJ75">
        <v>-2.3019149999999999E-2</v>
      </c>
      <c r="DK75">
        <v>-5.060485E-2</v>
      </c>
      <c r="DL75">
        <v>-3.3932940000000002E-2</v>
      </c>
      <c r="DM75">
        <v>-4.2120390000000001E-2</v>
      </c>
      <c r="DN75">
        <v>-7.1367599999999998E-3</v>
      </c>
      <c r="DO75">
        <v>5.8442600000000004E-3</v>
      </c>
      <c r="DP75">
        <v>-3.9175590000000003E-2</v>
      </c>
      <c r="DQ75">
        <v>1.008041E-2</v>
      </c>
      <c r="DR75">
        <v>1.0923240000000001E-2</v>
      </c>
      <c r="DS75">
        <v>1.1961E-4</v>
      </c>
      <c r="DT75">
        <v>-4.62233E-3</v>
      </c>
      <c r="DU75">
        <v>-2.4975520000000001E-2</v>
      </c>
      <c r="DV75">
        <v>-5.3453299999999997E-3</v>
      </c>
      <c r="DW75">
        <v>-2.739567E-2</v>
      </c>
      <c r="DX75">
        <v>-1.132726E-2</v>
      </c>
      <c r="DY75">
        <v>-3.1624109999999997E-2</v>
      </c>
      <c r="DZ75">
        <v>1.492891E-2</v>
      </c>
      <c r="EA75">
        <v>-3.8147260000000002E-2</v>
      </c>
      <c r="EB75">
        <v>-2.0763500000000001E-2</v>
      </c>
      <c r="EC75">
        <v>-1.7136249999999999E-2</v>
      </c>
      <c r="ED75">
        <v>-6.6415600000000003E-3</v>
      </c>
      <c r="EE75">
        <v>-1.277932E-2</v>
      </c>
      <c r="EF75">
        <v>5.4343200000000003E-3</v>
      </c>
      <c r="EG75">
        <v>-1.5338310000000001E-2</v>
      </c>
      <c r="EH75">
        <v>-1.2313960000000001E-2</v>
      </c>
      <c r="EI75">
        <v>-5.8806600000000002E-3</v>
      </c>
      <c r="EJ75">
        <v>6.8104999999999997E-3</v>
      </c>
      <c r="EK75">
        <v>2.4127800000000001E-2</v>
      </c>
      <c r="EL75">
        <v>-2.7323549999999999E-2</v>
      </c>
      <c r="EM75">
        <v>-7.5457600000000003E-3</v>
      </c>
      <c r="EN75">
        <v>-2.3076619999999999E-2</v>
      </c>
      <c r="EO75">
        <v>-2.1113400000000002E-3</v>
      </c>
      <c r="EP75">
        <f t="shared" si="2"/>
        <v>0</v>
      </c>
      <c r="EQ75">
        <f>SUMIF('Mi portafolio'!$A$8:$A$19,$A75,'Mi portafolio'!$B$8:$B$19)</f>
        <v>0</v>
      </c>
    </row>
    <row r="76" spans="1:147" x14ac:dyDescent="0.25">
      <c r="A76" s="34" t="s">
        <v>153</v>
      </c>
      <c r="B76">
        <v>1.0420840000000001E-2</v>
      </c>
      <c r="C76">
        <v>2.1749500000000001E-3</v>
      </c>
      <c r="D76">
        <v>3.4275600000000001E-3</v>
      </c>
      <c r="E76">
        <v>3.6026500000000002E-3</v>
      </c>
      <c r="F76">
        <v>5.4317599999999999E-3</v>
      </c>
      <c r="G76">
        <v>9.2060999999999998E-4</v>
      </c>
      <c r="H76">
        <v>1.335619E-2</v>
      </c>
      <c r="I76">
        <v>1.296513E-2</v>
      </c>
      <c r="J76">
        <v>1.43336E-2</v>
      </c>
      <c r="K76">
        <v>1.263532E-2</v>
      </c>
      <c r="L76">
        <v>9.5488499999999994E-3</v>
      </c>
      <c r="M76">
        <v>2.6318560000000001E-2</v>
      </c>
      <c r="N76">
        <v>1.506571E-2</v>
      </c>
      <c r="O76">
        <v>1.4538799999999999E-2</v>
      </c>
      <c r="P76">
        <v>1.8689100000000001E-3</v>
      </c>
      <c r="Q76">
        <v>1.4141100000000001E-3</v>
      </c>
      <c r="R76">
        <v>6.5430799999999997E-3</v>
      </c>
      <c r="S76">
        <v>1.311754E-2</v>
      </c>
      <c r="T76">
        <v>3.582946E-2</v>
      </c>
      <c r="U76">
        <v>1.5407499999999999E-2</v>
      </c>
      <c r="V76">
        <v>4.6270699999999996E-3</v>
      </c>
      <c r="W76">
        <v>5.0192800000000001E-3</v>
      </c>
      <c r="X76">
        <v>3.7666159999999997E-2</v>
      </c>
      <c r="Y76">
        <v>1.34994E-2</v>
      </c>
      <c r="Z76">
        <v>9.9229499999999998E-3</v>
      </c>
      <c r="AA76">
        <v>1.19174E-2</v>
      </c>
      <c r="AB76">
        <v>1.425769E-2</v>
      </c>
      <c r="AC76">
        <v>8.9617599999999992E-3</v>
      </c>
      <c r="AD76">
        <v>1.441166E-2</v>
      </c>
      <c r="AE76">
        <v>2.492337E-2</v>
      </c>
      <c r="AF76">
        <v>1.623867E-2</v>
      </c>
      <c r="AG76">
        <v>-5.78738E-3</v>
      </c>
      <c r="AH76">
        <v>1.128E-4</v>
      </c>
      <c r="AI76">
        <v>-2.0134849999999999E-2</v>
      </c>
      <c r="AJ76">
        <v>5.0110700000000003E-3</v>
      </c>
      <c r="AK76">
        <v>2.4241209999999999E-2</v>
      </c>
      <c r="AL76">
        <v>2.040807E-2</v>
      </c>
      <c r="AM76">
        <v>2.5027609999999999E-2</v>
      </c>
      <c r="AN76">
        <v>3.9310629999999999E-2</v>
      </c>
      <c r="AO76">
        <v>1.114157E-2</v>
      </c>
      <c r="AP76">
        <v>2.3182020000000001E-2</v>
      </c>
      <c r="AQ76">
        <v>-2.3262310000000001E-2</v>
      </c>
      <c r="AR76">
        <v>3.5026839999999997E-2</v>
      </c>
      <c r="AS76">
        <v>1.447585E-2</v>
      </c>
      <c r="AT76">
        <v>2.930487E-2</v>
      </c>
      <c r="AU76">
        <v>1.021441E-2</v>
      </c>
      <c r="AV76">
        <v>8.7487599999999995E-3</v>
      </c>
      <c r="AW76">
        <v>2.115583E-2</v>
      </c>
      <c r="AX76">
        <v>2.3646739999999999E-2</v>
      </c>
      <c r="AY76">
        <v>2.0640039999999998E-2</v>
      </c>
      <c r="AZ76">
        <v>2.3381160000000002E-2</v>
      </c>
      <c r="BA76">
        <v>3.3280789999999998E-2</v>
      </c>
      <c r="BB76">
        <v>5.2739679999999997E-2</v>
      </c>
      <c r="BC76">
        <v>2.0754120000000001E-2</v>
      </c>
      <c r="BD76">
        <v>1.5622209999999999E-2</v>
      </c>
      <c r="BE76">
        <v>2.38371E-2</v>
      </c>
      <c r="BF76">
        <v>2.3129029999999998E-2</v>
      </c>
      <c r="BG76">
        <v>2.321434E-2</v>
      </c>
      <c r="BH76">
        <v>2.3279890000000001E-2</v>
      </c>
      <c r="BI76">
        <v>1.224797E-2</v>
      </c>
      <c r="BJ76">
        <v>4.9678500000000002E-3</v>
      </c>
      <c r="BK76">
        <v>1.8754219999999999E-2</v>
      </c>
      <c r="BL76">
        <v>3.8073929999999999E-2</v>
      </c>
      <c r="BM76">
        <v>1.3968990000000001E-2</v>
      </c>
      <c r="BN76">
        <v>1.2989570000000001E-2</v>
      </c>
      <c r="BO76">
        <v>3.8598970000000003E-2</v>
      </c>
      <c r="BP76">
        <v>8.0163600000000002E-3</v>
      </c>
      <c r="BQ76">
        <v>3.7043310000000003E-2</v>
      </c>
      <c r="BR76">
        <v>3.5938999999999999E-2</v>
      </c>
      <c r="BS76">
        <v>-2.720798E-2</v>
      </c>
      <c r="BT76">
        <v>0.11888306</v>
      </c>
      <c r="BU76">
        <v>2.694647E-2</v>
      </c>
      <c r="BV76">
        <v>3.0285699999999999E-2</v>
      </c>
      <c r="BW76">
        <v>2.2120000000000001E-2</v>
      </c>
      <c r="BX76">
        <v>2.331627E-2</v>
      </c>
      <c r="BY76">
        <v>4.2982190000000003E-2</v>
      </c>
      <c r="BZ76">
        <v>6.0207169999999997E-2</v>
      </c>
      <c r="CA76">
        <v>1.7797879999999999E-2</v>
      </c>
      <c r="CB76">
        <v>-5.7343899999999998E-3</v>
      </c>
      <c r="CC76">
        <v>3.1878700000000002E-3</v>
      </c>
      <c r="CD76">
        <v>3.4592209999999998E-2</v>
      </c>
      <c r="CE76">
        <v>1.717407E-2</v>
      </c>
      <c r="CF76">
        <v>-3.465265E-2</v>
      </c>
      <c r="CG76">
        <v>3.1083510000000002E-2</v>
      </c>
      <c r="CH76">
        <v>4.2504060000000003E-2</v>
      </c>
      <c r="CI76">
        <v>-3.3346779999999999E-2</v>
      </c>
      <c r="CJ76">
        <v>1.478033E-2</v>
      </c>
      <c r="CK76">
        <v>1.9389859999999998E-2</v>
      </c>
      <c r="CL76">
        <v>3.8776089999999999E-2</v>
      </c>
      <c r="CM76">
        <v>3.9508219999999997E-2</v>
      </c>
      <c r="CN76">
        <v>9.0997200000000004E-3</v>
      </c>
      <c r="CO76">
        <v>8.5549900000000002E-3</v>
      </c>
      <c r="CP76">
        <v>6.5054199999999996E-3</v>
      </c>
      <c r="CQ76">
        <v>7.0138010000000001E-2</v>
      </c>
      <c r="CR76">
        <v>5.3051290000000001E-2</v>
      </c>
      <c r="CS76">
        <v>6.9527450000000005E-2</v>
      </c>
      <c r="CT76">
        <v>3.4790719999999997E-2</v>
      </c>
      <c r="CU76">
        <v>2.3910939999999999E-2</v>
      </c>
      <c r="CV76">
        <v>2.5975999999999999E-2</v>
      </c>
      <c r="CW76">
        <v>3.8146640000000002E-2</v>
      </c>
      <c r="CX76">
        <v>5.5487439999999999E-2</v>
      </c>
      <c r="CY76">
        <v>7.4864050000000001E-2</v>
      </c>
      <c r="CZ76">
        <v>-4.8974000000000001E-4</v>
      </c>
      <c r="DA76">
        <v>1.99253E-2</v>
      </c>
      <c r="DB76">
        <v>3.8771559999999997E-2</v>
      </c>
      <c r="DC76">
        <v>5.156993E-2</v>
      </c>
      <c r="DD76">
        <v>4.8370009999999998E-2</v>
      </c>
      <c r="DE76">
        <v>5.1197149999999997E-2</v>
      </c>
      <c r="DF76">
        <v>-2.2405540000000002E-2</v>
      </c>
      <c r="DG76">
        <v>4.7598719999999997E-2</v>
      </c>
      <c r="DH76">
        <v>3.7279720000000002E-2</v>
      </c>
      <c r="DI76">
        <v>8.0616889999999997E-2</v>
      </c>
      <c r="DJ76">
        <v>7.338538E-2</v>
      </c>
      <c r="DK76">
        <v>9.241394E-2</v>
      </c>
      <c r="DL76">
        <v>2.9459849999999999E-2</v>
      </c>
      <c r="DM76">
        <v>9.2657749999999997E-2</v>
      </c>
      <c r="DN76">
        <v>2.8166730000000001E-2</v>
      </c>
      <c r="DO76">
        <v>4.8736309999999998E-2</v>
      </c>
      <c r="DP76">
        <v>9.6938339999999998E-2</v>
      </c>
      <c r="DQ76">
        <v>5.4693970000000001E-2</v>
      </c>
      <c r="DR76">
        <v>3.8321279999999999E-2</v>
      </c>
      <c r="DS76">
        <v>2.4356579999999999E-2</v>
      </c>
      <c r="DT76">
        <v>2.9301250000000001E-2</v>
      </c>
      <c r="DU76">
        <v>7.1449369999999998E-2</v>
      </c>
      <c r="DV76">
        <v>2.8476660000000001E-2</v>
      </c>
      <c r="DW76">
        <v>3.7797240000000003E-2</v>
      </c>
      <c r="DX76">
        <v>7.6487819999999998E-2</v>
      </c>
      <c r="DY76">
        <v>6.0652619999999997E-2</v>
      </c>
      <c r="DZ76">
        <v>1.7970900000000001E-3</v>
      </c>
      <c r="EA76">
        <v>5.8508409999999997E-2</v>
      </c>
      <c r="EB76">
        <v>6.6226750000000001E-2</v>
      </c>
      <c r="EC76">
        <v>1.5534289999999999E-2</v>
      </c>
      <c r="ED76">
        <v>5.2910159999999998E-2</v>
      </c>
      <c r="EE76">
        <v>7.3520959999999996E-2</v>
      </c>
      <c r="EF76">
        <v>7.2038829999999998E-2</v>
      </c>
      <c r="EG76">
        <v>6.7803539999999995E-2</v>
      </c>
      <c r="EH76">
        <v>2.6454709999999999E-2</v>
      </c>
      <c r="EI76">
        <v>7.4921059999999998E-2</v>
      </c>
      <c r="EJ76">
        <v>6.7578219999999994E-2</v>
      </c>
      <c r="EK76">
        <v>7.9114390000000007E-2</v>
      </c>
      <c r="EL76">
        <v>0.11910651999999999</v>
      </c>
      <c r="EM76">
        <v>6.8462410000000001E-2</v>
      </c>
      <c r="EN76">
        <v>2.5462370000000002E-2</v>
      </c>
      <c r="EO76">
        <v>7.1797369999999999E-2</v>
      </c>
      <c r="EP76">
        <f t="shared" si="2"/>
        <v>0</v>
      </c>
      <c r="EQ76">
        <f>SUMIF('Mi portafolio'!$A$8:$A$19,$A76,'Mi portafolio'!$B$8:$B$19)</f>
        <v>0</v>
      </c>
    </row>
    <row r="77" spans="1:147" x14ac:dyDescent="0.25">
      <c r="A77" s="34" t="s">
        <v>154</v>
      </c>
      <c r="B77">
        <v>-4.2138699999999998E-3</v>
      </c>
      <c r="C77">
        <v>3.7502899999999999E-3</v>
      </c>
      <c r="D77">
        <v>6.7914899999999999E-3</v>
      </c>
      <c r="E77">
        <v>1.1849989999999999E-2</v>
      </c>
      <c r="F77">
        <v>-4.4259299999999998E-3</v>
      </c>
      <c r="G77">
        <v>-5.8940999999999996E-4</v>
      </c>
      <c r="H77">
        <v>1.3271639999999999E-2</v>
      </c>
      <c r="I77">
        <v>-4.28642E-3</v>
      </c>
      <c r="J77">
        <v>2.11086E-3</v>
      </c>
      <c r="K77">
        <v>-3.0179E-3</v>
      </c>
      <c r="L77">
        <v>5.6842699999999999E-3</v>
      </c>
      <c r="M77">
        <v>9.6986099999999999E-3</v>
      </c>
      <c r="N77">
        <v>3.3655099999999999E-3</v>
      </c>
      <c r="O77">
        <v>1.4059439999999999E-2</v>
      </c>
      <c r="P77">
        <v>2.7696800000000001E-3</v>
      </c>
      <c r="Q77">
        <v>-1.7777800000000001E-3</v>
      </c>
      <c r="R77">
        <v>1.1021399999999999E-3</v>
      </c>
      <c r="S77">
        <v>1.534957E-2</v>
      </c>
      <c r="T77">
        <v>1.2839740000000001E-2</v>
      </c>
      <c r="U77">
        <v>2.30204E-2</v>
      </c>
      <c r="V77">
        <v>9.0378400000000001E-3</v>
      </c>
      <c r="W77">
        <v>1.0922650000000001E-2</v>
      </c>
      <c r="X77">
        <v>1.518805E-2</v>
      </c>
      <c r="Y77">
        <v>-1.54284E-3</v>
      </c>
      <c r="Z77">
        <v>2.347202E-2</v>
      </c>
      <c r="AA77">
        <v>9.7487000000000008E-3</v>
      </c>
      <c r="AB77">
        <v>-1.80171E-3</v>
      </c>
      <c r="AC77">
        <v>6.5699399999999998E-3</v>
      </c>
      <c r="AD77">
        <v>1.7215790000000002E-2</v>
      </c>
      <c r="AE77">
        <v>2.3421580000000001E-2</v>
      </c>
      <c r="AF77">
        <v>2.2951619999999999E-2</v>
      </c>
      <c r="AG77">
        <v>-3.24077E-3</v>
      </c>
      <c r="AH77">
        <v>-8.52405E-3</v>
      </c>
      <c r="AI77">
        <v>-1.0381980000000001E-2</v>
      </c>
      <c r="AJ77">
        <v>1.4060960000000001E-2</v>
      </c>
      <c r="AK77">
        <v>3.3445339999999997E-2</v>
      </c>
      <c r="AL77">
        <v>7.4828100000000003E-3</v>
      </c>
      <c r="AM77">
        <v>2.6622050000000001E-2</v>
      </c>
      <c r="AN77">
        <v>1.279427E-2</v>
      </c>
      <c r="AO77">
        <v>-1.028448E-2</v>
      </c>
      <c r="AP77">
        <v>9.2966899999999998E-3</v>
      </c>
      <c r="AQ77">
        <v>-6.06705E-3</v>
      </c>
      <c r="AR77">
        <v>2.0467550000000001E-2</v>
      </c>
      <c r="AS77">
        <v>2.6811539999999998E-2</v>
      </c>
      <c r="AT77">
        <v>7.8014399999999998E-3</v>
      </c>
      <c r="AU77">
        <v>-1.09077E-3</v>
      </c>
      <c r="AV77">
        <v>8.5347700000000006E-3</v>
      </c>
      <c r="AW77">
        <v>2.8908139999999999E-2</v>
      </c>
      <c r="AX77">
        <v>1.24683E-3</v>
      </c>
      <c r="AY77">
        <v>6.0244499999999998E-3</v>
      </c>
      <c r="AZ77">
        <v>2.4990370000000001E-2</v>
      </c>
      <c r="BA77">
        <v>1.7496970000000001E-2</v>
      </c>
      <c r="BB77">
        <v>1.9877369999999998E-2</v>
      </c>
      <c r="BC77">
        <v>1.4027100000000001E-2</v>
      </c>
      <c r="BD77">
        <v>3.5823470000000003E-2</v>
      </c>
      <c r="BE77">
        <v>5.8714400000000003E-3</v>
      </c>
      <c r="BF77">
        <v>2.0669010000000002E-2</v>
      </c>
      <c r="BG77">
        <v>7.7354600000000004E-3</v>
      </c>
      <c r="BH77">
        <v>2.960784E-2</v>
      </c>
      <c r="BI77">
        <v>8.6797599999999999E-3</v>
      </c>
      <c r="BJ77">
        <v>1.58551E-3</v>
      </c>
      <c r="BK77">
        <v>2.409681E-2</v>
      </c>
      <c r="BL77">
        <v>1.546384E-2</v>
      </c>
      <c r="BM77">
        <v>7.8388299999999998E-3</v>
      </c>
      <c r="BN77">
        <v>-1.42482E-3</v>
      </c>
      <c r="BO77">
        <v>1.614175E-2</v>
      </c>
      <c r="BP77">
        <v>-3.9623799999999997E-3</v>
      </c>
      <c r="BQ77">
        <v>3.172092E-2</v>
      </c>
      <c r="BR77">
        <v>1.7026280000000001E-2</v>
      </c>
      <c r="BS77">
        <v>-1.047082E-2</v>
      </c>
      <c r="BT77">
        <v>2.694647E-2</v>
      </c>
      <c r="BU77">
        <v>0.11926514000000001</v>
      </c>
      <c r="BV77">
        <v>1.3437340000000001E-2</v>
      </c>
      <c r="BW77">
        <v>9.6237800000000002E-3</v>
      </c>
      <c r="BX77">
        <v>1.059088E-2</v>
      </c>
      <c r="BY77">
        <v>1.542174E-2</v>
      </c>
      <c r="BZ77">
        <v>1.9078000000000001E-2</v>
      </c>
      <c r="CA77">
        <v>1.423223E-2</v>
      </c>
      <c r="CB77">
        <v>-6.2894999999999997E-4</v>
      </c>
      <c r="CC77">
        <v>-1.8939199999999999E-3</v>
      </c>
      <c r="CD77">
        <v>1.0604489999999999E-2</v>
      </c>
      <c r="CE77">
        <v>1.432575E-2</v>
      </c>
      <c r="CF77">
        <v>-1.504087E-2</v>
      </c>
      <c r="CG77">
        <v>2.075244E-2</v>
      </c>
      <c r="CH77">
        <v>3.2581319999999997E-2</v>
      </c>
      <c r="CI77">
        <v>-1.3559079999999999E-2</v>
      </c>
      <c r="CJ77">
        <v>-3.9472400000000003E-3</v>
      </c>
      <c r="CK77">
        <v>1.438862E-2</v>
      </c>
      <c r="CL77">
        <v>1.7367750000000001E-2</v>
      </c>
      <c r="CM77">
        <v>2.3672289999999999E-2</v>
      </c>
      <c r="CN77">
        <v>2.396993E-2</v>
      </c>
      <c r="CO77">
        <v>-1.8456600000000001E-3</v>
      </c>
      <c r="CP77">
        <v>-7.4698500000000001E-3</v>
      </c>
      <c r="CQ77">
        <v>2.0737189999999999E-2</v>
      </c>
      <c r="CR77">
        <v>1.285041E-2</v>
      </c>
      <c r="CS77">
        <v>2.1484509999999998E-2</v>
      </c>
      <c r="CT77">
        <v>8.7860799999999999E-3</v>
      </c>
      <c r="CU77">
        <v>2.2229570000000001E-2</v>
      </c>
      <c r="CV77">
        <v>1.533231E-2</v>
      </c>
      <c r="CW77">
        <v>1.968868E-2</v>
      </c>
      <c r="CX77">
        <v>2.6663619999999999E-2</v>
      </c>
      <c r="CY77">
        <v>2.2336559999999998E-2</v>
      </c>
      <c r="CZ77">
        <v>2.4967570000000001E-2</v>
      </c>
      <c r="DA77">
        <v>-3.5367699999999998E-3</v>
      </c>
      <c r="DB77">
        <v>1.9270869999999999E-2</v>
      </c>
      <c r="DC77">
        <v>3.8309219999999998E-2</v>
      </c>
      <c r="DD77">
        <v>2.2976819999999998E-2</v>
      </c>
      <c r="DE77">
        <v>3.9972349999999997E-2</v>
      </c>
      <c r="DF77">
        <v>2.9709900000000002E-3</v>
      </c>
      <c r="DG77">
        <v>3.3470750000000001E-2</v>
      </c>
      <c r="DH77">
        <v>1.8144779999999999E-2</v>
      </c>
      <c r="DI77">
        <v>2.2988080000000001E-2</v>
      </c>
      <c r="DJ77">
        <v>2.4521790000000002E-2</v>
      </c>
      <c r="DK77">
        <v>2.363968E-2</v>
      </c>
      <c r="DL77">
        <v>4.7059589999999998E-2</v>
      </c>
      <c r="DM77">
        <v>3.7797980000000002E-2</v>
      </c>
      <c r="DN77">
        <v>9.7802800000000006E-3</v>
      </c>
      <c r="DO77">
        <v>2.65818E-3</v>
      </c>
      <c r="DP77">
        <v>2.2203440000000001E-2</v>
      </c>
      <c r="DQ77">
        <v>3.9525690000000002E-2</v>
      </c>
      <c r="DR77">
        <v>3.5464629999999997E-2</v>
      </c>
      <c r="DS77">
        <v>-2.0658999999999999E-3</v>
      </c>
      <c r="DT77">
        <v>1.8387529999999999E-2</v>
      </c>
      <c r="DU77">
        <v>3.8716920000000002E-2</v>
      </c>
      <c r="DV77">
        <v>2.4136370000000001E-2</v>
      </c>
      <c r="DW77">
        <v>2.9182429999999999E-2</v>
      </c>
      <c r="DX77">
        <v>2.870843E-2</v>
      </c>
      <c r="DY77">
        <v>2.1900409999999999E-2</v>
      </c>
      <c r="DZ77">
        <v>9.1441000000000005E-3</v>
      </c>
      <c r="EA77">
        <v>2.1796220000000002E-2</v>
      </c>
      <c r="EB77">
        <v>3.40494E-2</v>
      </c>
      <c r="EC77">
        <v>2.0030829999999999E-2</v>
      </c>
      <c r="ED77">
        <v>3.387503E-2</v>
      </c>
      <c r="EE77">
        <v>1.7973119999999999E-2</v>
      </c>
      <c r="EF77">
        <v>1.043672E-2</v>
      </c>
      <c r="EG77">
        <v>9.0318299999999994E-3</v>
      </c>
      <c r="EH77">
        <v>-1.6480559999999998E-2</v>
      </c>
      <c r="EI77">
        <v>1.7485420000000002E-2</v>
      </c>
      <c r="EJ77">
        <v>3.392208E-2</v>
      </c>
      <c r="EK77">
        <v>2.1810499999999999E-3</v>
      </c>
      <c r="EL77">
        <v>2.959171E-2</v>
      </c>
      <c r="EM77">
        <v>3.0978169999999999E-2</v>
      </c>
      <c r="EN77">
        <v>4.48683E-2</v>
      </c>
      <c r="EO77">
        <v>3.5317979999999999E-2</v>
      </c>
      <c r="EP77">
        <f t="shared" si="2"/>
        <v>0</v>
      </c>
      <c r="EQ77">
        <f>SUMIF('Mi portafolio'!$A$8:$A$19,$A77,'Mi portafolio'!$B$8:$B$19)</f>
        <v>0</v>
      </c>
    </row>
    <row r="78" spans="1:147" x14ac:dyDescent="0.25">
      <c r="A78" s="34" t="s">
        <v>155</v>
      </c>
      <c r="B78">
        <v>7.7107E-3</v>
      </c>
      <c r="C78">
        <v>-1.3737599999999999E-3</v>
      </c>
      <c r="D78">
        <v>2.6593599999999999E-3</v>
      </c>
      <c r="E78">
        <v>-2.1653200000000001E-3</v>
      </c>
      <c r="F78">
        <v>1.35227E-3</v>
      </c>
      <c r="G78">
        <v>1.4749400000000001E-3</v>
      </c>
      <c r="H78">
        <v>4.6898900000000004E-3</v>
      </c>
      <c r="I78">
        <v>1.0235360000000001E-2</v>
      </c>
      <c r="J78">
        <v>-1.1319100000000001E-3</v>
      </c>
      <c r="K78">
        <v>1.0360889999999999E-2</v>
      </c>
      <c r="L78">
        <v>8.5230700000000006E-3</v>
      </c>
      <c r="M78">
        <v>2.4707150000000001E-2</v>
      </c>
      <c r="N78">
        <v>1.202013E-2</v>
      </c>
      <c r="O78">
        <v>8.2112599999999997E-3</v>
      </c>
      <c r="P78">
        <v>8.13995E-3</v>
      </c>
      <c r="Q78">
        <v>1.7648799999999999E-3</v>
      </c>
      <c r="R78">
        <v>2.8712500000000001E-3</v>
      </c>
      <c r="S78">
        <v>5.3174299999999997E-3</v>
      </c>
      <c r="T78">
        <v>1.9497710000000001E-2</v>
      </c>
      <c r="U78">
        <v>1.321455E-2</v>
      </c>
      <c r="V78">
        <v>4.0989199999999998E-3</v>
      </c>
      <c r="W78">
        <v>1.6822899999999999E-3</v>
      </c>
      <c r="X78">
        <v>1.85851E-2</v>
      </c>
      <c r="Y78">
        <v>1.995767E-2</v>
      </c>
      <c r="Z78">
        <v>7.6979000000000001E-4</v>
      </c>
      <c r="AA78">
        <v>2.2056799999999998E-3</v>
      </c>
      <c r="AB78">
        <v>2.2907009999999998E-2</v>
      </c>
      <c r="AC78">
        <v>8.2845E-4</v>
      </c>
      <c r="AD78">
        <v>9.5060300000000004E-3</v>
      </c>
      <c r="AE78">
        <v>9.5549899999999993E-3</v>
      </c>
      <c r="AF78">
        <v>1.77691E-3</v>
      </c>
      <c r="AG78">
        <v>1.17925E-3</v>
      </c>
      <c r="AH78">
        <v>2.4510500000000002E-3</v>
      </c>
      <c r="AI78">
        <v>-4.3893700000000001E-3</v>
      </c>
      <c r="AJ78">
        <v>1.79619E-3</v>
      </c>
      <c r="AK78">
        <v>4.3504199999999998E-3</v>
      </c>
      <c r="AL78">
        <v>1.4193020000000001E-2</v>
      </c>
      <c r="AM78">
        <v>8.4012400000000008E-3</v>
      </c>
      <c r="AN78">
        <v>2.8755559999999999E-2</v>
      </c>
      <c r="AO78">
        <v>-8.6504700000000004E-3</v>
      </c>
      <c r="AP78">
        <v>2.1856879999999999E-2</v>
      </c>
      <c r="AQ78">
        <v>-1.6752220000000002E-2</v>
      </c>
      <c r="AR78">
        <v>2.291698E-2</v>
      </c>
      <c r="AS78">
        <v>6.6517900000000003E-3</v>
      </c>
      <c r="AT78">
        <v>3.0521659999999999E-2</v>
      </c>
      <c r="AU78">
        <v>1.04576E-3</v>
      </c>
      <c r="AV78">
        <v>7.8263399999999993E-3</v>
      </c>
      <c r="AW78">
        <v>7.0099300000000002E-3</v>
      </c>
      <c r="AX78">
        <v>1.3876039999999999E-2</v>
      </c>
      <c r="AY78">
        <v>2.0160919999999999E-2</v>
      </c>
      <c r="AZ78">
        <v>1.0479530000000001E-2</v>
      </c>
      <c r="BA78">
        <v>1.8195090000000001E-2</v>
      </c>
      <c r="BB78">
        <v>2.700054E-2</v>
      </c>
      <c r="BC78">
        <v>3.2687999999999999E-4</v>
      </c>
      <c r="BD78">
        <v>1.267221E-2</v>
      </c>
      <c r="BE78">
        <v>7.7237599999999997E-3</v>
      </c>
      <c r="BF78">
        <v>9.7908000000000001E-4</v>
      </c>
      <c r="BG78">
        <v>2.1616590000000001E-2</v>
      </c>
      <c r="BH78">
        <v>1.4915680000000001E-2</v>
      </c>
      <c r="BI78">
        <v>1.91565E-2</v>
      </c>
      <c r="BJ78">
        <v>4.2399400000000002E-3</v>
      </c>
      <c r="BK78">
        <v>6.2456899999999999E-3</v>
      </c>
      <c r="BL78">
        <v>1.9727580000000002E-2</v>
      </c>
      <c r="BM78">
        <v>2.1373E-2</v>
      </c>
      <c r="BN78">
        <v>5.4625400000000001E-3</v>
      </c>
      <c r="BO78">
        <v>6.5716479999999994E-2</v>
      </c>
      <c r="BP78">
        <v>4.8113780000000002E-2</v>
      </c>
      <c r="BQ78">
        <v>2.4267250000000001E-2</v>
      </c>
      <c r="BR78">
        <v>2.7787630000000001E-2</v>
      </c>
      <c r="BS78">
        <v>-3.8074200000000002E-3</v>
      </c>
      <c r="BT78">
        <v>3.0285699999999999E-2</v>
      </c>
      <c r="BU78">
        <v>1.3437340000000001E-2</v>
      </c>
      <c r="BV78">
        <v>0.12054494</v>
      </c>
      <c r="BW78">
        <v>2.3221189999999999E-2</v>
      </c>
      <c r="BX78">
        <v>1.1172929999999999E-2</v>
      </c>
      <c r="BY78">
        <v>3.7120029999999998E-2</v>
      </c>
      <c r="BZ78">
        <v>3.4147469999999999E-2</v>
      </c>
      <c r="CA78">
        <v>1.345214E-2</v>
      </c>
      <c r="CB78">
        <v>-4.4368000000000003E-3</v>
      </c>
      <c r="CC78">
        <v>7.4176499999999996E-3</v>
      </c>
      <c r="CD78">
        <v>4.0624399999999998E-2</v>
      </c>
      <c r="CE78">
        <v>2.5944439999999999E-2</v>
      </c>
      <c r="CF78">
        <v>-8.4632800000000001E-3</v>
      </c>
      <c r="CG78">
        <v>4.828756E-2</v>
      </c>
      <c r="CH78">
        <v>1.6080770000000001E-2</v>
      </c>
      <c r="CI78">
        <v>-1.0858929999999999E-2</v>
      </c>
      <c r="CJ78">
        <v>3.3302709999999999E-2</v>
      </c>
      <c r="CK78">
        <v>2.8192080000000001E-2</v>
      </c>
      <c r="CL78">
        <v>2.913381E-2</v>
      </c>
      <c r="CM78">
        <v>3.665243E-2</v>
      </c>
      <c r="CN78">
        <v>1.3399600000000001E-3</v>
      </c>
      <c r="CO78">
        <v>1.4876159999999999E-2</v>
      </c>
      <c r="CP78">
        <v>1.5799170000000001E-2</v>
      </c>
      <c r="CQ78">
        <v>4.3586E-2</v>
      </c>
      <c r="CR78">
        <v>4.3377369999999998E-2</v>
      </c>
      <c r="CS78">
        <v>2.3623580000000002E-2</v>
      </c>
      <c r="CT78">
        <v>5.1784509999999999E-2</v>
      </c>
      <c r="CU78">
        <v>4.3199410000000001E-2</v>
      </c>
      <c r="CV78">
        <v>5.8403280000000002E-2</v>
      </c>
      <c r="CW78">
        <v>5.0957379999999997E-2</v>
      </c>
      <c r="CX78">
        <v>4.6963350000000001E-2</v>
      </c>
      <c r="CY78">
        <v>4.2525840000000002E-2</v>
      </c>
      <c r="CZ78">
        <v>4.4546639999999998E-2</v>
      </c>
      <c r="DA78">
        <v>4.1880939999999998E-2</v>
      </c>
      <c r="DB78">
        <v>6.1696580000000001E-2</v>
      </c>
      <c r="DC78">
        <v>3.081648E-2</v>
      </c>
      <c r="DD78">
        <v>6.3801860000000002E-2</v>
      </c>
      <c r="DE78">
        <v>3.201702E-2</v>
      </c>
      <c r="DF78">
        <v>2.8340799999999999E-2</v>
      </c>
      <c r="DG78">
        <v>2.6683829999999999E-2</v>
      </c>
      <c r="DH78">
        <v>4.3118530000000002E-2</v>
      </c>
      <c r="DI78">
        <v>5.2069039999999997E-2</v>
      </c>
      <c r="DJ78">
        <v>4.263579E-2</v>
      </c>
      <c r="DK78">
        <v>5.3099109999999998E-2</v>
      </c>
      <c r="DL78">
        <v>1.2602E-2</v>
      </c>
      <c r="DM78">
        <v>5.6745209999999997E-2</v>
      </c>
      <c r="DN78">
        <v>4.1143699999999998E-2</v>
      </c>
      <c r="DO78">
        <v>4.6865799999999999E-2</v>
      </c>
      <c r="DP78">
        <v>5.8098230000000001E-2</v>
      </c>
      <c r="DQ78">
        <v>6.3813880000000003E-2</v>
      </c>
      <c r="DR78">
        <v>2.6578040000000001E-2</v>
      </c>
      <c r="DS78">
        <v>4.9631179999999997E-2</v>
      </c>
      <c r="DT78">
        <v>5.4788910000000003E-2</v>
      </c>
      <c r="DU78">
        <v>6.8754270000000006E-2</v>
      </c>
      <c r="DV78">
        <v>5.9005460000000003E-2</v>
      </c>
      <c r="DW78">
        <v>5.6286360000000001E-2</v>
      </c>
      <c r="DX78">
        <v>4.522205E-2</v>
      </c>
      <c r="DY78">
        <v>9.4742110000000004E-2</v>
      </c>
      <c r="DZ78">
        <v>4.7239539999999997E-2</v>
      </c>
      <c r="EA78">
        <v>2.8325289999999999E-2</v>
      </c>
      <c r="EB78">
        <v>8.708254E-2</v>
      </c>
      <c r="EC78">
        <v>-9.7208999999999993E-3</v>
      </c>
      <c r="ED78">
        <v>3.6859599999999999E-2</v>
      </c>
      <c r="EE78">
        <v>6.2542979999999998E-2</v>
      </c>
      <c r="EF78">
        <v>2.682143E-2</v>
      </c>
      <c r="EG78">
        <v>5.4796490000000003E-2</v>
      </c>
      <c r="EH78">
        <v>7.200426E-2</v>
      </c>
      <c r="EI78">
        <v>4.7895710000000001E-2</v>
      </c>
      <c r="EJ78">
        <v>5.4035470000000002E-2</v>
      </c>
      <c r="EK78">
        <v>7.2171680000000002E-2</v>
      </c>
      <c r="EL78">
        <v>6.4413360000000003E-2</v>
      </c>
      <c r="EM78">
        <v>6.8933330000000001E-2</v>
      </c>
      <c r="EN78">
        <v>6.6302899999999998E-2</v>
      </c>
      <c r="EO78">
        <v>0.10100662000000001</v>
      </c>
      <c r="EP78">
        <f t="shared" si="2"/>
        <v>0</v>
      </c>
      <c r="EQ78">
        <f>SUMIF('Mi portafolio'!$A$8:$A$19,$A78,'Mi portafolio'!$B$8:$B$19)</f>
        <v>0</v>
      </c>
    </row>
    <row r="79" spans="1:147" x14ac:dyDescent="0.25">
      <c r="A79" s="34" t="s">
        <v>156</v>
      </c>
      <c r="B79">
        <v>9.2991500000000008E-3</v>
      </c>
      <c r="C79">
        <v>-2.3815799999999999E-3</v>
      </c>
      <c r="D79">
        <v>2.1702800000000001E-3</v>
      </c>
      <c r="E79">
        <v>8.6934400000000002E-3</v>
      </c>
      <c r="F79">
        <v>1.125965E-2</v>
      </c>
      <c r="G79">
        <v>6.3328999999999998E-3</v>
      </c>
      <c r="H79">
        <v>7.1703000000000001E-3</v>
      </c>
      <c r="I79">
        <v>1.377074E-2</v>
      </c>
      <c r="J79">
        <v>1.0785589999999999E-2</v>
      </c>
      <c r="K79">
        <v>7.6121000000000001E-3</v>
      </c>
      <c r="L79">
        <v>1.09441E-2</v>
      </c>
      <c r="M79">
        <v>2.052352E-2</v>
      </c>
      <c r="N79">
        <v>1.5036580000000001E-2</v>
      </c>
      <c r="O79">
        <v>2.6161700000000001E-3</v>
      </c>
      <c r="P79">
        <v>1.327922E-2</v>
      </c>
      <c r="Q79">
        <v>3.1012499999999998E-3</v>
      </c>
      <c r="R79">
        <v>1.7426509999999999E-2</v>
      </c>
      <c r="S79">
        <v>7.8661300000000007E-3</v>
      </c>
      <c r="T79">
        <v>1.7362720000000002E-2</v>
      </c>
      <c r="U79">
        <v>1.098595E-2</v>
      </c>
      <c r="V79">
        <v>3.1175700000000001E-3</v>
      </c>
      <c r="W79">
        <v>9.3595799999999993E-3</v>
      </c>
      <c r="X79">
        <v>1.3502699999999999E-2</v>
      </c>
      <c r="Y79">
        <v>1.6612160000000001E-2</v>
      </c>
      <c r="Z79">
        <v>6.6732099999999997E-3</v>
      </c>
      <c r="AA79">
        <v>1.251961E-2</v>
      </c>
      <c r="AB79">
        <v>1.6948459999999999E-2</v>
      </c>
      <c r="AC79">
        <v>9.1323999999999995E-4</v>
      </c>
      <c r="AD79">
        <v>4.7289899999999998E-3</v>
      </c>
      <c r="AE79">
        <v>1.2489999999999999E-2</v>
      </c>
      <c r="AF79">
        <v>1.498527E-2</v>
      </c>
      <c r="AG79">
        <v>-5.3747899999999999E-3</v>
      </c>
      <c r="AH79">
        <v>5.3637099999999998E-3</v>
      </c>
      <c r="AI79">
        <v>2.4451500000000001E-3</v>
      </c>
      <c r="AJ79">
        <v>4.40399E-3</v>
      </c>
      <c r="AK79">
        <v>7.8732899999999998E-3</v>
      </c>
      <c r="AL79">
        <v>2.1070869999999998E-2</v>
      </c>
      <c r="AM79">
        <v>1.5527060000000001E-2</v>
      </c>
      <c r="AN79">
        <v>2.0199999999999999E-2</v>
      </c>
      <c r="AO79">
        <v>6.4596699999999998E-3</v>
      </c>
      <c r="AP79">
        <v>2.1178059999999999E-2</v>
      </c>
      <c r="AQ79">
        <v>2.1990000000000001E-4</v>
      </c>
      <c r="AR79">
        <v>1.4952699999999999E-2</v>
      </c>
      <c r="AS79">
        <v>2.80463E-2</v>
      </c>
      <c r="AT79">
        <v>2.7789810000000002E-2</v>
      </c>
      <c r="AU79">
        <v>1.324582E-2</v>
      </c>
      <c r="AV79">
        <v>1.5125019999999999E-2</v>
      </c>
      <c r="AW79">
        <v>1.9045929999999999E-2</v>
      </c>
      <c r="AX79">
        <v>1.9094750000000001E-2</v>
      </c>
      <c r="AY79">
        <v>2.6686600000000001E-2</v>
      </c>
      <c r="AZ79">
        <v>9.1147199999999998E-3</v>
      </c>
      <c r="BA79">
        <v>2.4423480000000001E-2</v>
      </c>
      <c r="BB79">
        <v>2.5769380000000001E-2</v>
      </c>
      <c r="BC79">
        <v>2.3112049999999999E-2</v>
      </c>
      <c r="BD79">
        <v>1.826467E-2</v>
      </c>
      <c r="BE79">
        <v>1.564432E-2</v>
      </c>
      <c r="BF79">
        <v>1.618172E-2</v>
      </c>
      <c r="BG79">
        <v>4.0255199999999998E-2</v>
      </c>
      <c r="BH79">
        <v>1.7817550000000001E-2</v>
      </c>
      <c r="BI79">
        <v>2.38225E-2</v>
      </c>
      <c r="BJ79">
        <v>1.1994499999999999E-3</v>
      </c>
      <c r="BK79">
        <v>7.1738499999999998E-3</v>
      </c>
      <c r="BL79">
        <v>2.2882489999999998E-2</v>
      </c>
      <c r="BM79">
        <v>2.5896260000000001E-2</v>
      </c>
      <c r="BN79">
        <v>1.396591E-2</v>
      </c>
      <c r="BO79">
        <v>2.3077219999999999E-2</v>
      </c>
      <c r="BP79">
        <v>4.124738E-2</v>
      </c>
      <c r="BQ79">
        <v>1.379265E-2</v>
      </c>
      <c r="BR79">
        <v>7.1998909999999999E-2</v>
      </c>
      <c r="BS79">
        <v>3.4830199999999999E-3</v>
      </c>
      <c r="BT79">
        <v>2.2120000000000001E-2</v>
      </c>
      <c r="BU79">
        <v>9.6237800000000002E-3</v>
      </c>
      <c r="BV79">
        <v>2.3221189999999999E-2</v>
      </c>
      <c r="BW79">
        <v>0.11991783</v>
      </c>
      <c r="BX79">
        <v>2.2292409999999999E-2</v>
      </c>
      <c r="BY79">
        <v>2.974421E-2</v>
      </c>
      <c r="BZ79">
        <v>2.1598539999999999E-2</v>
      </c>
      <c r="CA79">
        <v>8.9611299999999994E-3</v>
      </c>
      <c r="CB79">
        <v>5.1292100000000004E-3</v>
      </c>
      <c r="CC79">
        <v>1.800734E-2</v>
      </c>
      <c r="CD79">
        <v>3.5625999999999998E-2</v>
      </c>
      <c r="CE79">
        <v>1.4652429999999999E-2</v>
      </c>
      <c r="CF79">
        <v>8.6760299999999995E-3</v>
      </c>
      <c r="CG79">
        <v>3.4946310000000001E-2</v>
      </c>
      <c r="CH79">
        <v>1.451684E-2</v>
      </c>
      <c r="CI79">
        <v>1.17241E-3</v>
      </c>
      <c r="CJ79">
        <v>2.5998540000000001E-2</v>
      </c>
      <c r="CK79">
        <v>3.628485E-2</v>
      </c>
      <c r="CL79">
        <v>2.397212E-2</v>
      </c>
      <c r="CM79">
        <v>1.4623580000000001E-2</v>
      </c>
      <c r="CN79">
        <v>-7.1312900000000002E-3</v>
      </c>
      <c r="CO79">
        <v>2.2158529999999999E-2</v>
      </c>
      <c r="CP79">
        <v>4.5229190000000002E-2</v>
      </c>
      <c r="CQ79">
        <v>3.8426519999999999E-2</v>
      </c>
      <c r="CR79">
        <v>3.048671E-2</v>
      </c>
      <c r="CS79">
        <v>1.448347E-2</v>
      </c>
      <c r="CT79">
        <v>3.8087299999999998E-2</v>
      </c>
      <c r="CU79">
        <v>3.1127439999999999E-2</v>
      </c>
      <c r="CV79">
        <v>3.1980000000000002E-5</v>
      </c>
      <c r="CW79">
        <v>4.7951550000000003E-2</v>
      </c>
      <c r="CX79">
        <v>4.3324330000000001E-2</v>
      </c>
      <c r="CY79">
        <v>5.5221200000000002E-3</v>
      </c>
      <c r="CZ79">
        <v>3.5428429999999997E-2</v>
      </c>
      <c r="DA79">
        <v>1.8619859999999998E-2</v>
      </c>
      <c r="DB79">
        <v>2.6601440000000001E-2</v>
      </c>
      <c r="DC79">
        <v>2.425356E-2</v>
      </c>
      <c r="DD79">
        <v>4.2878909999999999E-2</v>
      </c>
      <c r="DE79">
        <v>3.0635889999999999E-2</v>
      </c>
      <c r="DF79">
        <v>3.0962279999999998E-2</v>
      </c>
      <c r="DG79">
        <v>2.9307090000000001E-2</v>
      </c>
      <c r="DH79">
        <v>1.6851629999999999E-2</v>
      </c>
      <c r="DI79">
        <v>5.0382919999999998E-2</v>
      </c>
      <c r="DJ79">
        <v>1.2901920000000001E-2</v>
      </c>
      <c r="DK79">
        <v>5.2197529999999999E-2</v>
      </c>
      <c r="DL79">
        <v>1.132271E-2</v>
      </c>
      <c r="DM79">
        <v>3.3464149999999998E-2</v>
      </c>
      <c r="DN79">
        <v>3.6939430000000002E-2</v>
      </c>
      <c r="DO79">
        <v>2.2597519999999999E-2</v>
      </c>
      <c r="DP79">
        <v>3.0030000000000001E-2</v>
      </c>
      <c r="DQ79">
        <v>4.5955620000000003E-2</v>
      </c>
      <c r="DR79">
        <v>3.8555970000000002E-2</v>
      </c>
      <c r="DS79">
        <v>3.7422419999999998E-2</v>
      </c>
      <c r="DT79">
        <v>3.0415299999999999E-2</v>
      </c>
      <c r="DU79">
        <v>4.6925990000000001E-2</v>
      </c>
      <c r="DV79">
        <v>4.0523389999999999E-2</v>
      </c>
      <c r="DW79">
        <v>3.8986840000000002E-2</v>
      </c>
      <c r="DX79">
        <v>1.5802130000000001E-2</v>
      </c>
      <c r="DY79">
        <v>6.1886099999999999E-2</v>
      </c>
      <c r="DZ79">
        <v>4.4798839999999999E-2</v>
      </c>
      <c r="EA79">
        <v>2.8194730000000001E-2</v>
      </c>
      <c r="EB79">
        <v>5.5564679999999998E-2</v>
      </c>
      <c r="EC79">
        <v>4.2562399999999997E-3</v>
      </c>
      <c r="ED79">
        <v>5.6885100000000001E-2</v>
      </c>
      <c r="EE79">
        <v>3.1007739999999999E-2</v>
      </c>
      <c r="EF79">
        <v>3.5483470000000003E-2</v>
      </c>
      <c r="EG79">
        <v>2.5349569999999998E-2</v>
      </c>
      <c r="EH79">
        <v>4.8741659999999999E-2</v>
      </c>
      <c r="EI79">
        <v>3.2551650000000001E-2</v>
      </c>
      <c r="EJ79">
        <v>4.5351580000000002E-2</v>
      </c>
      <c r="EK79">
        <v>5.037382E-2</v>
      </c>
      <c r="EL79">
        <v>5.5203339999999997E-2</v>
      </c>
      <c r="EM79">
        <v>7.0960850000000006E-2</v>
      </c>
      <c r="EN79">
        <v>5.4971279999999997E-2</v>
      </c>
      <c r="EO79">
        <v>6.3685989999999998E-2</v>
      </c>
      <c r="EP79">
        <f t="shared" si="2"/>
        <v>0</v>
      </c>
      <c r="EQ79">
        <f>SUMIF('Mi portafolio'!$A$8:$A$19,$A79,'Mi portafolio'!$B$8:$B$19)</f>
        <v>0</v>
      </c>
    </row>
    <row r="80" spans="1:147" x14ac:dyDescent="0.25">
      <c r="A80" s="34" t="s">
        <v>157</v>
      </c>
      <c r="B80">
        <v>1.652023E-2</v>
      </c>
      <c r="C80">
        <v>-4.1171899999999997E-3</v>
      </c>
      <c r="D80">
        <v>6.1590400000000002E-3</v>
      </c>
      <c r="E80">
        <v>1.20393E-3</v>
      </c>
      <c r="F80">
        <v>1.603075E-2</v>
      </c>
      <c r="G80">
        <v>-8.0270000000000002E-5</v>
      </c>
      <c r="H80">
        <v>4.0666299999999999E-3</v>
      </c>
      <c r="I80">
        <v>2.4331080000000001E-2</v>
      </c>
      <c r="J80">
        <v>3.8090779999999998E-2</v>
      </c>
      <c r="K80">
        <v>1.873184E-2</v>
      </c>
      <c r="L80">
        <v>-2.96204E-3</v>
      </c>
      <c r="M80">
        <v>1.1020780000000001E-2</v>
      </c>
      <c r="N80">
        <v>3.5493829999999997E-2</v>
      </c>
      <c r="O80">
        <v>-2.3231100000000002E-3</v>
      </c>
      <c r="P80">
        <v>1.8092029999999999E-2</v>
      </c>
      <c r="Q80">
        <v>6.0217500000000002E-3</v>
      </c>
      <c r="R80">
        <v>1.7152009999999999E-2</v>
      </c>
      <c r="S80">
        <v>1.359464E-2</v>
      </c>
      <c r="T80">
        <v>1.092013E-2</v>
      </c>
      <c r="U80">
        <v>4.6142900000000001E-3</v>
      </c>
      <c r="V80">
        <v>-7.7523399999999999E-3</v>
      </c>
      <c r="W80">
        <v>2.6915200000000002E-3</v>
      </c>
      <c r="X80">
        <v>1.4092769999999999E-2</v>
      </c>
      <c r="Y80">
        <v>9.3294099999999998E-3</v>
      </c>
      <c r="Z80">
        <v>-6.3310999999999999E-4</v>
      </c>
      <c r="AA80">
        <v>1.8202400000000001E-3</v>
      </c>
      <c r="AB80">
        <v>6.5467399999999997E-3</v>
      </c>
      <c r="AC80">
        <v>-9.1936399999999995E-3</v>
      </c>
      <c r="AD80">
        <v>2.5046999999999999E-3</v>
      </c>
      <c r="AE80">
        <v>-2.95182E-3</v>
      </c>
      <c r="AF80">
        <v>-3.8243999999999999E-3</v>
      </c>
      <c r="AG80">
        <v>1.004816E-2</v>
      </c>
      <c r="AH80">
        <v>1.383672E-2</v>
      </c>
      <c r="AI80">
        <v>-2.0054000000000001E-3</v>
      </c>
      <c r="AJ80">
        <v>2.93334E-3</v>
      </c>
      <c r="AK80">
        <v>-3.1466699999999998E-3</v>
      </c>
      <c r="AL80">
        <v>2.193324E-2</v>
      </c>
      <c r="AM80">
        <v>4.5273300000000004E-3</v>
      </c>
      <c r="AN80">
        <v>2.5248909999999999E-2</v>
      </c>
      <c r="AO80">
        <v>4.0958260000000003E-2</v>
      </c>
      <c r="AP80">
        <v>2.011019E-2</v>
      </c>
      <c r="AQ80">
        <v>-7.7196999999999997E-4</v>
      </c>
      <c r="AR80">
        <v>1.0827710000000001E-2</v>
      </c>
      <c r="AS80">
        <v>-6.2907999999999996E-4</v>
      </c>
      <c r="AT80">
        <v>9.2733299999999998E-3</v>
      </c>
      <c r="AU80">
        <v>2.7091649999999998E-2</v>
      </c>
      <c r="AV80">
        <v>1.140274E-2</v>
      </c>
      <c r="AW80">
        <v>7.08123E-3</v>
      </c>
      <c r="AX80">
        <v>4.5972109999999997E-2</v>
      </c>
      <c r="AY80">
        <v>1.7817019999999999E-2</v>
      </c>
      <c r="AZ80">
        <v>-6.7440000000000005E-5</v>
      </c>
      <c r="BA80">
        <v>1.876914E-2</v>
      </c>
      <c r="BB80">
        <v>6.1466300000000001E-3</v>
      </c>
      <c r="BC80">
        <v>1.225245E-2</v>
      </c>
      <c r="BD80">
        <v>7.3096300000000001E-3</v>
      </c>
      <c r="BE80">
        <v>4.8457449999999999E-2</v>
      </c>
      <c r="BF80">
        <v>1.122657E-2</v>
      </c>
      <c r="BG80">
        <v>3.5298370000000003E-2</v>
      </c>
      <c r="BH80">
        <v>2.1067899999999999E-3</v>
      </c>
      <c r="BI80">
        <v>2.9129300000000002E-3</v>
      </c>
      <c r="BJ80">
        <v>-2.7772399999999998E-3</v>
      </c>
      <c r="BK80">
        <v>1.9882E-4</v>
      </c>
      <c r="BL80">
        <v>1.311699E-2</v>
      </c>
      <c r="BM80">
        <v>1.820399E-2</v>
      </c>
      <c r="BN80">
        <v>1.113773E-2</v>
      </c>
      <c r="BO80">
        <v>2.8303680000000001E-2</v>
      </c>
      <c r="BP80">
        <v>-2.7020099999999999E-3</v>
      </c>
      <c r="BQ80">
        <v>-6.8053999999999999E-4</v>
      </c>
      <c r="BR80">
        <v>2.4994240000000001E-2</v>
      </c>
      <c r="BS80">
        <v>8.9517000000000004E-4</v>
      </c>
      <c r="BT80">
        <v>2.331627E-2</v>
      </c>
      <c r="BU80">
        <v>1.059088E-2</v>
      </c>
      <c r="BV80">
        <v>1.1172929999999999E-2</v>
      </c>
      <c r="BW80">
        <v>2.2292409999999999E-2</v>
      </c>
      <c r="BX80">
        <v>0.12772997999999999</v>
      </c>
      <c r="BY80">
        <v>1.8436950000000001E-2</v>
      </c>
      <c r="BZ80">
        <v>2.292804E-2</v>
      </c>
      <c r="CA80">
        <v>-1.0055800000000001E-3</v>
      </c>
      <c r="CB80">
        <v>1.56858E-3</v>
      </c>
      <c r="CC80">
        <v>2.1533989999999999E-2</v>
      </c>
      <c r="CD80">
        <v>1.282031E-2</v>
      </c>
      <c r="CE80">
        <v>5.6682E-4</v>
      </c>
      <c r="CF80">
        <v>2.5697599999999999E-3</v>
      </c>
      <c r="CG80">
        <v>2.4257310000000001E-2</v>
      </c>
      <c r="CH80">
        <v>-3.6936E-3</v>
      </c>
      <c r="CI80">
        <v>5.2379899999999997E-3</v>
      </c>
      <c r="CJ80">
        <v>1.73098E-2</v>
      </c>
      <c r="CK80">
        <v>2.469085E-2</v>
      </c>
      <c r="CL80">
        <v>2.1197359999999998E-2</v>
      </c>
      <c r="CM80">
        <v>-5.7767799999999996E-3</v>
      </c>
      <c r="CN80">
        <v>1.041885E-2</v>
      </c>
      <c r="CO80">
        <v>5.04704E-3</v>
      </c>
      <c r="CP80">
        <v>2.2551180000000001E-2</v>
      </c>
      <c r="CQ80">
        <v>1.9621280000000001E-2</v>
      </c>
      <c r="CR80">
        <v>-2.9281400000000001E-3</v>
      </c>
      <c r="CS80">
        <v>1.4650730000000001E-2</v>
      </c>
      <c r="CT80">
        <v>1.781551E-2</v>
      </c>
      <c r="CU80">
        <v>6.5749000000000005E-4</v>
      </c>
      <c r="CV80">
        <v>-6.7035899999999997E-3</v>
      </c>
      <c r="CW80">
        <v>1.6040789999999999E-2</v>
      </c>
      <c r="CX80">
        <v>8.90524E-3</v>
      </c>
      <c r="CY80">
        <v>2.114489E-2</v>
      </c>
      <c r="CZ80">
        <v>2.2769259999999999E-2</v>
      </c>
      <c r="DA80">
        <v>2.6240719999999999E-2</v>
      </c>
      <c r="DB80">
        <v>9.4434199999999992E-3</v>
      </c>
      <c r="DC80">
        <v>1.344851E-2</v>
      </c>
      <c r="DD80">
        <v>3.4330979999999997E-2</v>
      </c>
      <c r="DE80">
        <v>6.27328E-3</v>
      </c>
      <c r="DF80">
        <v>1.6095519999999999E-2</v>
      </c>
      <c r="DG80">
        <v>2.9469430000000001E-2</v>
      </c>
      <c r="DH80">
        <v>-6.58816E-3</v>
      </c>
      <c r="DI80">
        <v>2.7610389999999999E-2</v>
      </c>
      <c r="DJ80">
        <v>4.4326579999999997E-2</v>
      </c>
      <c r="DK80">
        <v>2.4657910000000002E-2</v>
      </c>
      <c r="DL80">
        <v>1.0005180000000001E-2</v>
      </c>
      <c r="DM80">
        <v>4.1168759999999999E-2</v>
      </c>
      <c r="DN80">
        <v>3.2964700000000001E-3</v>
      </c>
      <c r="DO80">
        <v>2.2023580000000001E-2</v>
      </c>
      <c r="DP80">
        <v>4.388156E-2</v>
      </c>
      <c r="DQ80">
        <v>1.5803970000000001E-2</v>
      </c>
      <c r="DR80">
        <v>1.34187E-2</v>
      </c>
      <c r="DS80">
        <v>8.5735199999999994E-3</v>
      </c>
      <c r="DT80">
        <v>-8.7034E-3</v>
      </c>
      <c r="DU80">
        <v>1.6041E-2</v>
      </c>
      <c r="DV80">
        <v>8.5605000000000002E-4</v>
      </c>
      <c r="DW80">
        <v>2.049695E-2</v>
      </c>
      <c r="DX80">
        <v>-1.047379E-2</v>
      </c>
      <c r="DY80">
        <v>1.8562019999999999E-2</v>
      </c>
      <c r="DZ80">
        <v>3.705431E-2</v>
      </c>
      <c r="EA80">
        <v>2.6489599999999999E-2</v>
      </c>
      <c r="EB80">
        <v>2.76052E-2</v>
      </c>
      <c r="EC80">
        <v>-8.0912399999999995E-3</v>
      </c>
      <c r="ED80">
        <v>3.3689629999999998E-2</v>
      </c>
      <c r="EE80">
        <v>-2.196789E-2</v>
      </c>
      <c r="EF80">
        <v>1.8613499999999999E-3</v>
      </c>
      <c r="EG80">
        <v>-4.5312199999999999E-3</v>
      </c>
      <c r="EH80">
        <v>4.0226030000000003E-2</v>
      </c>
      <c r="EI80">
        <v>-8.2885700000000003E-3</v>
      </c>
      <c r="EJ80">
        <v>5.5419910000000003E-2</v>
      </c>
      <c r="EK80">
        <v>2.2289360000000001E-2</v>
      </c>
      <c r="EL80">
        <v>1.894769E-2</v>
      </c>
      <c r="EM80">
        <v>4.1748470000000003E-2</v>
      </c>
      <c r="EN80">
        <v>0.11095052</v>
      </c>
      <c r="EO80">
        <v>1.651861E-2</v>
      </c>
      <c r="EP80">
        <f t="shared" si="2"/>
        <v>0</v>
      </c>
      <c r="EQ80">
        <f>SUMIF('Mi portafolio'!$A$8:$A$19,$A80,'Mi portafolio'!$B$8:$B$19)</f>
        <v>0</v>
      </c>
    </row>
    <row r="81" spans="1:147" x14ac:dyDescent="0.25">
      <c r="A81" s="34" t="s">
        <v>158</v>
      </c>
      <c r="B81">
        <v>9.4536299999999993E-3</v>
      </c>
      <c r="C81">
        <v>-1.84464E-3</v>
      </c>
      <c r="D81">
        <v>-3.3383900000000001E-3</v>
      </c>
      <c r="E81">
        <v>3.86879E-3</v>
      </c>
      <c r="F81">
        <v>1.7906189999999999E-2</v>
      </c>
      <c r="G81">
        <v>2.1343500000000001E-3</v>
      </c>
      <c r="H81">
        <v>9.2703100000000004E-3</v>
      </c>
      <c r="I81">
        <v>1.6905750000000001E-2</v>
      </c>
      <c r="J81">
        <v>6.1476899999999999E-3</v>
      </c>
      <c r="K81">
        <v>1.599443E-2</v>
      </c>
      <c r="L81">
        <v>3.8774500000000002E-3</v>
      </c>
      <c r="M81">
        <v>3.1363469999999997E-2</v>
      </c>
      <c r="N81">
        <v>1.9827629999999999E-2</v>
      </c>
      <c r="O81">
        <v>6.0498799999999997E-3</v>
      </c>
      <c r="P81">
        <v>1.026116E-2</v>
      </c>
      <c r="Q81">
        <v>-5.4402299999999999E-3</v>
      </c>
      <c r="R81">
        <v>1.881128E-2</v>
      </c>
      <c r="S81">
        <v>-4.0231000000000002E-4</v>
      </c>
      <c r="T81">
        <v>2.329488E-2</v>
      </c>
      <c r="U81">
        <v>1.1615189999999999E-2</v>
      </c>
      <c r="V81">
        <v>1.2342779999999999E-2</v>
      </c>
      <c r="W81">
        <v>1.58197E-3</v>
      </c>
      <c r="X81">
        <v>2.5673419999999999E-2</v>
      </c>
      <c r="Y81">
        <v>1.496747E-2</v>
      </c>
      <c r="Z81">
        <v>1.197379E-2</v>
      </c>
      <c r="AA81">
        <v>1.7411670000000001E-2</v>
      </c>
      <c r="AB81">
        <v>1.8552519999999999E-2</v>
      </c>
      <c r="AC81">
        <v>8.6986500000000005E-3</v>
      </c>
      <c r="AD81">
        <v>6.7216400000000001E-3</v>
      </c>
      <c r="AE81">
        <v>1.5933249999999999E-2</v>
      </c>
      <c r="AF81">
        <v>1.93961E-3</v>
      </c>
      <c r="AG81">
        <v>8.43087E-3</v>
      </c>
      <c r="AH81">
        <v>2.53958E-3</v>
      </c>
      <c r="AI81">
        <v>-8.7282899999999997E-3</v>
      </c>
      <c r="AJ81">
        <v>-1.9015099999999999E-3</v>
      </c>
      <c r="AK81">
        <v>1.847727E-2</v>
      </c>
      <c r="AL81">
        <v>2.5004950000000001E-2</v>
      </c>
      <c r="AM81">
        <v>1.7751599999999999E-2</v>
      </c>
      <c r="AN81">
        <v>3.8380749999999998E-2</v>
      </c>
      <c r="AO81">
        <v>1.3189960000000001E-2</v>
      </c>
      <c r="AP81">
        <v>3.1292779999999999E-2</v>
      </c>
      <c r="AQ81">
        <v>-1.328554E-2</v>
      </c>
      <c r="AR81">
        <v>2.7015790000000001E-2</v>
      </c>
      <c r="AS81">
        <v>1.7552459999999999E-2</v>
      </c>
      <c r="AT81">
        <v>4.0102600000000002E-2</v>
      </c>
      <c r="AU81">
        <v>1.351539E-2</v>
      </c>
      <c r="AV81">
        <v>7.9553000000000002E-3</v>
      </c>
      <c r="AW81">
        <v>1.4382259999999999E-2</v>
      </c>
      <c r="AX81">
        <v>2.142867E-2</v>
      </c>
      <c r="AY81">
        <v>2.6567549999999999E-2</v>
      </c>
      <c r="AZ81">
        <v>1.6685729999999999E-2</v>
      </c>
      <c r="BA81">
        <v>4.4085029999999997E-2</v>
      </c>
      <c r="BB81">
        <v>3.8606910000000001E-2</v>
      </c>
      <c r="BC81">
        <v>1.197053E-2</v>
      </c>
      <c r="BD81">
        <v>1.875522E-2</v>
      </c>
      <c r="BE81">
        <v>2.5425630000000001E-2</v>
      </c>
      <c r="BF81">
        <v>1.1295370000000001E-2</v>
      </c>
      <c r="BG81">
        <v>3.092495E-2</v>
      </c>
      <c r="BH81">
        <v>1.166067E-2</v>
      </c>
      <c r="BI81">
        <v>-4.2330000000000003E-5</v>
      </c>
      <c r="BJ81">
        <v>-1.407022E-2</v>
      </c>
      <c r="BK81">
        <v>6.5352199999999996E-3</v>
      </c>
      <c r="BL81">
        <v>3.9936220000000001E-2</v>
      </c>
      <c r="BM81">
        <v>3.5414389999999997E-2</v>
      </c>
      <c r="BN81">
        <v>5.2901600000000003E-3</v>
      </c>
      <c r="BO81">
        <v>2.7882980000000002E-2</v>
      </c>
      <c r="BP81">
        <v>1.198196E-2</v>
      </c>
      <c r="BQ81">
        <v>2.5589339999999999E-2</v>
      </c>
      <c r="BR81">
        <v>3.6999579999999997E-2</v>
      </c>
      <c r="BS81">
        <v>-4.3619000000000002E-3</v>
      </c>
      <c r="BT81">
        <v>4.2982190000000003E-2</v>
      </c>
      <c r="BU81">
        <v>1.542174E-2</v>
      </c>
      <c r="BV81">
        <v>3.7120029999999998E-2</v>
      </c>
      <c r="BW81">
        <v>2.974421E-2</v>
      </c>
      <c r="BX81">
        <v>1.8436950000000001E-2</v>
      </c>
      <c r="BY81">
        <v>0.12879014999999999</v>
      </c>
      <c r="BZ81">
        <v>3.65954E-2</v>
      </c>
      <c r="CA81">
        <v>8.7179E-4</v>
      </c>
      <c r="CB81">
        <v>-1.503083E-2</v>
      </c>
      <c r="CC81">
        <v>-1.20053E-3</v>
      </c>
      <c r="CD81">
        <v>2.2817710000000001E-2</v>
      </c>
      <c r="CE81">
        <v>2.5600339999999999E-2</v>
      </c>
      <c r="CF81">
        <v>-1.382329E-2</v>
      </c>
      <c r="CG81">
        <v>4.4535819999999997E-2</v>
      </c>
      <c r="CH81">
        <v>2.9885700000000001E-2</v>
      </c>
      <c r="CI81">
        <v>-1.309926E-2</v>
      </c>
      <c r="CJ81">
        <v>8.0963500000000004E-3</v>
      </c>
      <c r="CK81">
        <v>4.2283849999999998E-2</v>
      </c>
      <c r="CL81">
        <v>8.3773159999999999E-2</v>
      </c>
      <c r="CM81">
        <v>2.8453599999999999E-2</v>
      </c>
      <c r="CN81">
        <v>-8.5393999999999997E-4</v>
      </c>
      <c r="CO81">
        <v>1.1060789999999999E-2</v>
      </c>
      <c r="CP81">
        <v>9.9133299999999997E-3</v>
      </c>
      <c r="CQ81">
        <v>6.9164050000000005E-2</v>
      </c>
      <c r="CR81">
        <v>3.9838859999999997E-2</v>
      </c>
      <c r="CS81">
        <v>4.2949319999999999E-2</v>
      </c>
      <c r="CT81">
        <v>3.606119E-2</v>
      </c>
      <c r="CU81">
        <v>2.123829E-2</v>
      </c>
      <c r="CV81">
        <v>3.7818789999999998E-2</v>
      </c>
      <c r="CW81">
        <v>4.5295290000000002E-2</v>
      </c>
      <c r="CX81">
        <v>5.4687329999999999E-2</v>
      </c>
      <c r="CY81">
        <v>6.8537529999999999E-2</v>
      </c>
      <c r="CZ81">
        <v>2.6327960000000001E-2</v>
      </c>
      <c r="DA81">
        <v>2.905926E-2</v>
      </c>
      <c r="DB81">
        <v>4.3557499999999999E-2</v>
      </c>
      <c r="DC81">
        <v>4.3104209999999997E-2</v>
      </c>
      <c r="DD81">
        <v>5.01249E-2</v>
      </c>
      <c r="DE81">
        <v>4.1903559999999999E-2</v>
      </c>
      <c r="DF81">
        <v>2.2078710000000001E-2</v>
      </c>
      <c r="DG81">
        <v>2.3625239999999999E-2</v>
      </c>
      <c r="DH81">
        <v>2.529315E-2</v>
      </c>
      <c r="DI81">
        <v>7.614079E-2</v>
      </c>
      <c r="DJ81">
        <v>7.1019550000000001E-2</v>
      </c>
      <c r="DK81">
        <v>7.9968999999999998E-2</v>
      </c>
      <c r="DL81">
        <v>1.664214E-2</v>
      </c>
      <c r="DM81">
        <v>8.8315179999999993E-2</v>
      </c>
      <c r="DN81">
        <v>3.7381820000000003E-2</v>
      </c>
      <c r="DO81">
        <v>4.6936230000000002E-2</v>
      </c>
      <c r="DP81">
        <v>8.5836049999999997E-2</v>
      </c>
      <c r="DQ81">
        <v>4.6828960000000003E-2</v>
      </c>
      <c r="DR81">
        <v>3.006909E-2</v>
      </c>
      <c r="DS81">
        <v>1.728644E-2</v>
      </c>
      <c r="DT81">
        <v>2.590696E-2</v>
      </c>
      <c r="DU81">
        <v>5.630516E-2</v>
      </c>
      <c r="DV81">
        <v>3.0902369999999998E-2</v>
      </c>
      <c r="DW81">
        <v>5.828324E-2</v>
      </c>
      <c r="DX81">
        <v>3.5307949999999998E-2</v>
      </c>
      <c r="DY81">
        <v>6.7815120000000007E-2</v>
      </c>
      <c r="DZ81">
        <v>1.5594429999999999E-2</v>
      </c>
      <c r="EA81">
        <v>4.4290219999999998E-2</v>
      </c>
      <c r="EB81">
        <v>7.5527070000000002E-2</v>
      </c>
      <c r="EC81">
        <v>4.9274000000000002E-3</v>
      </c>
      <c r="ED81">
        <v>7.6760179999999997E-2</v>
      </c>
      <c r="EE81">
        <v>4.7727470000000001E-2</v>
      </c>
      <c r="EF81">
        <v>3.103827E-2</v>
      </c>
      <c r="EG81">
        <v>4.0589600000000003E-2</v>
      </c>
      <c r="EH81">
        <v>3.5604089999999998E-2</v>
      </c>
      <c r="EI81">
        <v>4.6704969999999998E-2</v>
      </c>
      <c r="EJ81">
        <v>8.1810040000000001E-2</v>
      </c>
      <c r="EK81">
        <v>7.5088699999999994E-2</v>
      </c>
      <c r="EL81">
        <v>6.975779E-2</v>
      </c>
      <c r="EM81">
        <v>3.3910460000000003E-2</v>
      </c>
      <c r="EN81">
        <v>6.0428660000000002E-2</v>
      </c>
      <c r="EO81">
        <v>0.18064494</v>
      </c>
      <c r="EP81">
        <f t="shared" si="2"/>
        <v>0</v>
      </c>
      <c r="EQ81">
        <f>SUMIF('Mi portafolio'!$A$8:$A$19,$A81,'Mi portafolio'!$B$8:$B$19)</f>
        <v>0</v>
      </c>
    </row>
    <row r="82" spans="1:147" x14ac:dyDescent="0.25">
      <c r="A82" s="34" t="s">
        <v>159</v>
      </c>
      <c r="B82">
        <v>1.2516309999999999E-2</v>
      </c>
      <c r="C82">
        <v>7.1509399999999997E-3</v>
      </c>
      <c r="D82">
        <v>-5.8199E-4</v>
      </c>
      <c r="E82">
        <v>8.9456099999999997E-3</v>
      </c>
      <c r="F82">
        <v>6.0330699999999998E-3</v>
      </c>
      <c r="G82">
        <v>-6.3448799999999998E-3</v>
      </c>
      <c r="H82">
        <v>9.4444100000000003E-3</v>
      </c>
      <c r="I82">
        <v>1.467013E-2</v>
      </c>
      <c r="J82">
        <v>8.0202699999999995E-3</v>
      </c>
      <c r="K82">
        <v>1.287191E-2</v>
      </c>
      <c r="L82">
        <v>1.076094E-2</v>
      </c>
      <c r="M82">
        <v>3.2228319999999998E-2</v>
      </c>
      <c r="N82">
        <v>1.7522909999999999E-2</v>
      </c>
      <c r="O82">
        <v>1.398686E-2</v>
      </c>
      <c r="P82">
        <v>1.445979E-2</v>
      </c>
      <c r="Q82">
        <v>2.6742200000000002E-3</v>
      </c>
      <c r="R82">
        <v>1.181873E-2</v>
      </c>
      <c r="S82">
        <v>8.4174100000000002E-3</v>
      </c>
      <c r="T82">
        <v>2.5225049999999999E-2</v>
      </c>
      <c r="U82">
        <v>1.6180779999999999E-2</v>
      </c>
      <c r="V82">
        <v>6.1879999999999999E-3</v>
      </c>
      <c r="W82">
        <v>9.3962100000000003E-3</v>
      </c>
      <c r="X82">
        <v>2.6878249999999999E-2</v>
      </c>
      <c r="Y82">
        <v>9.5437100000000004E-3</v>
      </c>
      <c r="Z82">
        <v>9.2884899999999999E-3</v>
      </c>
      <c r="AA82">
        <v>1.497278E-2</v>
      </c>
      <c r="AB82">
        <v>1.2576230000000001E-2</v>
      </c>
      <c r="AC82">
        <v>2.9626399999999999E-3</v>
      </c>
      <c r="AD82">
        <v>8.4485299999999992E-3</v>
      </c>
      <c r="AE82">
        <v>1.388297E-2</v>
      </c>
      <c r="AF82">
        <v>9.7245300000000003E-3</v>
      </c>
      <c r="AG82">
        <v>3.5811300000000001E-3</v>
      </c>
      <c r="AH82">
        <v>7.0875499999999998E-3</v>
      </c>
      <c r="AI82">
        <v>-1.703793E-2</v>
      </c>
      <c r="AJ82">
        <v>9.6102800000000006E-3</v>
      </c>
      <c r="AK82">
        <v>1.6072690000000001E-2</v>
      </c>
      <c r="AL82">
        <v>2.4549229999999998E-2</v>
      </c>
      <c r="AM82">
        <v>2.3555570000000001E-2</v>
      </c>
      <c r="AN82">
        <v>3.6666949999999997E-2</v>
      </c>
      <c r="AO82">
        <v>4.2208499999999999E-3</v>
      </c>
      <c r="AP82">
        <v>2.0417459999999998E-2</v>
      </c>
      <c r="AQ82">
        <v>-1.9514159999999999E-2</v>
      </c>
      <c r="AR82">
        <v>2.981783E-2</v>
      </c>
      <c r="AS82">
        <v>1.459802E-2</v>
      </c>
      <c r="AT82">
        <v>3.1535300000000002E-2</v>
      </c>
      <c r="AU82">
        <v>1.7516520000000001E-2</v>
      </c>
      <c r="AV82">
        <v>1.0924100000000001E-2</v>
      </c>
      <c r="AW82">
        <v>1.867804E-2</v>
      </c>
      <c r="AX82">
        <v>1.4243520000000001E-2</v>
      </c>
      <c r="AY82">
        <v>2.1255670000000001E-2</v>
      </c>
      <c r="AZ82">
        <v>1.782361E-2</v>
      </c>
      <c r="BA82">
        <v>2.348488E-2</v>
      </c>
      <c r="BB82">
        <v>3.7739450000000001E-2</v>
      </c>
      <c r="BC82">
        <v>9.9070500000000006E-3</v>
      </c>
      <c r="BD82">
        <v>2.26372E-2</v>
      </c>
      <c r="BE82">
        <v>1.594139E-2</v>
      </c>
      <c r="BF82">
        <v>2.1513259999999999E-2</v>
      </c>
      <c r="BG82">
        <v>2.1351149999999999E-2</v>
      </c>
      <c r="BH82">
        <v>1.7316749999999999E-2</v>
      </c>
      <c r="BI82">
        <v>1.2830889999999999E-2</v>
      </c>
      <c r="BJ82">
        <v>-6.64907E-3</v>
      </c>
      <c r="BK82">
        <v>1.1668039999999999E-2</v>
      </c>
      <c r="BL82">
        <v>4.1127919999999998E-2</v>
      </c>
      <c r="BM82">
        <v>1.9751600000000001E-2</v>
      </c>
      <c r="BN82">
        <v>2.4988759999999999E-2</v>
      </c>
      <c r="BO82">
        <v>3.3036540000000003E-2</v>
      </c>
      <c r="BP82">
        <v>3.2626719999999998E-2</v>
      </c>
      <c r="BQ82">
        <v>3.2291889999999997E-2</v>
      </c>
      <c r="BR82">
        <v>3.2834629999999997E-2</v>
      </c>
      <c r="BS82">
        <v>-1.755027E-2</v>
      </c>
      <c r="BT82">
        <v>6.0207169999999997E-2</v>
      </c>
      <c r="BU82">
        <v>1.9078000000000001E-2</v>
      </c>
      <c r="BV82">
        <v>3.4147469999999999E-2</v>
      </c>
      <c r="BW82">
        <v>2.1598539999999999E-2</v>
      </c>
      <c r="BX82">
        <v>2.292804E-2</v>
      </c>
      <c r="BY82">
        <v>3.65954E-2</v>
      </c>
      <c r="BZ82">
        <v>0.12615871000000001</v>
      </c>
      <c r="CA82">
        <v>8.1451500000000003E-3</v>
      </c>
      <c r="CB82">
        <v>1.8168000000000001E-4</v>
      </c>
      <c r="CC82">
        <v>2.477592E-2</v>
      </c>
      <c r="CD82">
        <v>3.5413399999999998E-2</v>
      </c>
      <c r="CE82">
        <v>1.415669E-2</v>
      </c>
      <c r="CF82">
        <v>-1.7822009999999999E-2</v>
      </c>
      <c r="CG82">
        <v>3.6936549999999999E-2</v>
      </c>
      <c r="CH82">
        <v>2.4841149999999999E-2</v>
      </c>
      <c r="CI82">
        <v>-2.4813970000000001E-2</v>
      </c>
      <c r="CJ82">
        <v>2.409114E-2</v>
      </c>
      <c r="CK82">
        <v>2.240077E-2</v>
      </c>
      <c r="CL82">
        <v>3.684987E-2</v>
      </c>
      <c r="CM82">
        <v>3.4669520000000002E-2</v>
      </c>
      <c r="CN82">
        <v>1.073474E-2</v>
      </c>
      <c r="CO82">
        <v>7.6036000000000003E-3</v>
      </c>
      <c r="CP82">
        <v>1.477084E-2</v>
      </c>
      <c r="CQ82">
        <v>6.1075860000000003E-2</v>
      </c>
      <c r="CR82">
        <v>4.2867950000000002E-2</v>
      </c>
      <c r="CS82">
        <v>4.0651369999999999E-2</v>
      </c>
      <c r="CT82">
        <v>4.1181740000000001E-2</v>
      </c>
      <c r="CU82">
        <v>2.9804310000000001E-2</v>
      </c>
      <c r="CV82">
        <v>3.5003729999999997E-2</v>
      </c>
      <c r="CW82">
        <v>4.1552489999999997E-2</v>
      </c>
      <c r="CX82">
        <v>5.4780870000000002E-2</v>
      </c>
      <c r="CY82">
        <v>5.5591330000000001E-2</v>
      </c>
      <c r="CZ82">
        <v>2.3983930000000001E-2</v>
      </c>
      <c r="DA82">
        <v>3.5255599999999998E-2</v>
      </c>
      <c r="DB82">
        <v>4.8000519999999998E-2</v>
      </c>
      <c r="DC82">
        <v>5.281653E-2</v>
      </c>
      <c r="DD82">
        <v>5.3558359999999999E-2</v>
      </c>
      <c r="DE82">
        <v>4.1898919999999999E-2</v>
      </c>
      <c r="DF82">
        <v>1.1836009999999999E-2</v>
      </c>
      <c r="DG82">
        <v>4.7229859999999999E-2</v>
      </c>
      <c r="DH82">
        <v>2.917668E-2</v>
      </c>
      <c r="DI82">
        <v>7.1286100000000005E-2</v>
      </c>
      <c r="DJ82">
        <v>5.4322500000000003E-2</v>
      </c>
      <c r="DK82">
        <v>8.3139610000000003E-2</v>
      </c>
      <c r="DL82">
        <v>2.0237160000000001E-2</v>
      </c>
      <c r="DM82">
        <v>7.3277809999999999E-2</v>
      </c>
      <c r="DN82">
        <v>5.4126349999999997E-2</v>
      </c>
      <c r="DO82">
        <v>5.6251889999999999E-2</v>
      </c>
      <c r="DP82">
        <v>6.7615179999999997E-2</v>
      </c>
      <c r="DQ82">
        <v>6.905965E-2</v>
      </c>
      <c r="DR82">
        <v>4.5120689999999998E-2</v>
      </c>
      <c r="DS82">
        <v>3.7174730000000003E-2</v>
      </c>
      <c r="DT82">
        <v>5.0394719999999997E-2</v>
      </c>
      <c r="DU82">
        <v>8.4925909999999993E-2</v>
      </c>
      <c r="DV82">
        <v>4.6123320000000002E-2</v>
      </c>
      <c r="DW82">
        <v>4.1518579999999999E-2</v>
      </c>
      <c r="DX82">
        <v>5.1334100000000001E-2</v>
      </c>
      <c r="DY82">
        <v>7.6358969999999998E-2</v>
      </c>
      <c r="DZ82">
        <v>2.8192350000000001E-2</v>
      </c>
      <c r="EA82">
        <v>4.0853050000000002E-2</v>
      </c>
      <c r="EB82">
        <v>8.3988220000000002E-2</v>
      </c>
      <c r="EC82">
        <v>-5.7642300000000004E-3</v>
      </c>
      <c r="ED82">
        <v>6.3163289999999997E-2</v>
      </c>
      <c r="EE82">
        <v>6.7414769999999999E-2</v>
      </c>
      <c r="EF82">
        <v>6.9940879999999997E-2</v>
      </c>
      <c r="EG82">
        <v>7.3424279999999995E-2</v>
      </c>
      <c r="EH82">
        <v>5.2761259999999997E-2</v>
      </c>
      <c r="EI82">
        <v>6.7415069999999994E-2</v>
      </c>
      <c r="EJ82">
        <v>7.7742270000000002E-2</v>
      </c>
      <c r="EK82">
        <v>8.4514699999999998E-2</v>
      </c>
      <c r="EL82">
        <v>9.4493350000000004E-2</v>
      </c>
      <c r="EM82">
        <v>0.10054630000000001</v>
      </c>
      <c r="EN82">
        <v>6.8396440000000003E-2</v>
      </c>
      <c r="EO82">
        <v>9.0213699999999994E-2</v>
      </c>
      <c r="EP82">
        <f t="shared" si="2"/>
        <v>0</v>
      </c>
      <c r="EQ82">
        <f>SUMIF('Mi portafolio'!$A$8:$A$19,$A82,'Mi portafolio'!$B$8:$B$19)</f>
        <v>0</v>
      </c>
    </row>
    <row r="83" spans="1:147" x14ac:dyDescent="0.25">
      <c r="A83" s="34" t="s">
        <v>160</v>
      </c>
      <c r="B83">
        <v>2.16271E-3</v>
      </c>
      <c r="C83">
        <v>9.7830299999999999E-3</v>
      </c>
      <c r="D83">
        <v>1.037798E-2</v>
      </c>
      <c r="E83">
        <v>1.8475559999999999E-2</v>
      </c>
      <c r="F83">
        <v>2.2388999999999998E-3</v>
      </c>
      <c r="G83">
        <v>9.30746E-3</v>
      </c>
      <c r="H83">
        <v>2.0311780000000002E-2</v>
      </c>
      <c r="I83">
        <v>3.6794200000000001E-3</v>
      </c>
      <c r="J83">
        <v>7.1745000000000001E-4</v>
      </c>
      <c r="K83">
        <v>9.9471300000000002E-3</v>
      </c>
      <c r="L83">
        <v>1.3507689999999999E-2</v>
      </c>
      <c r="M83">
        <v>1.7639040000000002E-2</v>
      </c>
      <c r="N83">
        <v>3.7810700000000001E-3</v>
      </c>
      <c r="O83">
        <v>2.6157420000000001E-2</v>
      </c>
      <c r="P83">
        <v>7.9630399999999994E-3</v>
      </c>
      <c r="Q83">
        <v>-4.4195600000000003E-3</v>
      </c>
      <c r="R83">
        <v>1.2189099999999999E-3</v>
      </c>
      <c r="S83">
        <v>1.834094E-2</v>
      </c>
      <c r="T83">
        <v>3.2553600000000001E-3</v>
      </c>
      <c r="U83">
        <v>3.6175980000000003E-2</v>
      </c>
      <c r="V83">
        <v>3.5888910000000003E-2</v>
      </c>
      <c r="W83">
        <v>1.432887E-2</v>
      </c>
      <c r="X83">
        <v>4.0817900000000001E-3</v>
      </c>
      <c r="Y83">
        <v>1.10651E-3</v>
      </c>
      <c r="Z83">
        <v>1.87487E-2</v>
      </c>
      <c r="AA83">
        <v>1.815346E-2</v>
      </c>
      <c r="AB83">
        <v>-5.47717E-3</v>
      </c>
      <c r="AC83">
        <v>2.4847279999999999E-2</v>
      </c>
      <c r="AD83">
        <v>2.79043E-2</v>
      </c>
      <c r="AE83">
        <v>2.5357970000000001E-2</v>
      </c>
      <c r="AF83">
        <v>3.5445829999999998E-2</v>
      </c>
      <c r="AG83">
        <v>-3.3925000000000001E-3</v>
      </c>
      <c r="AH83">
        <v>-2.9309800000000001E-3</v>
      </c>
      <c r="AI83">
        <v>-9.7328299999999996E-3</v>
      </c>
      <c r="AJ83">
        <v>2.03553E-2</v>
      </c>
      <c r="AK83">
        <v>3.1454570000000001E-2</v>
      </c>
      <c r="AL83">
        <v>7.0774999999999996E-3</v>
      </c>
      <c r="AM83">
        <v>2.4724599999999999E-2</v>
      </c>
      <c r="AN83">
        <v>1.3427700000000001E-2</v>
      </c>
      <c r="AO83">
        <v>-3.81132E-3</v>
      </c>
      <c r="AP83">
        <v>5.47E-3</v>
      </c>
      <c r="AQ83">
        <v>-1.1542709999999999E-2</v>
      </c>
      <c r="AR83">
        <v>-3.8694200000000002E-3</v>
      </c>
      <c r="AS83">
        <v>3.4680999999999997E-2</v>
      </c>
      <c r="AT83">
        <v>-2.1736500000000001E-3</v>
      </c>
      <c r="AU83">
        <v>9.1447100000000003E-3</v>
      </c>
      <c r="AV83">
        <v>3.311969E-2</v>
      </c>
      <c r="AW83">
        <v>2.8698959999999999E-2</v>
      </c>
      <c r="AX83">
        <v>4.0845300000000003E-3</v>
      </c>
      <c r="AY83">
        <v>5.6933999999999999E-4</v>
      </c>
      <c r="AZ83">
        <v>3.492783E-2</v>
      </c>
      <c r="BA83">
        <v>4.5429600000000004E-3</v>
      </c>
      <c r="BB83">
        <v>7.8902799999999995E-3</v>
      </c>
      <c r="BC83">
        <v>2.2531099999999998E-2</v>
      </c>
      <c r="BD83">
        <v>2.8488429999999999E-2</v>
      </c>
      <c r="BE83">
        <v>7.0766700000000002E-3</v>
      </c>
      <c r="BF83">
        <v>2.5851209999999999E-2</v>
      </c>
      <c r="BG83">
        <v>3.5817000000000002E-3</v>
      </c>
      <c r="BH83">
        <v>2.499962E-2</v>
      </c>
      <c r="BI83">
        <v>1.855528E-2</v>
      </c>
      <c r="BJ83">
        <v>8.9640599999999994E-3</v>
      </c>
      <c r="BK83">
        <v>2.4576830000000001E-2</v>
      </c>
      <c r="BL83">
        <v>6.5788799999999996E-3</v>
      </c>
      <c r="BM83">
        <v>2.1323599999999998E-3</v>
      </c>
      <c r="BN83">
        <v>5.3047999999999995E-4</v>
      </c>
      <c r="BO83">
        <v>1.170883E-2</v>
      </c>
      <c r="BP83">
        <v>-5.2897999999999997E-4</v>
      </c>
      <c r="BQ83">
        <v>3.0930510000000001E-2</v>
      </c>
      <c r="BR83">
        <v>4.6285500000000004E-3</v>
      </c>
      <c r="BS83">
        <v>-1.156898E-2</v>
      </c>
      <c r="BT83">
        <v>1.7797879999999999E-2</v>
      </c>
      <c r="BU83">
        <v>1.423223E-2</v>
      </c>
      <c r="BV83">
        <v>1.345214E-2</v>
      </c>
      <c r="BW83">
        <v>8.9611299999999994E-3</v>
      </c>
      <c r="BX83">
        <v>-1.0055800000000001E-3</v>
      </c>
      <c r="BY83">
        <v>8.7179E-4</v>
      </c>
      <c r="BZ83">
        <v>8.1451500000000003E-3</v>
      </c>
      <c r="CA83">
        <v>0.12294236</v>
      </c>
      <c r="CB83">
        <v>-5.1086999999999997E-4</v>
      </c>
      <c r="CC83">
        <v>1.9060699999999999E-3</v>
      </c>
      <c r="CD83">
        <v>-2.2997400000000002E-3</v>
      </c>
      <c r="CE83">
        <v>7.7335700000000004E-3</v>
      </c>
      <c r="CF83">
        <v>-9.2168100000000006E-3</v>
      </c>
      <c r="CG83">
        <v>4.0964800000000004E-3</v>
      </c>
      <c r="CH83">
        <v>4.676437E-2</v>
      </c>
      <c r="CI83">
        <v>-1.4343160000000001E-2</v>
      </c>
      <c r="CJ83">
        <v>2.0946900000000002E-3</v>
      </c>
      <c r="CK83">
        <v>5.1485899999999998E-3</v>
      </c>
      <c r="CL83">
        <v>1.191854E-2</v>
      </c>
      <c r="CM83">
        <v>8.6070499999999998E-3</v>
      </c>
      <c r="CN83">
        <v>2.4988839999999998E-2</v>
      </c>
      <c r="CO83">
        <v>2.4767919999999999E-2</v>
      </c>
      <c r="CP83">
        <v>-3.6701699999999999E-3</v>
      </c>
      <c r="CQ83">
        <v>8.2732199999999995E-3</v>
      </c>
      <c r="CR83">
        <v>1.8720130000000001E-2</v>
      </c>
      <c r="CS83">
        <v>2.143335E-2</v>
      </c>
      <c r="CT83">
        <v>1.6723999999999999E-2</v>
      </c>
      <c r="CU83">
        <v>6.0350899999999999E-3</v>
      </c>
      <c r="CV83">
        <v>1.2579770000000001E-2</v>
      </c>
      <c r="CW83">
        <v>1.9978139999999998E-2</v>
      </c>
      <c r="CX83">
        <v>4.7092999999999996E-3</v>
      </c>
      <c r="CY83">
        <v>1.2399200000000001E-2</v>
      </c>
      <c r="CZ83">
        <v>4.3319099999999996E-3</v>
      </c>
      <c r="DA83">
        <v>9.9148699999999992E-3</v>
      </c>
      <c r="DB83">
        <v>2.7411359999999999E-2</v>
      </c>
      <c r="DC83">
        <v>4.0459090000000003E-2</v>
      </c>
      <c r="DD83">
        <v>2.1911569999999998E-2</v>
      </c>
      <c r="DE83">
        <v>2.759501E-2</v>
      </c>
      <c r="DF83">
        <v>-5.6755399999999998E-3</v>
      </c>
      <c r="DG83">
        <v>2.989766E-2</v>
      </c>
      <c r="DH83">
        <v>2.6589419999999999E-2</v>
      </c>
      <c r="DI83">
        <v>1.3199560000000001E-2</v>
      </c>
      <c r="DJ83">
        <v>8.2076700000000002E-3</v>
      </c>
      <c r="DK83">
        <v>9.1442799999999994E-3</v>
      </c>
      <c r="DL83">
        <v>5.3546499999999997E-2</v>
      </c>
      <c r="DM83">
        <v>2.1697999999999999E-2</v>
      </c>
      <c r="DN83">
        <v>1.294945E-2</v>
      </c>
      <c r="DO83">
        <v>3.484135E-2</v>
      </c>
      <c r="DP83">
        <v>2.301595E-2</v>
      </c>
      <c r="DQ83">
        <v>1.5727229999999998E-2</v>
      </c>
      <c r="DR83">
        <v>5.4414600000000004E-3</v>
      </c>
      <c r="DS83">
        <v>-1.4840620000000001E-2</v>
      </c>
      <c r="DT83">
        <v>1.1273729999999999E-2</v>
      </c>
      <c r="DU83">
        <v>2.4688410000000001E-2</v>
      </c>
      <c r="DV83">
        <v>1.703644E-2</v>
      </c>
      <c r="DW83">
        <v>-4.8371600000000001E-3</v>
      </c>
      <c r="DX83">
        <v>2.839349E-2</v>
      </c>
      <c r="DY83">
        <v>8.3457099999999992E-3</v>
      </c>
      <c r="DZ83">
        <v>-9.2356299999999999E-3</v>
      </c>
      <c r="EA83">
        <v>2.3557100000000001E-2</v>
      </c>
      <c r="EB83">
        <v>2.142956E-2</v>
      </c>
      <c r="EC83">
        <v>1.024426E-2</v>
      </c>
      <c r="ED83">
        <v>3.7913059999999998E-2</v>
      </c>
      <c r="EE83">
        <v>2.1880989999999999E-2</v>
      </c>
      <c r="EF83">
        <v>1.8667179999999998E-2</v>
      </c>
      <c r="EG83">
        <v>2.8643519999999999E-2</v>
      </c>
      <c r="EH83">
        <v>-3.098294E-2</v>
      </c>
      <c r="EI83">
        <v>1.165974E-2</v>
      </c>
      <c r="EJ83">
        <v>4.5543300000000002E-2</v>
      </c>
      <c r="EK83">
        <v>3.7872980000000001E-2</v>
      </c>
      <c r="EL83">
        <v>5.8922599999999999E-2</v>
      </c>
      <c r="EM83">
        <v>-1.3741389999999999E-2</v>
      </c>
      <c r="EN83">
        <v>3.9659769999999997E-2</v>
      </c>
      <c r="EO83">
        <v>-2.4433590000000002E-2</v>
      </c>
      <c r="EP83">
        <f t="shared" si="2"/>
        <v>0</v>
      </c>
      <c r="EQ83">
        <f>SUMIF('Mi portafolio'!$A$8:$A$19,$A83,'Mi portafolio'!$B$8:$B$19)</f>
        <v>0</v>
      </c>
    </row>
    <row r="84" spans="1:147" x14ac:dyDescent="0.25">
      <c r="A84" s="34" t="s">
        <v>161</v>
      </c>
      <c r="B84">
        <v>2.78956E-3</v>
      </c>
      <c r="C84">
        <v>6.2449799999999998E-3</v>
      </c>
      <c r="D84">
        <v>-4.2799800000000001E-3</v>
      </c>
      <c r="E84">
        <v>1.3799400000000001E-3</v>
      </c>
      <c r="F84">
        <v>5.1692500000000002E-3</v>
      </c>
      <c r="G84">
        <v>-8.4261999999999998E-4</v>
      </c>
      <c r="H84">
        <v>-7.47469E-3</v>
      </c>
      <c r="I84">
        <v>1.0534800000000001E-3</v>
      </c>
      <c r="J84">
        <v>8.7739600000000008E-3</v>
      </c>
      <c r="K84">
        <v>-1.64803E-3</v>
      </c>
      <c r="L84">
        <v>-5.50608E-3</v>
      </c>
      <c r="M84">
        <v>-2.99739E-3</v>
      </c>
      <c r="N84">
        <v>6.3567500000000004E-3</v>
      </c>
      <c r="O84">
        <v>-2.4457999999999999E-4</v>
      </c>
      <c r="P84">
        <v>5.2431300000000004E-3</v>
      </c>
      <c r="Q84">
        <v>-1.8954E-3</v>
      </c>
      <c r="R84">
        <v>5.7207100000000004E-3</v>
      </c>
      <c r="S84">
        <v>-7.26E-3</v>
      </c>
      <c r="T84">
        <v>9.8909999999999992E-4</v>
      </c>
      <c r="U84">
        <v>1.96524E-3</v>
      </c>
      <c r="V84">
        <v>-9.4849400000000007E-3</v>
      </c>
      <c r="W84">
        <v>1.2463400000000001E-3</v>
      </c>
      <c r="X84">
        <v>9.1206000000000002E-4</v>
      </c>
      <c r="Y84">
        <v>8.0910900000000004E-3</v>
      </c>
      <c r="Z84">
        <v>-8.0928700000000003E-3</v>
      </c>
      <c r="AA84">
        <v>-7.1481799999999996E-3</v>
      </c>
      <c r="AB84">
        <v>3.14277E-3</v>
      </c>
      <c r="AC84">
        <v>-3.4281200000000002E-3</v>
      </c>
      <c r="AD84">
        <v>-6.4429400000000003E-3</v>
      </c>
      <c r="AE84">
        <v>-6.3968300000000001E-3</v>
      </c>
      <c r="AF84">
        <v>-3.37376E-3</v>
      </c>
      <c r="AG84">
        <v>3.8993600000000002E-3</v>
      </c>
      <c r="AH84">
        <v>4.6481200000000004E-3</v>
      </c>
      <c r="AI84">
        <v>1.5983279999999999E-2</v>
      </c>
      <c r="AJ84">
        <v>-1.1192000000000001E-3</v>
      </c>
      <c r="AK84">
        <v>3.2377999999999999E-3</v>
      </c>
      <c r="AL84">
        <v>-4.1455499999999996E-3</v>
      </c>
      <c r="AM84">
        <v>-4.2907600000000002E-3</v>
      </c>
      <c r="AN84">
        <v>1.26022E-3</v>
      </c>
      <c r="AO84">
        <v>-1.5435E-3</v>
      </c>
      <c r="AP84">
        <v>3.8034000000000001E-4</v>
      </c>
      <c r="AQ84">
        <v>1.578914E-2</v>
      </c>
      <c r="AR84">
        <v>7.2005400000000001E-3</v>
      </c>
      <c r="AS84">
        <v>1.1015209999999999E-2</v>
      </c>
      <c r="AT84">
        <v>1.6398599999999999E-3</v>
      </c>
      <c r="AU84">
        <v>6.4455999999999997E-4</v>
      </c>
      <c r="AV84">
        <v>-1.4660000000000001E-4</v>
      </c>
      <c r="AW84">
        <v>-1.6682299999999999E-3</v>
      </c>
      <c r="AX84">
        <v>-2.9390999999999998E-4</v>
      </c>
      <c r="AY84">
        <v>-2.0043800000000001E-3</v>
      </c>
      <c r="AZ84">
        <v>-1.61487E-3</v>
      </c>
      <c r="BA84">
        <v>1.3647799999999999E-3</v>
      </c>
      <c r="BB84">
        <v>4.0383999999999998E-4</v>
      </c>
      <c r="BC84">
        <v>-2.5850399999999998E-3</v>
      </c>
      <c r="BD84">
        <v>3.4050399999999998E-3</v>
      </c>
      <c r="BE84">
        <v>-3.6785000000000002E-4</v>
      </c>
      <c r="BF84">
        <v>-8.9161199999999996E-3</v>
      </c>
      <c r="BG84">
        <v>-3.4408300000000002E-3</v>
      </c>
      <c r="BH84">
        <v>2.8977000000000001E-4</v>
      </c>
      <c r="BI84">
        <v>-2.6135500000000001E-3</v>
      </c>
      <c r="BJ84">
        <v>2.9371800000000002E-3</v>
      </c>
      <c r="BK84">
        <v>2.296E-4</v>
      </c>
      <c r="BL84">
        <v>-3.1761799999999998E-3</v>
      </c>
      <c r="BM84">
        <v>4.1260000000000001E-5</v>
      </c>
      <c r="BN84">
        <v>5.7264600000000001E-3</v>
      </c>
      <c r="BO84">
        <v>-2.7358399999999998E-3</v>
      </c>
      <c r="BP84">
        <v>-6.5460199999999996E-3</v>
      </c>
      <c r="BQ84">
        <v>-1.5868500000000001E-2</v>
      </c>
      <c r="BR84">
        <v>-6.7606999999999997E-4</v>
      </c>
      <c r="BS84">
        <v>1.6198489999999999E-2</v>
      </c>
      <c r="BT84">
        <v>-5.7343899999999998E-3</v>
      </c>
      <c r="BU84">
        <v>-6.2894999999999997E-4</v>
      </c>
      <c r="BV84">
        <v>-4.4368000000000003E-3</v>
      </c>
      <c r="BW84">
        <v>5.1292100000000004E-3</v>
      </c>
      <c r="BX84">
        <v>1.56858E-3</v>
      </c>
      <c r="BY84">
        <v>-1.503083E-2</v>
      </c>
      <c r="BZ84">
        <v>1.8168000000000001E-4</v>
      </c>
      <c r="CA84">
        <v>-5.1086999999999997E-4</v>
      </c>
      <c r="CB84">
        <v>0.12631101</v>
      </c>
      <c r="CC84">
        <v>1.3849759999999999E-2</v>
      </c>
      <c r="CD84">
        <v>3.2288899999999999E-3</v>
      </c>
      <c r="CE84">
        <v>-1.131483E-2</v>
      </c>
      <c r="CF84">
        <v>2.0904740000000002E-2</v>
      </c>
      <c r="CG84">
        <v>-7.7138199999999997E-3</v>
      </c>
      <c r="CH84">
        <v>-8.8300600000000007E-3</v>
      </c>
      <c r="CI84">
        <v>2.1338900000000001E-2</v>
      </c>
      <c r="CJ84">
        <v>1.2039950000000001E-2</v>
      </c>
      <c r="CK84">
        <v>1.7953230000000001E-2</v>
      </c>
      <c r="CL84">
        <v>-1.0602479999999999E-2</v>
      </c>
      <c r="CM84">
        <v>-1.63045E-2</v>
      </c>
      <c r="CN84">
        <v>1.7023569999999998E-2</v>
      </c>
      <c r="CO84">
        <v>3.7907100000000001E-3</v>
      </c>
      <c r="CP84">
        <v>8.2004000000000001E-3</v>
      </c>
      <c r="CQ84">
        <v>-2.3899199999999998E-3</v>
      </c>
      <c r="CR84">
        <v>-1.123293E-2</v>
      </c>
      <c r="CS84">
        <v>-8.4598099999999999E-3</v>
      </c>
      <c r="CT84">
        <v>-1.227807E-2</v>
      </c>
      <c r="CU84">
        <v>-7.4741199999999999E-3</v>
      </c>
      <c r="CV84">
        <v>-6.8465100000000001E-3</v>
      </c>
      <c r="CW84">
        <v>3.7579800000000002E-3</v>
      </c>
      <c r="CX84">
        <v>-4.7161099999999999E-3</v>
      </c>
      <c r="CY84">
        <v>-4.9800699999999996E-3</v>
      </c>
      <c r="CZ84">
        <v>6.2033599999999998E-3</v>
      </c>
      <c r="DA84">
        <v>-2.9957299999999998E-3</v>
      </c>
      <c r="DB84">
        <v>-9.3143999999999996E-4</v>
      </c>
      <c r="DC84">
        <v>-1.0928810000000001E-2</v>
      </c>
      <c r="DD84">
        <v>-4.3924999999999997E-3</v>
      </c>
      <c r="DE84">
        <v>-2.580791E-2</v>
      </c>
      <c r="DF84">
        <v>8.8466800000000009E-3</v>
      </c>
      <c r="DG84">
        <v>-2.2540230000000001E-2</v>
      </c>
      <c r="DH84">
        <v>-9.1680000000000008E-3</v>
      </c>
      <c r="DI84">
        <v>-7.7309199999999996E-3</v>
      </c>
      <c r="DJ84">
        <v>-1.3292730000000001E-2</v>
      </c>
      <c r="DK84">
        <v>-1.023493E-2</v>
      </c>
      <c r="DL84">
        <v>-2.1404490000000002E-2</v>
      </c>
      <c r="DM84">
        <v>-3.0918930000000001E-2</v>
      </c>
      <c r="DN84">
        <v>1.169532E-2</v>
      </c>
      <c r="DO84">
        <v>-8.3082E-3</v>
      </c>
      <c r="DP84">
        <v>-1.8026199999999999E-2</v>
      </c>
      <c r="DQ84">
        <v>3.25524E-3</v>
      </c>
      <c r="DR84">
        <v>-1.8765399999999999E-3</v>
      </c>
      <c r="DS84">
        <v>6.0091500000000004E-3</v>
      </c>
      <c r="DT84">
        <v>-1.5943120000000002E-2</v>
      </c>
      <c r="DU84">
        <v>-3.41326E-3</v>
      </c>
      <c r="DV84">
        <v>-1.133782E-2</v>
      </c>
      <c r="DW84">
        <v>-1.7019090000000001E-2</v>
      </c>
      <c r="DX84">
        <v>-1.3487499999999999E-2</v>
      </c>
      <c r="DY84">
        <v>1.92026E-3</v>
      </c>
      <c r="DZ84">
        <v>-3.0286699999999998E-3</v>
      </c>
      <c r="EA84">
        <v>-1.725138E-2</v>
      </c>
      <c r="EB84">
        <v>3.4772800000000001E-3</v>
      </c>
      <c r="EC84">
        <v>-3.3769349999999997E-2</v>
      </c>
      <c r="ED84">
        <v>-1.6876430000000001E-2</v>
      </c>
      <c r="EE84">
        <v>-1.689425E-2</v>
      </c>
      <c r="EF84">
        <v>1.011716E-2</v>
      </c>
      <c r="EG84">
        <v>-9.5958299999999996E-3</v>
      </c>
      <c r="EH84">
        <v>1.91624E-3</v>
      </c>
      <c r="EI84">
        <v>-5.8781600000000003E-3</v>
      </c>
      <c r="EJ84">
        <v>1.125893E-2</v>
      </c>
      <c r="EK84">
        <v>5.5096299999999997E-3</v>
      </c>
      <c r="EL84">
        <v>-2.4055730000000001E-2</v>
      </c>
      <c r="EM84">
        <v>-3.5237000000000002E-4</v>
      </c>
      <c r="EN84">
        <v>-3.6911260000000001E-2</v>
      </c>
      <c r="EO84">
        <v>-5.2559420000000003E-2</v>
      </c>
      <c r="EP84">
        <f t="shared" si="2"/>
        <v>0</v>
      </c>
      <c r="EQ84">
        <f>SUMIF('Mi portafolio'!$A$8:$A$19,$A84,'Mi portafolio'!$B$8:$B$19)</f>
        <v>0</v>
      </c>
    </row>
    <row r="85" spans="1:147" x14ac:dyDescent="0.25">
      <c r="A85" s="34" t="s">
        <v>162</v>
      </c>
      <c r="B85">
        <v>1.3296509999999999E-2</v>
      </c>
      <c r="C85">
        <v>-1.51424E-3</v>
      </c>
      <c r="D85">
        <v>-5.2021999999999995E-4</v>
      </c>
      <c r="E85">
        <v>4.33987E-3</v>
      </c>
      <c r="F85">
        <v>5.4457300000000002E-3</v>
      </c>
      <c r="G85">
        <v>2.6017599999999998E-3</v>
      </c>
      <c r="H85">
        <v>-4.3900900000000001E-3</v>
      </c>
      <c r="I85">
        <v>8.6510100000000006E-3</v>
      </c>
      <c r="J85">
        <v>8.4518500000000003E-3</v>
      </c>
      <c r="K85">
        <v>1.138202E-2</v>
      </c>
      <c r="L85">
        <v>1.8168000000000001E-4</v>
      </c>
      <c r="M85">
        <v>5.6698499999999997E-3</v>
      </c>
      <c r="N85">
        <v>4.9760100000000003E-3</v>
      </c>
      <c r="O85">
        <v>3.52105E-3</v>
      </c>
      <c r="P85">
        <v>1.6555159999999999E-2</v>
      </c>
      <c r="Q85">
        <v>4.5747299999999999E-3</v>
      </c>
      <c r="R85">
        <v>2.8953999999999998E-3</v>
      </c>
      <c r="S85">
        <v>8.6251299999999999E-3</v>
      </c>
      <c r="T85">
        <v>1.275097E-2</v>
      </c>
      <c r="U85">
        <v>5.4636700000000003E-3</v>
      </c>
      <c r="V85">
        <v>-2.6590899999999998E-3</v>
      </c>
      <c r="W85">
        <v>1.277463E-2</v>
      </c>
      <c r="X85">
        <v>1.7186E-2</v>
      </c>
      <c r="Y85">
        <v>2.1293530000000001E-2</v>
      </c>
      <c r="Z85">
        <v>1.0207899999999999E-3</v>
      </c>
      <c r="AA85">
        <v>-3.0441000000000002E-4</v>
      </c>
      <c r="AB85">
        <v>2.3487859999999999E-2</v>
      </c>
      <c r="AC85">
        <v>-7.2622399999999997E-3</v>
      </c>
      <c r="AD85">
        <v>9.2301000000000004E-4</v>
      </c>
      <c r="AE85">
        <v>-3.4857299999999998E-3</v>
      </c>
      <c r="AF85">
        <v>1.5438299999999999E-3</v>
      </c>
      <c r="AG85">
        <v>1.1434069999999999E-2</v>
      </c>
      <c r="AH85">
        <v>6.3156200000000001E-3</v>
      </c>
      <c r="AI85">
        <v>2.8438199999999999E-3</v>
      </c>
      <c r="AJ85">
        <v>-3.1415800000000002E-3</v>
      </c>
      <c r="AK85">
        <v>4.67637E-3</v>
      </c>
      <c r="AL85">
        <v>-2.46744E-3</v>
      </c>
      <c r="AM85">
        <v>8.9743500000000007E-3</v>
      </c>
      <c r="AN85">
        <v>1.3189289999999999E-2</v>
      </c>
      <c r="AO85">
        <v>1.7926319999999999E-2</v>
      </c>
      <c r="AP85">
        <v>1.5054079999999999E-2</v>
      </c>
      <c r="AQ85">
        <v>1.02231E-3</v>
      </c>
      <c r="AR85">
        <v>1.5074209999999999E-2</v>
      </c>
      <c r="AS85">
        <v>1.0735300000000001E-3</v>
      </c>
      <c r="AT85">
        <v>2.4511129999999999E-2</v>
      </c>
      <c r="AU85">
        <v>1.295166E-2</v>
      </c>
      <c r="AV85">
        <v>6.97169E-3</v>
      </c>
      <c r="AW85">
        <v>1.140847E-2</v>
      </c>
      <c r="AX85">
        <v>1.198924E-2</v>
      </c>
      <c r="AY85">
        <v>2.759636E-2</v>
      </c>
      <c r="AZ85">
        <v>-3.4941199999999999E-3</v>
      </c>
      <c r="BA85">
        <v>1.0106270000000001E-2</v>
      </c>
      <c r="BB85">
        <v>1.79344E-2</v>
      </c>
      <c r="BC85">
        <v>7.3091600000000003E-3</v>
      </c>
      <c r="BD85">
        <v>9.31769E-3</v>
      </c>
      <c r="BE85">
        <v>1.5489589999999999E-2</v>
      </c>
      <c r="BF85">
        <v>9.9664200000000001E-3</v>
      </c>
      <c r="BG85">
        <v>1.8777760000000001E-2</v>
      </c>
      <c r="BH85">
        <v>6.6278999999999999E-3</v>
      </c>
      <c r="BI85">
        <v>8.3823400000000003E-3</v>
      </c>
      <c r="BJ85">
        <v>9.3057999999999997E-4</v>
      </c>
      <c r="BK85">
        <v>9.12374E-3</v>
      </c>
      <c r="BL85">
        <v>1.477154E-2</v>
      </c>
      <c r="BM85">
        <v>1.7843729999999999E-2</v>
      </c>
      <c r="BN85">
        <v>8.0135590000000007E-2</v>
      </c>
      <c r="BO85">
        <v>1.0735639999999999E-2</v>
      </c>
      <c r="BP85">
        <v>8.1464699999999994E-3</v>
      </c>
      <c r="BQ85">
        <v>1.3161559999999999E-2</v>
      </c>
      <c r="BR85">
        <v>8.1271299999999998E-3</v>
      </c>
      <c r="BS85">
        <v>-1.1112400000000001E-3</v>
      </c>
      <c r="BT85">
        <v>3.1878700000000002E-3</v>
      </c>
      <c r="BU85">
        <v>-1.8939199999999999E-3</v>
      </c>
      <c r="BV85">
        <v>7.4176499999999996E-3</v>
      </c>
      <c r="BW85">
        <v>1.800734E-2</v>
      </c>
      <c r="BX85">
        <v>2.1533989999999999E-2</v>
      </c>
      <c r="BY85">
        <v>-1.20053E-3</v>
      </c>
      <c r="BZ85">
        <v>2.477592E-2</v>
      </c>
      <c r="CA85">
        <v>1.9060699999999999E-3</v>
      </c>
      <c r="CB85">
        <v>1.3849759999999999E-2</v>
      </c>
      <c r="CC85">
        <v>0.12955193000000001</v>
      </c>
      <c r="CD85">
        <v>2.0700320000000001E-2</v>
      </c>
      <c r="CE85">
        <v>6.9320500000000004E-3</v>
      </c>
      <c r="CF85">
        <v>2.5521599999999999E-3</v>
      </c>
      <c r="CG85">
        <v>2.413245E-2</v>
      </c>
      <c r="CH85">
        <v>1.2238799999999999E-2</v>
      </c>
      <c r="CI85">
        <v>5.5601899999999996E-3</v>
      </c>
      <c r="CJ85">
        <v>1.3437289999999999E-2</v>
      </c>
      <c r="CK85">
        <v>2.359087E-2</v>
      </c>
      <c r="CL85">
        <v>7.7900299999999999E-3</v>
      </c>
      <c r="CM85">
        <v>4.09889E-3</v>
      </c>
      <c r="CN85">
        <v>3.76779E-3</v>
      </c>
      <c r="CO85">
        <v>1.7288339999999999E-2</v>
      </c>
      <c r="CP85">
        <v>6.6609199999999999E-3</v>
      </c>
      <c r="CQ85">
        <v>2.4146290000000001E-2</v>
      </c>
      <c r="CR85">
        <v>9.2171800000000002E-3</v>
      </c>
      <c r="CS85">
        <v>1.291348E-2</v>
      </c>
      <c r="CT85">
        <v>2.4814409999999999E-2</v>
      </c>
      <c r="CU85">
        <v>1.8096799999999999E-3</v>
      </c>
      <c r="CV85">
        <v>1.7857930000000001E-2</v>
      </c>
      <c r="CW85">
        <v>9.3410000000000003E-3</v>
      </c>
      <c r="CX85">
        <v>2.0674250000000002E-2</v>
      </c>
      <c r="CY85">
        <v>2.0470450000000001E-2</v>
      </c>
      <c r="CZ85">
        <v>1.7627859999999999E-2</v>
      </c>
      <c r="DA85">
        <v>2.3359540000000002E-2</v>
      </c>
      <c r="DB85">
        <v>1.9450289999999999E-2</v>
      </c>
      <c r="DC85">
        <v>3.4198800000000001E-3</v>
      </c>
      <c r="DD85">
        <v>3.6211559999999997E-2</v>
      </c>
      <c r="DE85">
        <v>9.4348100000000001E-3</v>
      </c>
      <c r="DF85">
        <v>1.17739E-2</v>
      </c>
      <c r="DG85">
        <v>9.4028700000000007E-3</v>
      </c>
      <c r="DH85">
        <v>-5.3509600000000001E-3</v>
      </c>
      <c r="DI85">
        <v>3.2740850000000002E-2</v>
      </c>
      <c r="DJ85">
        <v>2.3188750000000001E-2</v>
      </c>
      <c r="DK85">
        <v>3.0294209999999999E-2</v>
      </c>
      <c r="DL85">
        <v>4.75466E-3</v>
      </c>
      <c r="DM85">
        <v>1.7854419999999999E-2</v>
      </c>
      <c r="DN85">
        <v>3.2204959999999998E-2</v>
      </c>
      <c r="DO85">
        <v>1.2508470000000001E-2</v>
      </c>
      <c r="DP85">
        <v>2.043814E-2</v>
      </c>
      <c r="DQ85">
        <v>2.0173299999999999E-3</v>
      </c>
      <c r="DR85">
        <v>2.33698E-2</v>
      </c>
      <c r="DS85">
        <v>3.5164800000000003E-2</v>
      </c>
      <c r="DT85">
        <v>1.734101E-2</v>
      </c>
      <c r="DU85">
        <v>3.1601810000000001E-2</v>
      </c>
      <c r="DV85">
        <v>1.596583E-2</v>
      </c>
      <c r="DW85">
        <v>2.4472049999999999E-2</v>
      </c>
      <c r="DX85">
        <v>5.8332899999999997E-3</v>
      </c>
      <c r="DY85">
        <v>2.1787959999999999E-2</v>
      </c>
      <c r="DZ85">
        <v>1.7654090000000001E-2</v>
      </c>
      <c r="EA85">
        <v>1.710741E-2</v>
      </c>
      <c r="EB85">
        <v>3.3850320000000003E-2</v>
      </c>
      <c r="EC85">
        <v>1.254628E-2</v>
      </c>
      <c r="ED85">
        <v>2.8811920000000001E-2</v>
      </c>
      <c r="EE85">
        <v>2.3189620000000001E-2</v>
      </c>
      <c r="EF85">
        <v>2.0012329999999998E-2</v>
      </c>
      <c r="EG85">
        <v>2.2926080000000001E-2</v>
      </c>
      <c r="EH85">
        <v>3.4178050000000001E-2</v>
      </c>
      <c r="EI85">
        <v>5.9166899999999996E-3</v>
      </c>
      <c r="EJ85">
        <v>3.4401040000000001E-2</v>
      </c>
      <c r="EK85">
        <v>4.6524509999999998E-2</v>
      </c>
      <c r="EL85">
        <v>1.4566620000000001E-2</v>
      </c>
      <c r="EM85">
        <v>2.1182059999999999E-2</v>
      </c>
      <c r="EN85">
        <v>4.6888590000000001E-2</v>
      </c>
      <c r="EO85">
        <v>5.2167970000000001E-2</v>
      </c>
      <c r="EP85">
        <f t="shared" si="2"/>
        <v>0</v>
      </c>
      <c r="EQ85">
        <f>SUMIF('Mi portafolio'!$A$8:$A$19,$A85,'Mi portafolio'!$B$8:$B$19)</f>
        <v>0</v>
      </c>
    </row>
    <row r="86" spans="1:147" x14ac:dyDescent="0.25">
      <c r="A86" s="34" t="s">
        <v>163</v>
      </c>
      <c r="B86">
        <v>1.0652969999999999E-2</v>
      </c>
      <c r="C86">
        <v>-2.7799999999999999E-3</v>
      </c>
      <c r="D86">
        <v>3.24413E-3</v>
      </c>
      <c r="E86">
        <v>3.8573100000000001E-3</v>
      </c>
      <c r="F86">
        <v>1.2111759999999999E-2</v>
      </c>
      <c r="G86">
        <v>1.7132899999999999E-3</v>
      </c>
      <c r="H86">
        <v>3.9322699999999999E-3</v>
      </c>
      <c r="I86">
        <v>1.663835E-2</v>
      </c>
      <c r="J86">
        <v>6.7306600000000003E-3</v>
      </c>
      <c r="K86">
        <v>8.9313299999999995E-3</v>
      </c>
      <c r="L86">
        <v>1.13889E-2</v>
      </c>
      <c r="M86">
        <v>2.2128399999999999E-2</v>
      </c>
      <c r="N86">
        <v>1.9311620000000002E-2</v>
      </c>
      <c r="O86">
        <v>2.6493599999999999E-3</v>
      </c>
      <c r="P86">
        <v>1.545447E-2</v>
      </c>
      <c r="Q86">
        <v>3.5289100000000001E-3</v>
      </c>
      <c r="R86">
        <v>1.215639E-2</v>
      </c>
      <c r="S86">
        <v>9.2788300000000001E-3</v>
      </c>
      <c r="T86">
        <v>2.0333190000000001E-2</v>
      </c>
      <c r="U86">
        <v>8.1353199999999997E-3</v>
      </c>
      <c r="V86">
        <v>8.9690000000000004E-5</v>
      </c>
      <c r="W86">
        <v>1.596E-3</v>
      </c>
      <c r="X86">
        <v>1.6651969999999999E-2</v>
      </c>
      <c r="Y86">
        <v>2.6545340000000001E-2</v>
      </c>
      <c r="Z86">
        <v>9.2635900000000004E-3</v>
      </c>
      <c r="AA86">
        <v>7.0920100000000002E-3</v>
      </c>
      <c r="AB86">
        <v>2.933885E-2</v>
      </c>
      <c r="AC86">
        <v>-4.5875100000000004E-3</v>
      </c>
      <c r="AD86">
        <v>-3.61663E-3</v>
      </c>
      <c r="AE86">
        <v>9.8171600000000001E-3</v>
      </c>
      <c r="AF86">
        <v>-4.3772000000000004E-3</v>
      </c>
      <c r="AG86">
        <v>1.3525000000000001E-4</v>
      </c>
      <c r="AH86">
        <v>4.7142499999999997E-3</v>
      </c>
      <c r="AI86">
        <v>-7.66675E-3</v>
      </c>
      <c r="AJ86">
        <v>-6.8353600000000004E-3</v>
      </c>
      <c r="AK86">
        <v>-2.2338599999999998E-3</v>
      </c>
      <c r="AL86">
        <v>1.761039E-2</v>
      </c>
      <c r="AM86">
        <v>2.0307019999999999E-2</v>
      </c>
      <c r="AN86">
        <v>2.8832549999999998E-2</v>
      </c>
      <c r="AO86">
        <v>1.6753319999999999E-2</v>
      </c>
      <c r="AP86">
        <v>3.2610849999999997E-2</v>
      </c>
      <c r="AQ86">
        <v>-8.5107199999999994E-3</v>
      </c>
      <c r="AR86">
        <v>1.9518130000000002E-2</v>
      </c>
      <c r="AS86">
        <v>9.8900600000000009E-3</v>
      </c>
      <c r="AT86">
        <v>3.266587E-2</v>
      </c>
      <c r="AU86">
        <v>5.1670600000000002E-3</v>
      </c>
      <c r="AV86">
        <v>-2.3275100000000001E-3</v>
      </c>
      <c r="AW86">
        <v>9.9549400000000007E-3</v>
      </c>
      <c r="AX86">
        <v>2.1082449999999999E-2</v>
      </c>
      <c r="AY86">
        <v>2.2724749999999998E-2</v>
      </c>
      <c r="AZ86">
        <v>8.1302900000000001E-3</v>
      </c>
      <c r="BA86">
        <v>2.192127E-2</v>
      </c>
      <c r="BB86">
        <v>2.3621550000000002E-2</v>
      </c>
      <c r="BC86">
        <v>7.1716E-4</v>
      </c>
      <c r="BD86">
        <v>9.2599099999999997E-3</v>
      </c>
      <c r="BE86">
        <v>1.283308E-2</v>
      </c>
      <c r="BF86">
        <v>1.3554099999999999E-2</v>
      </c>
      <c r="BG86">
        <v>2.910211E-2</v>
      </c>
      <c r="BH86">
        <v>1.216537E-2</v>
      </c>
      <c r="BI86">
        <v>7.8457900000000001E-3</v>
      </c>
      <c r="BJ86">
        <v>-5.5616800000000003E-3</v>
      </c>
      <c r="BK86">
        <v>1.099172E-2</v>
      </c>
      <c r="BL86">
        <v>2.2146699999999998E-2</v>
      </c>
      <c r="BM86">
        <v>2.9603230000000001E-2</v>
      </c>
      <c r="BN86">
        <v>1.439869E-2</v>
      </c>
      <c r="BO86">
        <v>3.8118840000000001E-2</v>
      </c>
      <c r="BP86">
        <v>3.6130259999999997E-2</v>
      </c>
      <c r="BQ86">
        <v>1.8955240000000002E-2</v>
      </c>
      <c r="BR86">
        <v>3.4119829999999997E-2</v>
      </c>
      <c r="BS86">
        <v>9.7243999999999998E-4</v>
      </c>
      <c r="BT86">
        <v>3.4592209999999998E-2</v>
      </c>
      <c r="BU86">
        <v>1.0604489999999999E-2</v>
      </c>
      <c r="BV86">
        <v>4.0624399999999998E-2</v>
      </c>
      <c r="BW86">
        <v>3.5625999999999998E-2</v>
      </c>
      <c r="BX86">
        <v>1.282031E-2</v>
      </c>
      <c r="BY86">
        <v>2.2817710000000001E-2</v>
      </c>
      <c r="BZ86">
        <v>3.5413399999999998E-2</v>
      </c>
      <c r="CA86">
        <v>-2.2997400000000002E-3</v>
      </c>
      <c r="CB86">
        <v>3.2288899999999999E-3</v>
      </c>
      <c r="CC86">
        <v>2.0700320000000001E-2</v>
      </c>
      <c r="CD86">
        <v>0.13159914</v>
      </c>
      <c r="CE86">
        <v>5.28379E-3</v>
      </c>
      <c r="CF86">
        <v>-1.9588700000000001E-3</v>
      </c>
      <c r="CG86">
        <v>6.5239430000000001E-2</v>
      </c>
      <c r="CH86">
        <v>1.623316E-2</v>
      </c>
      <c r="CI86">
        <v>1.13287E-3</v>
      </c>
      <c r="CJ86">
        <v>4.187432E-2</v>
      </c>
      <c r="CK86">
        <v>3.1746179999999999E-2</v>
      </c>
      <c r="CL86">
        <v>1.9236260000000002E-2</v>
      </c>
      <c r="CM86">
        <v>2.6804669999999999E-2</v>
      </c>
      <c r="CN86">
        <v>3.4426399999999998E-3</v>
      </c>
      <c r="CO86">
        <v>8.0467400000000001E-3</v>
      </c>
      <c r="CP86">
        <v>3.1975290000000003E-2</v>
      </c>
      <c r="CQ86">
        <v>3.7514760000000001E-2</v>
      </c>
      <c r="CR86">
        <v>3.2089670000000001E-2</v>
      </c>
      <c r="CS86">
        <v>6.0618199999999999E-3</v>
      </c>
      <c r="CT86">
        <v>3.7640060000000003E-2</v>
      </c>
      <c r="CU86">
        <v>3.0628780000000001E-2</v>
      </c>
      <c r="CV86">
        <v>3.96409E-2</v>
      </c>
      <c r="CW86">
        <v>6.7653610000000003E-2</v>
      </c>
      <c r="CX86">
        <v>4.0842240000000002E-2</v>
      </c>
      <c r="CY86">
        <v>3.5966520000000002E-2</v>
      </c>
      <c r="CZ86">
        <v>3.7388310000000001E-2</v>
      </c>
      <c r="DA86">
        <v>5.26574E-2</v>
      </c>
      <c r="DB86">
        <v>2.8013739999999999E-2</v>
      </c>
      <c r="DC86">
        <v>1.512616E-2</v>
      </c>
      <c r="DD86">
        <v>5.6504749999999999E-2</v>
      </c>
      <c r="DE86">
        <v>1.8929729999999999E-2</v>
      </c>
      <c r="DF86">
        <v>4.3088969999999997E-2</v>
      </c>
      <c r="DG86">
        <v>2.4062650000000001E-2</v>
      </c>
      <c r="DH86">
        <v>2.1147450000000002E-2</v>
      </c>
      <c r="DI86">
        <v>4.1202639999999999E-2</v>
      </c>
      <c r="DJ86">
        <v>6.335027E-2</v>
      </c>
      <c r="DK86">
        <v>4.876022E-2</v>
      </c>
      <c r="DL86">
        <v>-2.4806300000000002E-3</v>
      </c>
      <c r="DM86">
        <v>6.2408699999999998E-2</v>
      </c>
      <c r="DN86">
        <v>6.2645619999999999E-2</v>
      </c>
      <c r="DO86">
        <v>2.1070470000000001E-2</v>
      </c>
      <c r="DP86">
        <v>7.3453980000000002E-2</v>
      </c>
      <c r="DQ86">
        <v>1.9495180000000001E-2</v>
      </c>
      <c r="DR86">
        <v>3.315945E-2</v>
      </c>
      <c r="DS86">
        <v>8.9694689999999994E-2</v>
      </c>
      <c r="DT86">
        <v>5.0289189999999998E-2</v>
      </c>
      <c r="DU86">
        <v>6.1951859999999997E-2</v>
      </c>
      <c r="DV86">
        <v>7.0479219999999995E-2</v>
      </c>
      <c r="DW86">
        <v>8.1540219999999997E-2</v>
      </c>
      <c r="DX86">
        <v>1.363168E-2</v>
      </c>
      <c r="DY86">
        <v>8.0215850000000005E-2</v>
      </c>
      <c r="DZ86">
        <v>5.496289E-2</v>
      </c>
      <c r="EA86">
        <v>6.3538170000000005E-2</v>
      </c>
      <c r="EB86">
        <v>7.4910050000000006E-2</v>
      </c>
      <c r="EC86">
        <v>-4.6607200000000001E-3</v>
      </c>
      <c r="ED86">
        <v>2.99787E-2</v>
      </c>
      <c r="EE86">
        <v>3.981697E-2</v>
      </c>
      <c r="EF86">
        <v>1.7784879999999999E-2</v>
      </c>
      <c r="EG86">
        <v>1.0591740000000001E-2</v>
      </c>
      <c r="EH86">
        <v>7.3101849999999996E-2</v>
      </c>
      <c r="EI86">
        <v>3.1495240000000001E-2</v>
      </c>
      <c r="EJ86">
        <v>7.1817850000000003E-2</v>
      </c>
      <c r="EK86">
        <v>4.640946E-2</v>
      </c>
      <c r="EL86">
        <v>5.2592359999999998E-2</v>
      </c>
      <c r="EM86">
        <v>9.0374990000000002E-2</v>
      </c>
      <c r="EN86">
        <v>0.1172131</v>
      </c>
      <c r="EO86">
        <v>6.5180680000000005E-2</v>
      </c>
      <c r="EP86">
        <f t="shared" si="2"/>
        <v>0</v>
      </c>
      <c r="EQ86">
        <f>SUMIF('Mi portafolio'!$A$8:$A$19,$A86,'Mi portafolio'!$B$8:$B$19)</f>
        <v>0</v>
      </c>
    </row>
    <row r="87" spans="1:147" x14ac:dyDescent="0.25">
      <c r="A87" s="34" t="s">
        <v>164</v>
      </c>
      <c r="B87">
        <v>4.1514500000000001E-3</v>
      </c>
      <c r="C87">
        <v>-2.1765299999999999E-3</v>
      </c>
      <c r="D87">
        <v>3.5095500000000002E-3</v>
      </c>
      <c r="E87">
        <v>3.0032000000000002E-4</v>
      </c>
      <c r="F87">
        <v>-5.7373399999999996E-3</v>
      </c>
      <c r="G87">
        <v>-1.1513599999999999E-3</v>
      </c>
      <c r="H87">
        <v>1.3444399999999999E-3</v>
      </c>
      <c r="I87">
        <v>-5.7481000000000003E-4</v>
      </c>
      <c r="J87">
        <v>8.8535000000000003E-4</v>
      </c>
      <c r="K87">
        <v>-3.2939599999999999E-3</v>
      </c>
      <c r="L87">
        <v>4.3636899999999999E-3</v>
      </c>
      <c r="M87">
        <v>7.5949399999999997E-3</v>
      </c>
      <c r="N87">
        <v>4.1724800000000001E-3</v>
      </c>
      <c r="O87">
        <v>-3.2412500000000002E-3</v>
      </c>
      <c r="P87">
        <v>7.0703299999999997E-3</v>
      </c>
      <c r="Q87">
        <v>2.0110800000000002E-3</v>
      </c>
      <c r="R87">
        <v>1.1052E-3</v>
      </c>
      <c r="S87">
        <v>-2.48985E-3</v>
      </c>
      <c r="T87">
        <v>2.3174730000000001E-2</v>
      </c>
      <c r="U87">
        <v>8.4495400000000002E-3</v>
      </c>
      <c r="V87">
        <v>4.0229100000000002E-3</v>
      </c>
      <c r="W87">
        <v>4.7927200000000003E-3</v>
      </c>
      <c r="X87">
        <v>2.2869980000000002E-2</v>
      </c>
      <c r="Y87">
        <v>1.0834770000000001E-2</v>
      </c>
      <c r="Z87">
        <v>-1.34844E-3</v>
      </c>
      <c r="AA87">
        <v>6.5578099999999999E-3</v>
      </c>
      <c r="AB87">
        <v>6.8303299999999999E-3</v>
      </c>
      <c r="AC87">
        <v>6.4379800000000003E-3</v>
      </c>
      <c r="AD87">
        <v>6.0981500000000001E-3</v>
      </c>
      <c r="AE87">
        <v>1.306183E-2</v>
      </c>
      <c r="AF87">
        <v>7.7308300000000002E-3</v>
      </c>
      <c r="AG87">
        <v>-1.83343E-3</v>
      </c>
      <c r="AH87">
        <v>-3.0591500000000001E-3</v>
      </c>
      <c r="AI87">
        <v>1.029689E-2</v>
      </c>
      <c r="AJ87">
        <v>7.3634499999999997E-3</v>
      </c>
      <c r="AK87">
        <v>4.4118600000000001E-3</v>
      </c>
      <c r="AL87">
        <v>1.9668640000000001E-2</v>
      </c>
      <c r="AM87">
        <v>1.288947E-2</v>
      </c>
      <c r="AN87">
        <v>9.0761499999999998E-3</v>
      </c>
      <c r="AO87">
        <v>8.4591000000000006E-3</v>
      </c>
      <c r="AP87">
        <v>6.826E-4</v>
      </c>
      <c r="AQ87">
        <v>1.1554119999999999E-2</v>
      </c>
      <c r="AR87">
        <v>2.72914E-2</v>
      </c>
      <c r="AS87">
        <v>7.49265E-3</v>
      </c>
      <c r="AT87">
        <v>2.2818060000000001E-2</v>
      </c>
      <c r="AU87">
        <v>3.2554099999999998E-3</v>
      </c>
      <c r="AV87">
        <v>4.58406E-3</v>
      </c>
      <c r="AW87">
        <v>1.480252E-2</v>
      </c>
      <c r="AX87">
        <v>1.168256E-2</v>
      </c>
      <c r="AY87">
        <v>1.8523290000000001E-2</v>
      </c>
      <c r="AZ87">
        <v>1.7621390000000001E-2</v>
      </c>
      <c r="BA87">
        <v>1.8287950000000001E-2</v>
      </c>
      <c r="BB87">
        <v>4.2384810000000002E-2</v>
      </c>
      <c r="BC87">
        <v>6.1274099999999998E-3</v>
      </c>
      <c r="BD87">
        <v>1.293594E-2</v>
      </c>
      <c r="BE87">
        <v>7.1450300000000001E-3</v>
      </c>
      <c r="BF87">
        <v>5.1083700000000001E-3</v>
      </c>
      <c r="BG87">
        <v>9.5396500000000002E-3</v>
      </c>
      <c r="BH87">
        <v>1.1776740000000001E-2</v>
      </c>
      <c r="BI87">
        <v>2.08874E-3</v>
      </c>
      <c r="BJ87">
        <v>-6.13235E-3</v>
      </c>
      <c r="BK87">
        <v>2.2749200000000001E-2</v>
      </c>
      <c r="BL87">
        <v>2.6785199999999999E-2</v>
      </c>
      <c r="BM87">
        <v>1.551955E-2</v>
      </c>
      <c r="BN87">
        <v>6.0372999999999998E-3</v>
      </c>
      <c r="BO87">
        <v>2.0307459999999999E-2</v>
      </c>
      <c r="BP87">
        <v>9.6271399999999993E-3</v>
      </c>
      <c r="BQ87">
        <v>2.298275E-2</v>
      </c>
      <c r="BR87">
        <v>2.352827E-2</v>
      </c>
      <c r="BS87">
        <v>1.51506E-2</v>
      </c>
      <c r="BT87">
        <v>1.717407E-2</v>
      </c>
      <c r="BU87">
        <v>1.432575E-2</v>
      </c>
      <c r="BV87">
        <v>2.5944439999999999E-2</v>
      </c>
      <c r="BW87">
        <v>1.4652429999999999E-2</v>
      </c>
      <c r="BX87">
        <v>5.6682E-4</v>
      </c>
      <c r="BY87">
        <v>2.5600339999999999E-2</v>
      </c>
      <c r="BZ87">
        <v>1.415669E-2</v>
      </c>
      <c r="CA87">
        <v>7.7335700000000004E-3</v>
      </c>
      <c r="CB87">
        <v>-1.131483E-2</v>
      </c>
      <c r="CC87">
        <v>6.9320500000000004E-3</v>
      </c>
      <c r="CD87">
        <v>5.28379E-3</v>
      </c>
      <c r="CE87">
        <v>0.13307498000000001</v>
      </c>
      <c r="CF87">
        <v>1.855567E-2</v>
      </c>
      <c r="CG87">
        <v>1.923714E-2</v>
      </c>
      <c r="CH87">
        <v>2.6782360000000002E-2</v>
      </c>
      <c r="CI87">
        <v>1.9715400000000001E-2</v>
      </c>
      <c r="CJ87">
        <v>2.9795500000000001E-3</v>
      </c>
      <c r="CK87">
        <v>6.6384399999999998E-3</v>
      </c>
      <c r="CL87">
        <v>2.5826979999999999E-2</v>
      </c>
      <c r="CM87">
        <v>4.1908269999999997E-2</v>
      </c>
      <c r="CN87">
        <v>5.5873800000000003E-3</v>
      </c>
      <c r="CO87">
        <v>8.8528300000000008E-3</v>
      </c>
      <c r="CP87">
        <v>7.5711199999999998E-3</v>
      </c>
      <c r="CQ87">
        <v>3.3379399999999997E-2</v>
      </c>
      <c r="CR87">
        <v>5.2698080000000001E-2</v>
      </c>
      <c r="CS87">
        <v>5.8979730000000001E-2</v>
      </c>
      <c r="CT87">
        <v>2.7488470000000001E-2</v>
      </c>
      <c r="CU87">
        <v>1.7852139999999999E-2</v>
      </c>
      <c r="CV87">
        <v>1.8135620000000002E-2</v>
      </c>
      <c r="CW87">
        <v>9.3476800000000006E-3</v>
      </c>
      <c r="CX87">
        <v>1.4167630000000001E-2</v>
      </c>
      <c r="CY87">
        <v>2.6133569999999998E-2</v>
      </c>
      <c r="CZ87">
        <v>2.7379000000000001E-2</v>
      </c>
      <c r="DA87">
        <v>4.0695999999999996E-3</v>
      </c>
      <c r="DB87">
        <v>4.1569389999999998E-2</v>
      </c>
      <c r="DC87">
        <v>1.263763E-2</v>
      </c>
      <c r="DD87">
        <v>3.8487670000000002E-2</v>
      </c>
      <c r="DE87">
        <v>5.5138930000000003E-2</v>
      </c>
      <c r="DF87">
        <v>2.0507500000000001E-3</v>
      </c>
      <c r="DG87">
        <v>2.6907239999999999E-2</v>
      </c>
      <c r="DH87">
        <v>6.5474329999999997E-2</v>
      </c>
      <c r="DI87">
        <v>2.4817559999999999E-2</v>
      </c>
      <c r="DJ87">
        <v>2.9172389999999999E-2</v>
      </c>
      <c r="DK87">
        <v>3.898687E-2</v>
      </c>
      <c r="DL87">
        <v>1.122505E-2</v>
      </c>
      <c r="DM87">
        <v>3.7661600000000003E-2</v>
      </c>
      <c r="DN87">
        <v>2.3684839999999999E-2</v>
      </c>
      <c r="DO87">
        <v>5.9487110000000003E-2</v>
      </c>
      <c r="DP87">
        <v>3.1467340000000003E-2</v>
      </c>
      <c r="DQ87">
        <v>4.8246909999999997E-2</v>
      </c>
      <c r="DR87">
        <v>3.1822469999999999E-2</v>
      </c>
      <c r="DS87">
        <v>1.480736E-2</v>
      </c>
      <c r="DT87">
        <v>5.0176829999999999E-2</v>
      </c>
      <c r="DU87">
        <v>4.7239620000000003E-2</v>
      </c>
      <c r="DV87">
        <v>4.6082159999999997E-2</v>
      </c>
      <c r="DW87">
        <v>2.9794830000000001E-2</v>
      </c>
      <c r="DX87">
        <v>8.6091719999999997E-2</v>
      </c>
      <c r="DY87">
        <v>5.0923070000000001E-2</v>
      </c>
      <c r="DZ87">
        <v>3.4437429999999998E-2</v>
      </c>
      <c r="EA87">
        <v>1.3759199999999999E-2</v>
      </c>
      <c r="EB87">
        <v>6.4037449999999996E-2</v>
      </c>
      <c r="EC87">
        <v>2.1609090000000001E-2</v>
      </c>
      <c r="ED87">
        <v>5.3500329999999999E-2</v>
      </c>
      <c r="EE87">
        <v>8.5344279999999995E-2</v>
      </c>
      <c r="EF87">
        <v>6.1493109999999997E-2</v>
      </c>
      <c r="EG87">
        <v>7.3625800000000005E-2</v>
      </c>
      <c r="EH87">
        <v>5.95066E-3</v>
      </c>
      <c r="EI87">
        <v>7.0322190000000007E-2</v>
      </c>
      <c r="EJ87">
        <v>2.891937E-2</v>
      </c>
      <c r="EK87">
        <v>8.2924049999999999E-2</v>
      </c>
      <c r="EL87">
        <v>6.6792560000000001E-2</v>
      </c>
      <c r="EM87">
        <v>2.753092E-2</v>
      </c>
      <c r="EN87">
        <v>2.1792760000000001E-2</v>
      </c>
      <c r="EO87">
        <v>6.3164139999999994E-2</v>
      </c>
      <c r="EP87">
        <f t="shared" si="2"/>
        <v>0</v>
      </c>
      <c r="EQ87">
        <f>SUMIF('Mi portafolio'!$A$8:$A$19,$A87,'Mi portafolio'!$B$8:$B$19)</f>
        <v>0</v>
      </c>
    </row>
    <row r="88" spans="1:147" x14ac:dyDescent="0.25">
      <c r="A88" s="34" t="s">
        <v>165</v>
      </c>
      <c r="B88">
        <v>4.6657199999999999E-3</v>
      </c>
      <c r="C88">
        <v>-2.7255999999999999E-3</v>
      </c>
      <c r="D88">
        <v>-2.86491E-3</v>
      </c>
      <c r="E88">
        <v>2.1739799999999998E-3</v>
      </c>
      <c r="F88">
        <v>1.694872E-2</v>
      </c>
      <c r="G88">
        <v>1.4192300000000001E-3</v>
      </c>
      <c r="H88">
        <v>-9.4657000000000005E-3</v>
      </c>
      <c r="I88">
        <v>4.2471999999999996E-3</v>
      </c>
      <c r="J88">
        <v>1.23356E-2</v>
      </c>
      <c r="K88">
        <v>1.0390899999999999E-3</v>
      </c>
      <c r="L88">
        <v>-1.7761E-4</v>
      </c>
      <c r="M88">
        <v>-6.7143000000000003E-3</v>
      </c>
      <c r="N88">
        <v>6.2293799999999996E-3</v>
      </c>
      <c r="O88">
        <v>-1.39959E-3</v>
      </c>
      <c r="P88">
        <v>1.6974400000000001E-2</v>
      </c>
      <c r="Q88">
        <v>-5.1255399999999996E-3</v>
      </c>
      <c r="R88">
        <v>1.5467379999999999E-2</v>
      </c>
      <c r="S88">
        <v>-8.1475999999999996E-3</v>
      </c>
      <c r="T88">
        <v>4.8599E-4</v>
      </c>
      <c r="U88">
        <v>-7.6190900000000002E-3</v>
      </c>
      <c r="V88">
        <v>-8.1635000000000006E-3</v>
      </c>
      <c r="W88">
        <v>-8.5736999999999999E-4</v>
      </c>
      <c r="X88">
        <v>-1.9372300000000001E-3</v>
      </c>
      <c r="Y88">
        <v>2.2373599999999999E-3</v>
      </c>
      <c r="Z88">
        <v>-5.4917400000000002E-3</v>
      </c>
      <c r="AA88">
        <v>-5.5824200000000003E-3</v>
      </c>
      <c r="AB88">
        <v>1.5785199999999999E-3</v>
      </c>
      <c r="AC88">
        <v>-4.3568900000000004E-3</v>
      </c>
      <c r="AD88">
        <v>7.7413999999999998E-3</v>
      </c>
      <c r="AE88">
        <v>-1.973101E-2</v>
      </c>
      <c r="AF88">
        <v>-7.5687599999999999E-3</v>
      </c>
      <c r="AG88">
        <v>2.3723439999999998E-2</v>
      </c>
      <c r="AH88">
        <v>2.0993080000000001E-2</v>
      </c>
      <c r="AI88">
        <v>7.048393E-2</v>
      </c>
      <c r="AJ88">
        <v>-2.9165300000000001E-3</v>
      </c>
      <c r="AK88">
        <v>-1.82615E-2</v>
      </c>
      <c r="AL88">
        <v>8.1101999999999997E-4</v>
      </c>
      <c r="AM88">
        <v>-1.081584E-2</v>
      </c>
      <c r="AN88">
        <v>-1.6963019999999999E-2</v>
      </c>
      <c r="AO88">
        <v>7.1049499999999996E-3</v>
      </c>
      <c r="AP88">
        <v>-1.01116E-2</v>
      </c>
      <c r="AQ88">
        <v>7.7346319999999996E-2</v>
      </c>
      <c r="AR88">
        <v>4.3930999999999996E-3</v>
      </c>
      <c r="AS88">
        <v>-1.6346309999999999E-2</v>
      </c>
      <c r="AT88">
        <v>-6.8106399999999997E-3</v>
      </c>
      <c r="AU88">
        <v>1.341092E-2</v>
      </c>
      <c r="AV88">
        <v>-4.9928400000000001E-3</v>
      </c>
      <c r="AW88">
        <v>-8.0767800000000004E-3</v>
      </c>
      <c r="AX88">
        <v>7.0938199999999998E-3</v>
      </c>
      <c r="AY88">
        <v>4.6150100000000001E-3</v>
      </c>
      <c r="AZ88">
        <v>-1.870258E-2</v>
      </c>
      <c r="BA88">
        <v>-1.74361E-3</v>
      </c>
      <c r="BB88">
        <v>-1.4134000000000001E-2</v>
      </c>
      <c r="BC88">
        <v>-2.6727999999999999E-3</v>
      </c>
      <c r="BD88">
        <v>-1.3885720000000001E-2</v>
      </c>
      <c r="BE88">
        <v>1.0752029999999999E-2</v>
      </c>
      <c r="BF88">
        <v>2.76422E-3</v>
      </c>
      <c r="BG88">
        <v>-3.92787E-3</v>
      </c>
      <c r="BH88">
        <v>-1.9536600000000001E-2</v>
      </c>
      <c r="BI88">
        <v>1.3359400000000001E-3</v>
      </c>
      <c r="BJ88">
        <v>4.3118699999999998E-3</v>
      </c>
      <c r="BK88">
        <v>-1.0628240000000001E-2</v>
      </c>
      <c r="BL88">
        <v>-2.9107299999999998E-3</v>
      </c>
      <c r="BM88">
        <v>5.1368000000000004E-3</v>
      </c>
      <c r="BN88">
        <v>7.6547899999999999E-3</v>
      </c>
      <c r="BO88">
        <v>-1.4975540000000001E-2</v>
      </c>
      <c r="BP88">
        <v>-5.4662499999999998E-3</v>
      </c>
      <c r="BQ88">
        <v>-2.314536E-2</v>
      </c>
      <c r="BR88">
        <v>4.5375299999999997E-3</v>
      </c>
      <c r="BS88">
        <v>0.10336432</v>
      </c>
      <c r="BT88">
        <v>-3.465265E-2</v>
      </c>
      <c r="BU88">
        <v>-1.504087E-2</v>
      </c>
      <c r="BV88">
        <v>-8.4632800000000001E-3</v>
      </c>
      <c r="BW88">
        <v>8.6760299999999995E-3</v>
      </c>
      <c r="BX88">
        <v>2.5697599999999999E-3</v>
      </c>
      <c r="BY88">
        <v>-1.382329E-2</v>
      </c>
      <c r="BZ88">
        <v>-1.7822009999999999E-2</v>
      </c>
      <c r="CA88">
        <v>-9.2168100000000006E-3</v>
      </c>
      <c r="CB88">
        <v>2.0904740000000002E-2</v>
      </c>
      <c r="CC88">
        <v>2.5521599999999999E-3</v>
      </c>
      <c r="CD88">
        <v>-1.9588700000000001E-3</v>
      </c>
      <c r="CE88">
        <v>1.855567E-2</v>
      </c>
      <c r="CF88">
        <v>0.13013004</v>
      </c>
      <c r="CG88">
        <v>-1.2037549999999999E-2</v>
      </c>
      <c r="CH88">
        <v>-2.65104E-2</v>
      </c>
      <c r="CI88">
        <v>0.11191116</v>
      </c>
      <c r="CJ88">
        <v>7.53471E-3</v>
      </c>
      <c r="CK88">
        <v>2.4138699999999998E-3</v>
      </c>
      <c r="CL88">
        <v>-1.4880279999999999E-2</v>
      </c>
      <c r="CM88">
        <v>-1.651617E-2</v>
      </c>
      <c r="CN88">
        <v>2.08494E-3</v>
      </c>
      <c r="CO88">
        <v>-8.5152800000000001E-3</v>
      </c>
      <c r="CP88">
        <v>1.237276E-2</v>
      </c>
      <c r="CQ88">
        <v>-3.6441139999999997E-2</v>
      </c>
      <c r="CR88">
        <v>-1.7763600000000001E-2</v>
      </c>
      <c r="CS88">
        <v>-3.0589900000000001E-3</v>
      </c>
      <c r="CT88">
        <v>-7.76372E-3</v>
      </c>
      <c r="CU88">
        <v>-1.4296599999999999E-3</v>
      </c>
      <c r="CV88">
        <v>-2.707594E-2</v>
      </c>
      <c r="CW88">
        <v>-1.910324E-2</v>
      </c>
      <c r="CX88">
        <v>-1.8872949999999999E-2</v>
      </c>
      <c r="CY88">
        <v>-4.7470270000000002E-2</v>
      </c>
      <c r="CZ88">
        <v>1.677294E-2</v>
      </c>
      <c r="DA88">
        <v>-5.1519199999999999E-3</v>
      </c>
      <c r="DB88">
        <v>-1.8263740000000001E-2</v>
      </c>
      <c r="DC88">
        <v>-5.477398E-2</v>
      </c>
      <c r="DD88">
        <v>-1.959178E-2</v>
      </c>
      <c r="DE88">
        <v>-2.3888920000000001E-2</v>
      </c>
      <c r="DF88">
        <v>1.8980819999999999E-2</v>
      </c>
      <c r="DG88">
        <v>-1.9030559999999998E-2</v>
      </c>
      <c r="DH88">
        <v>-1.053518E-2</v>
      </c>
      <c r="DI88">
        <v>-5.7922590000000003E-2</v>
      </c>
      <c r="DJ88">
        <v>-3.2897549999999998E-2</v>
      </c>
      <c r="DK88">
        <v>-5.7658309999999997E-2</v>
      </c>
      <c r="DL88">
        <v>-4.4497139999999998E-2</v>
      </c>
      <c r="DM88">
        <v>-4.712587E-2</v>
      </c>
      <c r="DN88">
        <v>-2.82432E-3</v>
      </c>
      <c r="DO88">
        <v>-5.9946999999999995E-4</v>
      </c>
      <c r="DP88">
        <v>-4.9158970000000003E-2</v>
      </c>
      <c r="DQ88">
        <v>3.32044E-3</v>
      </c>
      <c r="DR88">
        <v>9.9843899999999992E-3</v>
      </c>
      <c r="DS88">
        <v>8.8336999999999997E-4</v>
      </c>
      <c r="DT88">
        <v>-9.17543E-3</v>
      </c>
      <c r="DU88">
        <v>-2.5912190000000002E-2</v>
      </c>
      <c r="DV88">
        <v>-6.0017500000000001E-3</v>
      </c>
      <c r="DW88">
        <v>-3.821111E-2</v>
      </c>
      <c r="DX88">
        <v>-2.0732980000000002E-2</v>
      </c>
      <c r="DY88">
        <v>-3.1051639999999998E-2</v>
      </c>
      <c r="DZ88">
        <v>2.1953500000000001E-2</v>
      </c>
      <c r="EA88">
        <v>-3.4098379999999998E-2</v>
      </c>
      <c r="EB88">
        <v>-1.6422880000000001E-2</v>
      </c>
      <c r="EC88">
        <v>-2.1949739999999999E-2</v>
      </c>
      <c r="ED88">
        <v>-1.2666480000000001E-2</v>
      </c>
      <c r="EE88">
        <v>-2.5894980000000001E-2</v>
      </c>
      <c r="EF88">
        <v>5.4413100000000004E-3</v>
      </c>
      <c r="EG88">
        <v>-1.7072380000000002E-2</v>
      </c>
      <c r="EH88">
        <v>-1.091553E-2</v>
      </c>
      <c r="EI88">
        <v>-2.464477E-2</v>
      </c>
      <c r="EJ88">
        <v>-1.5547E-3</v>
      </c>
      <c r="EK88">
        <v>1.238031E-2</v>
      </c>
      <c r="EL88">
        <v>-4.4515300000000001E-2</v>
      </c>
      <c r="EM88">
        <v>-1.9939200000000002E-3</v>
      </c>
      <c r="EN88">
        <v>-1.7068199999999999E-2</v>
      </c>
      <c r="EO88">
        <v>-2.8325690000000001E-2</v>
      </c>
      <c r="EP88">
        <f t="shared" si="2"/>
        <v>0</v>
      </c>
      <c r="EQ88">
        <f>SUMIF('Mi portafolio'!$A$8:$A$19,$A88,'Mi portafolio'!$B$8:$B$19)</f>
        <v>0</v>
      </c>
    </row>
    <row r="89" spans="1:147" x14ac:dyDescent="0.25">
      <c r="A89" s="34" t="s">
        <v>166</v>
      </c>
      <c r="B89">
        <v>1.482064E-2</v>
      </c>
      <c r="C89">
        <v>-1.69831E-3</v>
      </c>
      <c r="D89">
        <v>7.8709799999999996E-3</v>
      </c>
      <c r="E89">
        <v>2.0184199999999999E-3</v>
      </c>
      <c r="F89">
        <v>1.2423709999999999E-2</v>
      </c>
      <c r="G89">
        <v>4.2248800000000003E-3</v>
      </c>
      <c r="H89">
        <v>8.4661000000000007E-3</v>
      </c>
      <c r="I89">
        <v>2.2180930000000001E-2</v>
      </c>
      <c r="J89">
        <v>7.2060099999999997E-3</v>
      </c>
      <c r="K89">
        <v>1.381842E-2</v>
      </c>
      <c r="L89">
        <v>7.9795700000000001E-3</v>
      </c>
      <c r="M89">
        <v>2.8025230000000002E-2</v>
      </c>
      <c r="N89">
        <v>2.455154E-2</v>
      </c>
      <c r="O89">
        <v>1.85542E-3</v>
      </c>
      <c r="P89">
        <v>1.342164E-2</v>
      </c>
      <c r="Q89">
        <v>8.5603999999999997E-4</v>
      </c>
      <c r="R89">
        <v>1.1491110000000001E-2</v>
      </c>
      <c r="S89">
        <v>1.143427E-2</v>
      </c>
      <c r="T89">
        <v>3.1100220000000001E-2</v>
      </c>
      <c r="U89">
        <v>1.0244970000000001E-2</v>
      </c>
      <c r="V89">
        <v>3.2093999999999997E-4</v>
      </c>
      <c r="W89">
        <v>-2.6631100000000002E-3</v>
      </c>
      <c r="X89">
        <v>2.7115810000000001E-2</v>
      </c>
      <c r="Y89">
        <v>3.016404E-2</v>
      </c>
      <c r="Z89">
        <v>6.8348200000000001E-3</v>
      </c>
      <c r="AA89">
        <v>5.9881500000000002E-3</v>
      </c>
      <c r="AB89">
        <v>3.2050420000000003E-2</v>
      </c>
      <c r="AC89">
        <v>-8.0522100000000006E-3</v>
      </c>
      <c r="AD89">
        <v>-6.6865199999999996E-3</v>
      </c>
      <c r="AE89">
        <v>1.1455069999999999E-2</v>
      </c>
      <c r="AF89">
        <v>-4.1007800000000001E-3</v>
      </c>
      <c r="AG89">
        <v>4.1958000000000004E-3</v>
      </c>
      <c r="AH89">
        <v>4.5575099999999999E-3</v>
      </c>
      <c r="AI89">
        <v>-9.4847000000000004E-3</v>
      </c>
      <c r="AJ89">
        <v>5.6506300000000002E-3</v>
      </c>
      <c r="AK89">
        <v>-1.4675300000000001E-3</v>
      </c>
      <c r="AL89">
        <v>3.2107940000000001E-2</v>
      </c>
      <c r="AM89">
        <v>1.100773E-2</v>
      </c>
      <c r="AN89">
        <v>4.2072320000000003E-2</v>
      </c>
      <c r="AO89">
        <v>1.1307090000000001E-2</v>
      </c>
      <c r="AP89">
        <v>3.7903310000000003E-2</v>
      </c>
      <c r="AQ89">
        <v>-1.565445E-2</v>
      </c>
      <c r="AR89">
        <v>3.1900690000000002E-2</v>
      </c>
      <c r="AS89">
        <v>6.7673500000000001E-3</v>
      </c>
      <c r="AT89">
        <v>4.4748589999999998E-2</v>
      </c>
      <c r="AU89">
        <v>8.0753000000000005E-3</v>
      </c>
      <c r="AV89">
        <v>7.8017700000000004E-3</v>
      </c>
      <c r="AW89">
        <v>1.236219E-2</v>
      </c>
      <c r="AX89">
        <v>2.272923E-2</v>
      </c>
      <c r="AY89">
        <v>3.3054859999999998E-2</v>
      </c>
      <c r="AZ89">
        <v>1.8953339999999999E-2</v>
      </c>
      <c r="BA89">
        <v>2.804599E-2</v>
      </c>
      <c r="BB89">
        <v>4.1774520000000002E-2</v>
      </c>
      <c r="BC89">
        <v>1.227547E-2</v>
      </c>
      <c r="BD89">
        <v>1.007976E-2</v>
      </c>
      <c r="BE89">
        <v>1.328375E-2</v>
      </c>
      <c r="BF89">
        <v>1.107613E-2</v>
      </c>
      <c r="BG89">
        <v>3.9035309999999997E-2</v>
      </c>
      <c r="BH89">
        <v>1.776196E-2</v>
      </c>
      <c r="BI89">
        <v>1.0102079999999999E-2</v>
      </c>
      <c r="BJ89">
        <v>-3.93371E-3</v>
      </c>
      <c r="BK89">
        <v>1.0460489999999999E-2</v>
      </c>
      <c r="BL89">
        <v>2.6352049999999998E-2</v>
      </c>
      <c r="BM89">
        <v>3.4846809999999999E-2</v>
      </c>
      <c r="BN89">
        <v>1.2087209999999999E-2</v>
      </c>
      <c r="BO89">
        <v>3.9666920000000001E-2</v>
      </c>
      <c r="BP89">
        <v>3.7878229999999999E-2</v>
      </c>
      <c r="BQ89">
        <v>1.9039110000000001E-2</v>
      </c>
      <c r="BR89">
        <v>5.0240079999999999E-2</v>
      </c>
      <c r="BS89">
        <v>-9.8624000000000003E-3</v>
      </c>
      <c r="BT89">
        <v>3.1083510000000002E-2</v>
      </c>
      <c r="BU89">
        <v>2.075244E-2</v>
      </c>
      <c r="BV89">
        <v>4.828756E-2</v>
      </c>
      <c r="BW89">
        <v>3.4946310000000001E-2</v>
      </c>
      <c r="BX89">
        <v>2.4257310000000001E-2</v>
      </c>
      <c r="BY89">
        <v>4.4535819999999997E-2</v>
      </c>
      <c r="BZ89">
        <v>3.6936549999999999E-2</v>
      </c>
      <c r="CA89">
        <v>4.0964800000000004E-3</v>
      </c>
      <c r="CB89">
        <v>-7.7138199999999997E-3</v>
      </c>
      <c r="CC89">
        <v>2.413245E-2</v>
      </c>
      <c r="CD89">
        <v>6.5239430000000001E-2</v>
      </c>
      <c r="CE89">
        <v>1.923714E-2</v>
      </c>
      <c r="CF89">
        <v>-1.2037549999999999E-2</v>
      </c>
      <c r="CG89">
        <v>0.13689750000000001</v>
      </c>
      <c r="CH89">
        <v>1.840311E-2</v>
      </c>
      <c r="CI89">
        <v>-1.1517960000000001E-2</v>
      </c>
      <c r="CJ89">
        <v>3.9690099999999999E-2</v>
      </c>
      <c r="CK89">
        <v>5.4645579999999999E-2</v>
      </c>
      <c r="CL89">
        <v>3.5462880000000002E-2</v>
      </c>
      <c r="CM89">
        <v>2.118426E-2</v>
      </c>
      <c r="CN89">
        <v>-3.4524999999999998E-3</v>
      </c>
      <c r="CO89">
        <v>1.500808E-2</v>
      </c>
      <c r="CP89">
        <v>3.422741E-2</v>
      </c>
      <c r="CQ89">
        <v>5.7078009999999998E-2</v>
      </c>
      <c r="CR89">
        <v>2.189988E-2</v>
      </c>
      <c r="CS89">
        <v>7.4807700000000003E-3</v>
      </c>
      <c r="CT89">
        <v>6.3059030000000002E-2</v>
      </c>
      <c r="CU89">
        <v>2.2760470000000001E-2</v>
      </c>
      <c r="CV89">
        <v>4.1712909999999999E-2</v>
      </c>
      <c r="CW89">
        <v>5.0180629999999997E-2</v>
      </c>
      <c r="CX89">
        <v>3.8794809999999999E-2</v>
      </c>
      <c r="CY89">
        <v>5.7426970000000001E-2</v>
      </c>
      <c r="CZ89">
        <v>5.2728190000000001E-2</v>
      </c>
      <c r="DA89">
        <v>6.1144280000000002E-2</v>
      </c>
      <c r="DB89">
        <v>3.9708E-2</v>
      </c>
      <c r="DC89">
        <v>4.1778179999999998E-2</v>
      </c>
      <c r="DD89">
        <v>8.2222719999999999E-2</v>
      </c>
      <c r="DE89">
        <v>2.58772E-2</v>
      </c>
      <c r="DF89">
        <v>6.6288570000000005E-2</v>
      </c>
      <c r="DG89">
        <v>3.3493149999999999E-2</v>
      </c>
      <c r="DH89">
        <v>2.7390390000000001E-2</v>
      </c>
      <c r="DI89">
        <v>6.9372210000000004E-2</v>
      </c>
      <c r="DJ89">
        <v>7.1751529999999994E-2</v>
      </c>
      <c r="DK89">
        <v>7.1122199999999997E-2</v>
      </c>
      <c r="DL89">
        <v>1.073358E-2</v>
      </c>
      <c r="DM89">
        <v>8.6411260000000004E-2</v>
      </c>
      <c r="DN89">
        <v>7.756449E-2</v>
      </c>
      <c r="DO89">
        <v>4.2568370000000001E-2</v>
      </c>
      <c r="DP89">
        <v>8.8688429999999999E-2</v>
      </c>
      <c r="DQ89">
        <v>1.4445670000000001E-2</v>
      </c>
      <c r="DR89">
        <v>1.28626E-2</v>
      </c>
      <c r="DS89">
        <v>6.9369E-2</v>
      </c>
      <c r="DT89">
        <v>4.6081650000000002E-2</v>
      </c>
      <c r="DU89">
        <v>6.1717050000000002E-2</v>
      </c>
      <c r="DV89">
        <v>6.6522680000000001E-2</v>
      </c>
      <c r="DW89">
        <v>0.1103484</v>
      </c>
      <c r="DX89">
        <v>1.836465E-2</v>
      </c>
      <c r="DY89">
        <v>9.9032690000000007E-2</v>
      </c>
      <c r="DZ89">
        <v>9.5063010000000003E-2</v>
      </c>
      <c r="EA89">
        <v>7.4356569999999997E-2</v>
      </c>
      <c r="EB89">
        <v>0.10434557</v>
      </c>
      <c r="EC89">
        <v>-7.1982000000000003E-4</v>
      </c>
      <c r="ED89">
        <v>7.7147179999999996E-2</v>
      </c>
      <c r="EE89">
        <v>1.7674209999999999E-2</v>
      </c>
      <c r="EF89">
        <v>2.1650490000000001E-2</v>
      </c>
      <c r="EG89">
        <v>2.4689579999999999E-2</v>
      </c>
      <c r="EH89">
        <v>8.9834280000000002E-2</v>
      </c>
      <c r="EI89">
        <v>1.1895589999999999E-2</v>
      </c>
      <c r="EJ89">
        <v>6.1364759999999997E-2</v>
      </c>
      <c r="EK89">
        <v>2.955961E-2</v>
      </c>
      <c r="EL89">
        <v>2.3570210000000001E-2</v>
      </c>
      <c r="EM89">
        <v>4.985498E-2</v>
      </c>
      <c r="EN89">
        <v>0.11542961</v>
      </c>
      <c r="EO89">
        <v>0.10435831</v>
      </c>
      <c r="EP89">
        <f t="shared" si="2"/>
        <v>0</v>
      </c>
      <c r="EQ89">
        <f>SUMIF('Mi portafolio'!$A$8:$A$19,$A89,'Mi portafolio'!$B$8:$B$19)</f>
        <v>0</v>
      </c>
    </row>
    <row r="90" spans="1:147" x14ac:dyDescent="0.25">
      <c r="A90" s="34" t="s">
        <v>167</v>
      </c>
      <c r="B90">
        <v>-4.6959699999999998E-3</v>
      </c>
      <c r="C90">
        <v>8.1722400000000008E-3</v>
      </c>
      <c r="D90">
        <v>3.03513E-3</v>
      </c>
      <c r="E90">
        <v>1.362353E-2</v>
      </c>
      <c r="F90">
        <v>-5.4460799999999998E-3</v>
      </c>
      <c r="G90">
        <v>1.3155719999999999E-2</v>
      </c>
      <c r="H90">
        <v>2.0527500000000001E-2</v>
      </c>
      <c r="I90">
        <v>1.27206E-3</v>
      </c>
      <c r="J90">
        <v>3.1530000000000002E-4</v>
      </c>
      <c r="K90">
        <v>1.21988E-3</v>
      </c>
      <c r="L90">
        <v>1.305188E-2</v>
      </c>
      <c r="M90">
        <v>2.8198709999999998E-2</v>
      </c>
      <c r="N90">
        <v>8.0584200000000002E-3</v>
      </c>
      <c r="O90">
        <v>2.9760120000000001E-2</v>
      </c>
      <c r="P90">
        <v>-2.2176100000000001E-3</v>
      </c>
      <c r="Q90">
        <v>9.4875500000000008E-3</v>
      </c>
      <c r="R90">
        <v>2.2360700000000002E-3</v>
      </c>
      <c r="S90">
        <v>1.2159720000000001E-2</v>
      </c>
      <c r="T90">
        <v>1.6122290000000001E-2</v>
      </c>
      <c r="U90">
        <v>3.4390339999999998E-2</v>
      </c>
      <c r="V90">
        <v>3.3308839999999999E-2</v>
      </c>
      <c r="W90">
        <v>2.1217730000000001E-2</v>
      </c>
      <c r="X90">
        <v>2.147926E-2</v>
      </c>
      <c r="Y90">
        <v>4.9392899999999998E-3</v>
      </c>
      <c r="Z90">
        <v>3.0579019999999998E-2</v>
      </c>
      <c r="AA90">
        <v>1.6981340000000001E-2</v>
      </c>
      <c r="AB90">
        <v>7.2703000000000004E-4</v>
      </c>
      <c r="AC90">
        <v>1.9931750000000002E-2</v>
      </c>
      <c r="AD90">
        <v>2.2890589999999999E-2</v>
      </c>
      <c r="AE90">
        <v>3.4024060000000002E-2</v>
      </c>
      <c r="AF90">
        <v>4.826573E-2</v>
      </c>
      <c r="AG90">
        <v>-1.229071E-2</v>
      </c>
      <c r="AH90">
        <v>-1.309576E-2</v>
      </c>
      <c r="AI90">
        <v>-2.009872E-2</v>
      </c>
      <c r="AJ90">
        <v>1.9235599999999999E-2</v>
      </c>
      <c r="AK90">
        <v>4.9337890000000002E-2</v>
      </c>
      <c r="AL90">
        <v>1.1696059999999999E-2</v>
      </c>
      <c r="AM90">
        <v>2.0111939999999998E-2</v>
      </c>
      <c r="AN90">
        <v>1.929809E-2</v>
      </c>
      <c r="AO90">
        <v>-7.2600000000000003E-5</v>
      </c>
      <c r="AP90">
        <v>1.8703040000000001E-2</v>
      </c>
      <c r="AQ90">
        <v>-1.3162109999999999E-2</v>
      </c>
      <c r="AR90">
        <v>1.3866069999999999E-2</v>
      </c>
      <c r="AS90">
        <v>4.4311719999999999E-2</v>
      </c>
      <c r="AT90">
        <v>1.4756119999999999E-2</v>
      </c>
      <c r="AU90">
        <v>4.0843999999999999E-4</v>
      </c>
      <c r="AV90">
        <v>3.0878570000000001E-2</v>
      </c>
      <c r="AW90">
        <v>4.5428860000000001E-2</v>
      </c>
      <c r="AX90">
        <v>6.5909899999999997E-3</v>
      </c>
      <c r="AY90">
        <v>1.6736029999999999E-2</v>
      </c>
      <c r="AZ90">
        <v>3.9480340000000003E-2</v>
      </c>
      <c r="BA90">
        <v>2.9897489999999999E-2</v>
      </c>
      <c r="BB90">
        <v>3.186373E-2</v>
      </c>
      <c r="BC90">
        <v>1.5098230000000001E-2</v>
      </c>
      <c r="BD90">
        <v>3.9493060000000003E-2</v>
      </c>
      <c r="BE90">
        <v>1.5861380000000001E-2</v>
      </c>
      <c r="BF90">
        <v>2.7577819999999999E-2</v>
      </c>
      <c r="BG90">
        <v>1.367403E-2</v>
      </c>
      <c r="BH90">
        <v>3.1851640000000001E-2</v>
      </c>
      <c r="BI90">
        <v>1.735797E-2</v>
      </c>
      <c r="BJ90">
        <v>1.6534420000000001E-2</v>
      </c>
      <c r="BK90">
        <v>2.9350060000000001E-2</v>
      </c>
      <c r="BL90">
        <v>5.2776799999999999E-2</v>
      </c>
      <c r="BM90">
        <v>3.0017500000000001E-3</v>
      </c>
      <c r="BN90">
        <v>5.7627800000000003E-3</v>
      </c>
      <c r="BO90">
        <v>2.9119590000000001E-2</v>
      </c>
      <c r="BP90">
        <v>1.09246E-3</v>
      </c>
      <c r="BQ90">
        <v>5.8756290000000003E-2</v>
      </c>
      <c r="BR90">
        <v>1.8346080000000001E-2</v>
      </c>
      <c r="BS90">
        <v>-1.863631E-2</v>
      </c>
      <c r="BT90">
        <v>4.2504060000000003E-2</v>
      </c>
      <c r="BU90">
        <v>3.2581319999999997E-2</v>
      </c>
      <c r="BV90">
        <v>1.6080770000000001E-2</v>
      </c>
      <c r="BW90">
        <v>1.451684E-2</v>
      </c>
      <c r="BX90">
        <v>-3.6936E-3</v>
      </c>
      <c r="BY90">
        <v>2.9885700000000001E-2</v>
      </c>
      <c r="BZ90">
        <v>2.4841149999999999E-2</v>
      </c>
      <c r="CA90">
        <v>4.676437E-2</v>
      </c>
      <c r="CB90">
        <v>-8.8300600000000007E-3</v>
      </c>
      <c r="CC90">
        <v>1.2238799999999999E-2</v>
      </c>
      <c r="CD90">
        <v>1.623316E-2</v>
      </c>
      <c r="CE90">
        <v>2.6782360000000002E-2</v>
      </c>
      <c r="CF90">
        <v>-2.65104E-2</v>
      </c>
      <c r="CG90">
        <v>1.840311E-2</v>
      </c>
      <c r="CH90">
        <v>0.1384843</v>
      </c>
      <c r="CI90">
        <v>-2.0877550000000002E-2</v>
      </c>
      <c r="CJ90">
        <v>-2.3006099999999998E-3</v>
      </c>
      <c r="CK90">
        <v>1.412249E-2</v>
      </c>
      <c r="CL90">
        <v>3.544506E-2</v>
      </c>
      <c r="CM90">
        <v>4.0056219999999997E-2</v>
      </c>
      <c r="CN90">
        <v>3.8469780000000002E-2</v>
      </c>
      <c r="CO90">
        <v>3.0631800000000001E-2</v>
      </c>
      <c r="CP90">
        <v>-1.6011899999999999E-3</v>
      </c>
      <c r="CQ90">
        <v>3.9295339999999998E-2</v>
      </c>
      <c r="CR90">
        <v>6.156375E-2</v>
      </c>
      <c r="CS90">
        <v>6.9826860000000004E-2</v>
      </c>
      <c r="CT90">
        <v>4.3175390000000001E-2</v>
      </c>
      <c r="CU90">
        <v>4.1351590000000001E-2</v>
      </c>
      <c r="CV90">
        <v>3.2494000000000002E-2</v>
      </c>
      <c r="CW90">
        <v>3.1276539999999999E-2</v>
      </c>
      <c r="CX90">
        <v>4.6775539999999997E-2</v>
      </c>
      <c r="CY90">
        <v>5.345486E-2</v>
      </c>
      <c r="CZ90">
        <v>7.7041100000000001E-3</v>
      </c>
      <c r="DA90">
        <v>-6.3471600000000001E-3</v>
      </c>
      <c r="DB90">
        <v>6.3515459999999996E-2</v>
      </c>
      <c r="DC90">
        <v>5.4740280000000002E-2</v>
      </c>
      <c r="DD90">
        <v>3.038751E-2</v>
      </c>
      <c r="DE90">
        <v>0.12822912</v>
      </c>
      <c r="DF90">
        <v>-1.9770320000000001E-2</v>
      </c>
      <c r="DG90">
        <v>0.10820703</v>
      </c>
      <c r="DH90">
        <v>5.1226279999999999E-2</v>
      </c>
      <c r="DI90">
        <v>4.4950530000000002E-2</v>
      </c>
      <c r="DJ90">
        <v>4.6198910000000003E-2</v>
      </c>
      <c r="DK90">
        <v>5.1938419999999999E-2</v>
      </c>
      <c r="DL90">
        <v>0.11113215999999999</v>
      </c>
      <c r="DM90">
        <v>6.0345030000000001E-2</v>
      </c>
      <c r="DN90">
        <v>1.159725E-2</v>
      </c>
      <c r="DO90">
        <v>5.7729200000000001E-2</v>
      </c>
      <c r="DP90">
        <v>5.1693959999999997E-2</v>
      </c>
      <c r="DQ90">
        <v>3.5907840000000003E-2</v>
      </c>
      <c r="DR90">
        <v>8.7046040000000005E-2</v>
      </c>
      <c r="DS90">
        <v>-2.1142540000000001E-2</v>
      </c>
      <c r="DT90">
        <v>4.7286040000000001E-2</v>
      </c>
      <c r="DU90">
        <v>5.6436840000000002E-2</v>
      </c>
      <c r="DV90">
        <v>4.6133590000000002E-2</v>
      </c>
      <c r="DW90">
        <v>3.0201390000000002E-2</v>
      </c>
      <c r="DX90">
        <v>9.7240900000000005E-2</v>
      </c>
      <c r="DY90">
        <v>3.5982300000000002E-2</v>
      </c>
      <c r="DZ90">
        <v>-3.9560100000000003E-3</v>
      </c>
      <c r="EA90">
        <v>7.7003420000000003E-2</v>
      </c>
      <c r="EB90">
        <v>3.6174629999999999E-2</v>
      </c>
      <c r="EC90">
        <v>7.2494089999999997E-2</v>
      </c>
      <c r="ED90">
        <v>7.8922969999999995E-2</v>
      </c>
      <c r="EE90">
        <v>9.4790470000000002E-2</v>
      </c>
      <c r="EF90">
        <v>8.7630330000000006E-2</v>
      </c>
      <c r="EG90">
        <v>9.8910659999999997E-2</v>
      </c>
      <c r="EH90">
        <v>-2.1911219999999999E-2</v>
      </c>
      <c r="EI90">
        <v>0.11421351</v>
      </c>
      <c r="EJ90">
        <v>6.7902760000000006E-2</v>
      </c>
      <c r="EK90">
        <v>0.11367339</v>
      </c>
      <c r="EL90">
        <v>0.15254164000000001</v>
      </c>
      <c r="EM90">
        <v>7.4368660000000003E-2</v>
      </c>
      <c r="EN90">
        <v>7.6984730000000001E-2</v>
      </c>
      <c r="EO90">
        <v>6.6695340000000006E-2</v>
      </c>
      <c r="EP90">
        <f t="shared" si="2"/>
        <v>0</v>
      </c>
      <c r="EQ90">
        <f>SUMIF('Mi portafolio'!$A$8:$A$19,$A90,'Mi portafolio'!$B$8:$B$19)</f>
        <v>0</v>
      </c>
    </row>
    <row r="91" spans="1:147" x14ac:dyDescent="0.25">
      <c r="A91" s="34" t="s">
        <v>168</v>
      </c>
      <c r="B91">
        <v>5.77993E-3</v>
      </c>
      <c r="C91">
        <v>-3.59012E-3</v>
      </c>
      <c r="D91">
        <v>-5.1436600000000004E-3</v>
      </c>
      <c r="E91">
        <v>-3.9493699999999998E-3</v>
      </c>
      <c r="F91">
        <v>1.387304E-2</v>
      </c>
      <c r="G91">
        <v>-1.7067E-3</v>
      </c>
      <c r="H91">
        <v>-9.7782700000000004E-3</v>
      </c>
      <c r="I91">
        <v>8.8366199999999999E-3</v>
      </c>
      <c r="J91">
        <v>1.164142E-2</v>
      </c>
      <c r="K91">
        <v>2.3599999999999999E-4</v>
      </c>
      <c r="L91">
        <v>-1.2234500000000001E-3</v>
      </c>
      <c r="M91">
        <v>-9.3921500000000002E-3</v>
      </c>
      <c r="N91">
        <v>6.4186199999999999E-3</v>
      </c>
      <c r="O91">
        <v>-3.6673600000000002E-3</v>
      </c>
      <c r="P91">
        <v>1.7737180000000002E-2</v>
      </c>
      <c r="Q91">
        <v>-4.4438500000000001E-3</v>
      </c>
      <c r="R91">
        <v>1.4350959999999999E-2</v>
      </c>
      <c r="S91">
        <v>-1.276712E-2</v>
      </c>
      <c r="T91">
        <v>-2.4598900000000002E-3</v>
      </c>
      <c r="U91">
        <v>-6.9883899999999997E-3</v>
      </c>
      <c r="V91">
        <v>-1.1739869999999999E-2</v>
      </c>
      <c r="W91">
        <v>-2.61021E-3</v>
      </c>
      <c r="X91">
        <v>-8.7100000000000003E-5</v>
      </c>
      <c r="Y91">
        <v>3.83805E-3</v>
      </c>
      <c r="Z91">
        <v>-9.0526800000000004E-3</v>
      </c>
      <c r="AA91">
        <v>-1.2897749999999999E-2</v>
      </c>
      <c r="AB91">
        <v>2.9132300000000002E-3</v>
      </c>
      <c r="AC91">
        <v>-2.2384999999999999E-4</v>
      </c>
      <c r="AD91">
        <v>4.2754000000000002E-4</v>
      </c>
      <c r="AE91">
        <v>-2.3135269999999999E-2</v>
      </c>
      <c r="AF91">
        <v>-1.014724E-2</v>
      </c>
      <c r="AG91">
        <v>2.470673E-2</v>
      </c>
      <c r="AH91">
        <v>2.3698859999999999E-2</v>
      </c>
      <c r="AI91">
        <v>7.3726230000000004E-2</v>
      </c>
      <c r="AJ91">
        <v>-1.5058000000000001E-4</v>
      </c>
      <c r="AK91">
        <v>-1.7859799999999999E-2</v>
      </c>
      <c r="AL91">
        <v>-5.0519400000000004E-3</v>
      </c>
      <c r="AM91">
        <v>-1.3056419999999999E-2</v>
      </c>
      <c r="AN91">
        <v>-1.8184249999999999E-2</v>
      </c>
      <c r="AO91">
        <v>9.9453200000000005E-3</v>
      </c>
      <c r="AP91">
        <v>-7.4106600000000003E-3</v>
      </c>
      <c r="AQ91">
        <v>7.9423690000000005E-2</v>
      </c>
      <c r="AR91">
        <v>3.4877599999999999E-3</v>
      </c>
      <c r="AS91">
        <v>-2.1751840000000001E-2</v>
      </c>
      <c r="AT91">
        <v>-6.1992499999999999E-3</v>
      </c>
      <c r="AU91">
        <v>1.0252809999999999E-2</v>
      </c>
      <c r="AV91">
        <v>-3.5016299999999999E-3</v>
      </c>
      <c r="AW91">
        <v>-7.3565000000000002E-3</v>
      </c>
      <c r="AX91">
        <v>8.9181E-3</v>
      </c>
      <c r="AY91">
        <v>6.5189499999999999E-3</v>
      </c>
      <c r="AZ91">
        <v>-2.3121360000000001E-2</v>
      </c>
      <c r="BA91">
        <v>-1.8248400000000001E-3</v>
      </c>
      <c r="BB91">
        <v>-1.4532339999999999E-2</v>
      </c>
      <c r="BC91">
        <v>-4.45E-3</v>
      </c>
      <c r="BD91">
        <v>-2.029243E-2</v>
      </c>
      <c r="BE91">
        <v>8.1513499999999999E-3</v>
      </c>
      <c r="BF91">
        <v>-4.7799599999999998E-3</v>
      </c>
      <c r="BG91">
        <v>-8.9179999999999999E-4</v>
      </c>
      <c r="BH91">
        <v>-1.7830599999999999E-2</v>
      </c>
      <c r="BI91">
        <v>3.4712000000000002E-4</v>
      </c>
      <c r="BJ91">
        <v>6.2958900000000002E-3</v>
      </c>
      <c r="BK91">
        <v>-1.604423E-2</v>
      </c>
      <c r="BL91">
        <v>-7.2004999999999997E-4</v>
      </c>
      <c r="BM91">
        <v>7.6545700000000003E-3</v>
      </c>
      <c r="BN91">
        <v>8.03508E-3</v>
      </c>
      <c r="BO91">
        <v>-1.7697620000000001E-2</v>
      </c>
      <c r="BP91">
        <v>-1.9935399999999998E-3</v>
      </c>
      <c r="BQ91">
        <v>-2.2065109999999999E-2</v>
      </c>
      <c r="BR91">
        <v>4.4719999999999997E-4</v>
      </c>
      <c r="BS91">
        <v>0.10206232</v>
      </c>
      <c r="BT91">
        <v>-3.3346779999999999E-2</v>
      </c>
      <c r="BU91">
        <v>-1.3559079999999999E-2</v>
      </c>
      <c r="BV91">
        <v>-1.0858929999999999E-2</v>
      </c>
      <c r="BW91">
        <v>1.17241E-3</v>
      </c>
      <c r="BX91">
        <v>5.2379899999999997E-3</v>
      </c>
      <c r="BY91">
        <v>-1.309926E-2</v>
      </c>
      <c r="BZ91">
        <v>-2.4813970000000001E-2</v>
      </c>
      <c r="CA91">
        <v>-1.4343160000000001E-2</v>
      </c>
      <c r="CB91">
        <v>2.1338900000000001E-2</v>
      </c>
      <c r="CC91">
        <v>5.5601899999999996E-3</v>
      </c>
      <c r="CD91">
        <v>1.13287E-3</v>
      </c>
      <c r="CE91">
        <v>1.9715400000000001E-2</v>
      </c>
      <c r="CF91">
        <v>0.11191116</v>
      </c>
      <c r="CG91">
        <v>-1.1517960000000001E-2</v>
      </c>
      <c r="CH91">
        <v>-2.0877550000000002E-2</v>
      </c>
      <c r="CI91">
        <v>0.13705566999999999</v>
      </c>
      <c r="CJ91">
        <v>1.104923E-2</v>
      </c>
      <c r="CK91">
        <v>6.6086399999999998E-3</v>
      </c>
      <c r="CL91">
        <v>-1.414259E-2</v>
      </c>
      <c r="CM91">
        <v>-1.308964E-2</v>
      </c>
      <c r="CN91">
        <v>3.6855999999999998E-3</v>
      </c>
      <c r="CO91">
        <v>-1.312104E-2</v>
      </c>
      <c r="CP91">
        <v>3.7687799999999998E-3</v>
      </c>
      <c r="CQ91">
        <v>-4.0100419999999998E-2</v>
      </c>
      <c r="CR91">
        <v>-2.385994E-2</v>
      </c>
      <c r="CS91">
        <v>-5.9610399999999999E-3</v>
      </c>
      <c r="CT91">
        <v>-1.094291E-2</v>
      </c>
      <c r="CU91">
        <v>-4.0514399999999999E-3</v>
      </c>
      <c r="CV91">
        <v>-2.5078240000000002E-2</v>
      </c>
      <c r="CW91">
        <v>-1.816653E-2</v>
      </c>
      <c r="CX91">
        <v>-2.0086469999999999E-2</v>
      </c>
      <c r="CY91">
        <v>-5.0827110000000002E-2</v>
      </c>
      <c r="CZ91">
        <v>1.4295830000000001E-2</v>
      </c>
      <c r="DA91">
        <v>-1.3176100000000001E-3</v>
      </c>
      <c r="DB91">
        <v>-2.2163430000000001E-2</v>
      </c>
      <c r="DC91">
        <v>-6.0341800000000001E-2</v>
      </c>
      <c r="DD91">
        <v>-1.8957419999999999E-2</v>
      </c>
      <c r="DE91">
        <v>-1.7131779999999999E-2</v>
      </c>
      <c r="DF91">
        <v>2.3874159999999998E-2</v>
      </c>
      <c r="DG91">
        <v>-1.193838E-2</v>
      </c>
      <c r="DH91">
        <v>-1.0801979999999999E-2</v>
      </c>
      <c r="DI91">
        <v>-6.0074540000000003E-2</v>
      </c>
      <c r="DJ91">
        <v>-3.0871240000000001E-2</v>
      </c>
      <c r="DK91">
        <v>-5.9922660000000003E-2</v>
      </c>
      <c r="DL91">
        <v>-3.3885110000000003E-2</v>
      </c>
      <c r="DM91">
        <v>-5.6229229999999998E-2</v>
      </c>
      <c r="DN91">
        <v>7.8922599999999999E-3</v>
      </c>
      <c r="DO91">
        <v>1.20823E-3</v>
      </c>
      <c r="DP91">
        <v>-4.9468860000000003E-2</v>
      </c>
      <c r="DQ91">
        <v>-5.4637999999999996E-4</v>
      </c>
      <c r="DR91">
        <v>2.3416119999999999E-2</v>
      </c>
      <c r="DS91">
        <v>3.3168400000000002E-3</v>
      </c>
      <c r="DT91">
        <v>-4.6500600000000001E-3</v>
      </c>
      <c r="DU91">
        <v>-3.238133E-2</v>
      </c>
      <c r="DV91">
        <v>5.7329900000000003E-3</v>
      </c>
      <c r="DW91">
        <v>-2.6257780000000001E-2</v>
      </c>
      <c r="DX91">
        <v>-2.6469860000000001E-2</v>
      </c>
      <c r="DY91">
        <v>-3.3867059999999997E-2</v>
      </c>
      <c r="DZ91">
        <v>1.4086029999999999E-2</v>
      </c>
      <c r="EA91">
        <v>-2.983922E-2</v>
      </c>
      <c r="EB91">
        <v>-2.7531110000000001E-2</v>
      </c>
      <c r="EC91">
        <v>-1.162793E-2</v>
      </c>
      <c r="ED91">
        <v>-1.6861640000000001E-2</v>
      </c>
      <c r="EE91">
        <v>-2.8140060000000001E-2</v>
      </c>
      <c r="EF91">
        <v>2.9177299999999999E-3</v>
      </c>
      <c r="EG91">
        <v>-3.5835930000000002E-2</v>
      </c>
      <c r="EH91">
        <v>-3.1379650000000002E-2</v>
      </c>
      <c r="EI91">
        <v>-3.478208E-2</v>
      </c>
      <c r="EJ91">
        <v>-1.2086600000000001E-3</v>
      </c>
      <c r="EK91">
        <v>2.4793140000000002E-2</v>
      </c>
      <c r="EL91">
        <v>-4.074477E-2</v>
      </c>
      <c r="EM91">
        <v>-5.82081E-3</v>
      </c>
      <c r="EN91">
        <v>-1.499964E-2</v>
      </c>
      <c r="EO91">
        <v>-2.1309519999999998E-2</v>
      </c>
      <c r="EP91">
        <f t="shared" si="2"/>
        <v>0</v>
      </c>
      <c r="EQ91">
        <f>SUMIF('Mi portafolio'!$A$8:$A$19,$A91,'Mi portafolio'!$B$8:$B$19)</f>
        <v>0</v>
      </c>
    </row>
    <row r="92" spans="1:147" x14ac:dyDescent="0.25">
      <c r="A92" s="34" t="s">
        <v>169</v>
      </c>
      <c r="B92">
        <v>1.6293390000000001E-2</v>
      </c>
      <c r="C92">
        <v>-9.0145999999999998E-4</v>
      </c>
      <c r="D92">
        <v>3.5740199999999998E-3</v>
      </c>
      <c r="E92">
        <v>4.5542400000000002E-3</v>
      </c>
      <c r="F92">
        <v>2.2806239999999998E-2</v>
      </c>
      <c r="G92">
        <v>5.37917E-3</v>
      </c>
      <c r="H92">
        <v>-1.1613000000000001E-3</v>
      </c>
      <c r="I92">
        <v>1.906588E-2</v>
      </c>
      <c r="J92">
        <v>1.6250790000000001E-2</v>
      </c>
      <c r="K92">
        <v>1.3716900000000001E-2</v>
      </c>
      <c r="L92">
        <v>-1.41625E-3</v>
      </c>
      <c r="M92">
        <v>7.0390899999999996E-3</v>
      </c>
      <c r="N92">
        <v>2.1083600000000001E-2</v>
      </c>
      <c r="O92">
        <v>-2.9278300000000002E-3</v>
      </c>
      <c r="P92">
        <v>1.9053440000000001E-2</v>
      </c>
      <c r="Q92">
        <v>2.79284E-3</v>
      </c>
      <c r="R92">
        <v>2.5492109999999998E-2</v>
      </c>
      <c r="S92">
        <v>6.5516300000000001E-3</v>
      </c>
      <c r="T92">
        <v>7.2942700000000003E-3</v>
      </c>
      <c r="U92">
        <v>1.13785E-2</v>
      </c>
      <c r="V92">
        <v>-4.7217400000000003E-3</v>
      </c>
      <c r="W92">
        <v>1.5435500000000001E-3</v>
      </c>
      <c r="X92">
        <v>8.5519499999999991E-3</v>
      </c>
      <c r="Y92">
        <v>2.912441E-2</v>
      </c>
      <c r="Z92">
        <v>1.56964E-3</v>
      </c>
      <c r="AA92">
        <v>1.65402E-3</v>
      </c>
      <c r="AB92">
        <v>2.8085789999999999E-2</v>
      </c>
      <c r="AC92">
        <v>6.7088299999999998E-3</v>
      </c>
      <c r="AD92">
        <v>5.1866600000000001E-3</v>
      </c>
      <c r="AE92">
        <v>-8.6874000000000001E-4</v>
      </c>
      <c r="AF92">
        <v>-9.7602299999999999E-3</v>
      </c>
      <c r="AG92">
        <v>2.1494780000000002E-2</v>
      </c>
      <c r="AH92">
        <v>2.2711430000000001E-2</v>
      </c>
      <c r="AI92">
        <v>1.0584730000000001E-2</v>
      </c>
      <c r="AJ92">
        <v>-5.8424699999999998E-3</v>
      </c>
      <c r="AK92">
        <v>-2.6218700000000001E-3</v>
      </c>
      <c r="AL92">
        <v>2.2284499999999999E-2</v>
      </c>
      <c r="AM92">
        <v>8.2176699999999998E-3</v>
      </c>
      <c r="AN92">
        <v>1.2541979999999999E-2</v>
      </c>
      <c r="AO92">
        <v>1.8291310000000002E-2</v>
      </c>
      <c r="AP92">
        <v>3.571879E-2</v>
      </c>
      <c r="AQ92">
        <v>7.5966999999999996E-3</v>
      </c>
      <c r="AR92">
        <v>7.4620600000000004E-3</v>
      </c>
      <c r="AS92">
        <v>6.8101699999999999E-3</v>
      </c>
      <c r="AT92">
        <v>1.2023819999999999E-2</v>
      </c>
      <c r="AU92">
        <v>9.3706499999999995E-3</v>
      </c>
      <c r="AV92">
        <v>6.36822E-3</v>
      </c>
      <c r="AW92">
        <v>-3.9389300000000002E-3</v>
      </c>
      <c r="AX92">
        <v>2.4005479999999999E-2</v>
      </c>
      <c r="AY92">
        <v>1.285418E-2</v>
      </c>
      <c r="AZ92">
        <v>-7.5466200000000004E-3</v>
      </c>
      <c r="BA92">
        <v>5.5399200000000003E-3</v>
      </c>
      <c r="BB92">
        <v>7.6839400000000002E-3</v>
      </c>
      <c r="BC92">
        <v>-7.4902900000000001E-3</v>
      </c>
      <c r="BD92">
        <v>7.5082999999999999E-3</v>
      </c>
      <c r="BE92">
        <v>2.2555869999999999E-2</v>
      </c>
      <c r="BF92">
        <v>-8.5305000000000005E-4</v>
      </c>
      <c r="BG92">
        <v>1.5877309999999999E-2</v>
      </c>
      <c r="BH92">
        <v>1.8487569999999998E-2</v>
      </c>
      <c r="BI92">
        <v>-3.8735800000000002E-3</v>
      </c>
      <c r="BJ92">
        <v>-5.5501999999999999E-3</v>
      </c>
      <c r="BK92">
        <v>-1.3347049999999999E-2</v>
      </c>
      <c r="BL92">
        <v>2.2028500000000001E-3</v>
      </c>
      <c r="BM92">
        <v>2.2931360000000001E-2</v>
      </c>
      <c r="BN92">
        <v>1.7938490000000001E-2</v>
      </c>
      <c r="BO92">
        <v>2.466262E-2</v>
      </c>
      <c r="BP92">
        <v>3.4626169999999998E-2</v>
      </c>
      <c r="BQ92">
        <v>-5.5696399999999998E-3</v>
      </c>
      <c r="BR92">
        <v>2.4082070000000001E-2</v>
      </c>
      <c r="BS92">
        <v>1.463239E-2</v>
      </c>
      <c r="BT92">
        <v>1.478033E-2</v>
      </c>
      <c r="BU92">
        <v>-3.9472400000000003E-3</v>
      </c>
      <c r="BV92">
        <v>3.3302709999999999E-2</v>
      </c>
      <c r="BW92">
        <v>2.5998540000000001E-2</v>
      </c>
      <c r="BX92">
        <v>1.73098E-2</v>
      </c>
      <c r="BY92">
        <v>8.0963500000000004E-3</v>
      </c>
      <c r="BZ92">
        <v>2.409114E-2</v>
      </c>
      <c r="CA92">
        <v>2.0946900000000002E-3</v>
      </c>
      <c r="CB92">
        <v>1.2039950000000001E-2</v>
      </c>
      <c r="CC92">
        <v>1.3437289999999999E-2</v>
      </c>
      <c r="CD92">
        <v>4.187432E-2</v>
      </c>
      <c r="CE92">
        <v>2.9795500000000001E-3</v>
      </c>
      <c r="CF92">
        <v>7.53471E-3</v>
      </c>
      <c r="CG92">
        <v>3.9690099999999999E-2</v>
      </c>
      <c r="CH92">
        <v>-2.3006099999999998E-3</v>
      </c>
      <c r="CI92">
        <v>1.104923E-2</v>
      </c>
      <c r="CJ92">
        <v>0.14533941</v>
      </c>
      <c r="CK92">
        <v>3.1558089999999997E-2</v>
      </c>
      <c r="CL92">
        <v>6.5452799999999997E-3</v>
      </c>
      <c r="CM92">
        <v>-1.73361E-3</v>
      </c>
      <c r="CN92">
        <v>-3.75662E-3</v>
      </c>
      <c r="CO92">
        <v>-1.354197E-2</v>
      </c>
      <c r="CP92">
        <v>2.6945360000000002E-2</v>
      </c>
      <c r="CQ92">
        <v>1.502236E-2</v>
      </c>
      <c r="CR92">
        <v>-4.9570500000000002E-3</v>
      </c>
      <c r="CS92">
        <v>-2.3952060000000001E-2</v>
      </c>
      <c r="CT92">
        <v>4.0604149999999999E-2</v>
      </c>
      <c r="CU92">
        <v>1.3834010000000001E-2</v>
      </c>
      <c r="CV92">
        <v>2.279583E-2</v>
      </c>
      <c r="CW92">
        <v>4.0129129999999999E-2</v>
      </c>
      <c r="CX92">
        <v>3.00291E-2</v>
      </c>
      <c r="CY92">
        <v>4.7564999999999999E-4</v>
      </c>
      <c r="CZ92">
        <v>2.3683740000000002E-2</v>
      </c>
      <c r="DA92">
        <v>4.8486130000000002E-2</v>
      </c>
      <c r="DB92">
        <v>1.329617E-2</v>
      </c>
      <c r="DC92">
        <v>-2.462493E-2</v>
      </c>
      <c r="DD92">
        <v>6.9263560000000002E-2</v>
      </c>
      <c r="DE92">
        <v>-3.35338E-3</v>
      </c>
      <c r="DF92">
        <v>4.0417839999999997E-2</v>
      </c>
      <c r="DG92">
        <v>1.9881969999999999E-2</v>
      </c>
      <c r="DH92">
        <v>2.5782999999999999E-3</v>
      </c>
      <c r="DI92">
        <v>1.7194870000000001E-2</v>
      </c>
      <c r="DJ92">
        <v>8.0934600000000002E-3</v>
      </c>
      <c r="DK92">
        <v>1.103694E-2</v>
      </c>
      <c r="DL92">
        <v>4.8662E-4</v>
      </c>
      <c r="DM92">
        <v>1.730632E-2</v>
      </c>
      <c r="DN92">
        <v>3.1696370000000001E-2</v>
      </c>
      <c r="DO92">
        <v>1.9965E-3</v>
      </c>
      <c r="DP92">
        <v>2.251674E-2</v>
      </c>
      <c r="DQ92">
        <v>-4.5524399999999996E-3</v>
      </c>
      <c r="DR92">
        <v>2.105829E-2</v>
      </c>
      <c r="DS92">
        <v>4.2363440000000002E-2</v>
      </c>
      <c r="DT92">
        <v>8.5761599999999993E-3</v>
      </c>
      <c r="DU92">
        <v>4.1756370000000001E-2</v>
      </c>
      <c r="DV92">
        <v>5.2026299999999998E-2</v>
      </c>
      <c r="DW92">
        <v>5.6776180000000002E-2</v>
      </c>
      <c r="DX92">
        <v>-3.1122799999999999E-2</v>
      </c>
      <c r="DY92">
        <v>4.7326119999999999E-2</v>
      </c>
      <c r="DZ92">
        <v>3.2715019999999997E-2</v>
      </c>
      <c r="EA92">
        <v>5.0486200000000002E-3</v>
      </c>
      <c r="EB92">
        <v>4.5696760000000003E-2</v>
      </c>
      <c r="EC92">
        <v>-8.3964299999999999E-3</v>
      </c>
      <c r="ED92">
        <v>4.5402390000000001E-2</v>
      </c>
      <c r="EE92">
        <v>-1.8883400000000001E-3</v>
      </c>
      <c r="EF92">
        <v>2.3870120000000002E-2</v>
      </c>
      <c r="EG92">
        <v>-1.6654539999999999E-2</v>
      </c>
      <c r="EH92">
        <v>9.4245449999999995E-2</v>
      </c>
      <c r="EI92">
        <v>-3.3029059999999999E-2</v>
      </c>
      <c r="EJ92">
        <v>2.6790120000000001E-2</v>
      </c>
      <c r="EK92">
        <v>4.4944379999999999E-2</v>
      </c>
      <c r="EL92">
        <v>-1.057263E-2</v>
      </c>
      <c r="EM92">
        <v>3.9054569999999997E-2</v>
      </c>
      <c r="EN92">
        <v>7.7822870000000002E-2</v>
      </c>
      <c r="EO92">
        <v>0.10208963</v>
      </c>
      <c r="EP92">
        <f t="shared" si="2"/>
        <v>0</v>
      </c>
      <c r="EQ92">
        <f>SUMIF('Mi portafolio'!$A$8:$A$19,$A92,'Mi portafolio'!$B$8:$B$19)</f>
        <v>0</v>
      </c>
    </row>
    <row r="93" spans="1:147" x14ac:dyDescent="0.25">
      <c r="A93" s="34" t="s">
        <v>170</v>
      </c>
      <c r="B93">
        <v>2.0214619999999999E-2</v>
      </c>
      <c r="C93">
        <v>-4.8124099999999996E-3</v>
      </c>
      <c r="D93">
        <v>8.0287999999999996E-4</v>
      </c>
      <c r="E93">
        <v>9.20464E-3</v>
      </c>
      <c r="F93">
        <v>2.0082860000000001E-2</v>
      </c>
      <c r="G93">
        <v>-7.9362200000000008E-3</v>
      </c>
      <c r="H93">
        <v>9.3981000000000002E-4</v>
      </c>
      <c r="I93">
        <v>2.591794E-2</v>
      </c>
      <c r="J93">
        <v>1.7035100000000001E-2</v>
      </c>
      <c r="K93">
        <v>2.7167750000000001E-2</v>
      </c>
      <c r="L93">
        <v>2.7356500000000001E-3</v>
      </c>
      <c r="M93">
        <v>2.533465E-2</v>
      </c>
      <c r="N93">
        <v>2.4736029999999999E-2</v>
      </c>
      <c r="O93">
        <v>-3.9527E-3</v>
      </c>
      <c r="P93">
        <v>2.120416E-2</v>
      </c>
      <c r="Q93">
        <v>-9.1100000000000005E-5</v>
      </c>
      <c r="R93">
        <v>2.808308E-2</v>
      </c>
      <c r="S93">
        <v>7.2240799999999999E-3</v>
      </c>
      <c r="T93">
        <v>1.8511489999999999E-2</v>
      </c>
      <c r="U93">
        <v>1.071458E-2</v>
      </c>
      <c r="V93">
        <v>8.4796999999999997E-3</v>
      </c>
      <c r="W93">
        <v>1.8901499999999999E-3</v>
      </c>
      <c r="X93">
        <v>1.6699390000000001E-2</v>
      </c>
      <c r="Y93">
        <v>2.89051E-2</v>
      </c>
      <c r="Z93">
        <v>4.1040900000000003E-3</v>
      </c>
      <c r="AA93">
        <v>-4.6367000000000001E-4</v>
      </c>
      <c r="AB93">
        <v>3.4095010000000002E-2</v>
      </c>
      <c r="AC93">
        <v>-3.3453699999999999E-3</v>
      </c>
      <c r="AD93">
        <v>3.2946899999999999E-3</v>
      </c>
      <c r="AE93">
        <v>4.5031100000000003E-3</v>
      </c>
      <c r="AF93">
        <v>-5.49527E-3</v>
      </c>
      <c r="AG93">
        <v>1.414175E-2</v>
      </c>
      <c r="AH93">
        <v>1.7435860000000001E-2</v>
      </c>
      <c r="AI93">
        <v>1.139356E-2</v>
      </c>
      <c r="AJ93">
        <v>3.5229200000000001E-3</v>
      </c>
      <c r="AK93">
        <v>6.6778200000000001E-3</v>
      </c>
      <c r="AL93">
        <v>2.6510740000000001E-2</v>
      </c>
      <c r="AM93">
        <v>-4.6305199999999999E-3</v>
      </c>
      <c r="AN93">
        <v>4.5880209999999998E-2</v>
      </c>
      <c r="AO93">
        <v>1.2158530000000001E-2</v>
      </c>
      <c r="AP93">
        <v>4.1924570000000001E-2</v>
      </c>
      <c r="AQ93">
        <v>9.0401600000000002E-3</v>
      </c>
      <c r="AR93">
        <v>1.8055600000000002E-2</v>
      </c>
      <c r="AS93">
        <v>4.0806499999999999E-3</v>
      </c>
      <c r="AT93">
        <v>3.9077769999999998E-2</v>
      </c>
      <c r="AU93">
        <v>2.0406339999999999E-2</v>
      </c>
      <c r="AV93">
        <v>1.3254719999999999E-2</v>
      </c>
      <c r="AW93">
        <v>2.004419E-2</v>
      </c>
      <c r="AX93">
        <v>1.9341500000000001E-2</v>
      </c>
      <c r="AY93">
        <v>3.2909300000000002E-2</v>
      </c>
      <c r="AZ93">
        <v>1.067596E-2</v>
      </c>
      <c r="BA93">
        <v>3.3659559999999998E-2</v>
      </c>
      <c r="BB93">
        <v>2.137822E-2</v>
      </c>
      <c r="BC93">
        <v>3.7082299999999999E-3</v>
      </c>
      <c r="BD93">
        <v>3.4775800000000001E-3</v>
      </c>
      <c r="BE93">
        <v>2.1716030000000001E-2</v>
      </c>
      <c r="BF93">
        <v>1.386741E-2</v>
      </c>
      <c r="BG93">
        <v>3.2222420000000002E-2</v>
      </c>
      <c r="BH93">
        <v>1.154255E-2</v>
      </c>
      <c r="BI93">
        <v>8.4251199999999995E-3</v>
      </c>
      <c r="BJ93">
        <v>-5.6474699999999999E-3</v>
      </c>
      <c r="BK93">
        <v>3.90654E-3</v>
      </c>
      <c r="BL93">
        <v>1.9400669999999998E-2</v>
      </c>
      <c r="BM93">
        <v>4.8435779999999998E-2</v>
      </c>
      <c r="BN93">
        <v>1.50277E-2</v>
      </c>
      <c r="BO93">
        <v>2.1193119999999999E-2</v>
      </c>
      <c r="BP93">
        <v>2.1790839999999999E-2</v>
      </c>
      <c r="BQ93">
        <v>1.559252E-2</v>
      </c>
      <c r="BR93">
        <v>4.5577510000000002E-2</v>
      </c>
      <c r="BS93">
        <v>6.0425100000000001E-3</v>
      </c>
      <c r="BT93">
        <v>1.9389859999999998E-2</v>
      </c>
      <c r="BU93">
        <v>1.438862E-2</v>
      </c>
      <c r="BV93">
        <v>2.8192080000000001E-2</v>
      </c>
      <c r="BW93">
        <v>3.628485E-2</v>
      </c>
      <c r="BX93">
        <v>2.469085E-2</v>
      </c>
      <c r="BY93">
        <v>4.2283849999999998E-2</v>
      </c>
      <c r="BZ93">
        <v>2.240077E-2</v>
      </c>
      <c r="CA93">
        <v>5.1485899999999998E-3</v>
      </c>
      <c r="CB93">
        <v>1.7953230000000001E-2</v>
      </c>
      <c r="CC93">
        <v>2.359087E-2</v>
      </c>
      <c r="CD93">
        <v>3.1746179999999999E-2</v>
      </c>
      <c r="CE93">
        <v>6.6384399999999998E-3</v>
      </c>
      <c r="CF93">
        <v>2.4138699999999998E-3</v>
      </c>
      <c r="CG93">
        <v>5.4645579999999999E-2</v>
      </c>
      <c r="CH93">
        <v>1.412249E-2</v>
      </c>
      <c r="CI93">
        <v>6.6086399999999998E-3</v>
      </c>
      <c r="CJ93">
        <v>3.1558089999999997E-2</v>
      </c>
      <c r="CK93">
        <v>0.14267141999999999</v>
      </c>
      <c r="CL93">
        <v>3.8382119999999999E-2</v>
      </c>
      <c r="CM93">
        <v>4.5477599999999996E-3</v>
      </c>
      <c r="CN93">
        <v>5.8337299999999996E-3</v>
      </c>
      <c r="CO93">
        <v>3.2836629999999999E-2</v>
      </c>
      <c r="CP93">
        <v>2.671799E-2</v>
      </c>
      <c r="CQ93">
        <v>5.3046120000000002E-2</v>
      </c>
      <c r="CR93">
        <v>8.76649E-3</v>
      </c>
      <c r="CS93">
        <v>2.32234E-3</v>
      </c>
      <c r="CT93">
        <v>3.2904000000000003E-2</v>
      </c>
      <c r="CU93">
        <v>2.3361750000000001E-2</v>
      </c>
      <c r="CV93">
        <v>3.53336E-2</v>
      </c>
      <c r="CW93">
        <v>4.1683989999999997E-2</v>
      </c>
      <c r="CX93">
        <v>3.2408109999999997E-2</v>
      </c>
      <c r="CY93">
        <v>5.0518889999999997E-2</v>
      </c>
      <c r="CZ93">
        <v>3.4510819999999998E-2</v>
      </c>
      <c r="DA93">
        <v>3.9070540000000001E-2</v>
      </c>
      <c r="DB93">
        <v>2.7800930000000001E-2</v>
      </c>
      <c r="DC93">
        <v>1.742981E-2</v>
      </c>
      <c r="DD93">
        <v>5.237261E-2</v>
      </c>
      <c r="DE93">
        <v>8.1855899999999995E-3</v>
      </c>
      <c r="DF93">
        <v>3.8296459999999997E-2</v>
      </c>
      <c r="DG93">
        <v>1.416193E-2</v>
      </c>
      <c r="DH93">
        <v>-2.8082900000000002E-3</v>
      </c>
      <c r="DI93">
        <v>5.3485089999999999E-2</v>
      </c>
      <c r="DJ93">
        <v>5.284614E-2</v>
      </c>
      <c r="DK93">
        <v>5.4757790000000001E-2</v>
      </c>
      <c r="DL93">
        <v>-1.326105E-2</v>
      </c>
      <c r="DM93">
        <v>5.4854939999999998E-2</v>
      </c>
      <c r="DN93">
        <v>4.9776389999999997E-2</v>
      </c>
      <c r="DO93">
        <v>3.482466E-2</v>
      </c>
      <c r="DP93">
        <v>5.624506E-2</v>
      </c>
      <c r="DQ93">
        <v>2.2154839999999999E-2</v>
      </c>
      <c r="DR93">
        <v>-1.4070269999999999E-2</v>
      </c>
      <c r="DS93">
        <v>3.2442699999999998E-2</v>
      </c>
      <c r="DT93">
        <v>1.006694E-2</v>
      </c>
      <c r="DU93">
        <v>3.8683130000000003E-2</v>
      </c>
      <c r="DV93">
        <v>1.8963839999999999E-2</v>
      </c>
      <c r="DW93">
        <v>6.4615309999999995E-2</v>
      </c>
      <c r="DX93">
        <v>-3.8117799999999999E-3</v>
      </c>
      <c r="DY93">
        <v>6.4122639999999995E-2</v>
      </c>
      <c r="DZ93">
        <v>1.784372E-2</v>
      </c>
      <c r="EA93">
        <v>5.735436E-2</v>
      </c>
      <c r="EB93">
        <v>7.2284699999999993E-2</v>
      </c>
      <c r="EC93">
        <v>-1.0039609999999999E-2</v>
      </c>
      <c r="ED93">
        <v>4.8616430000000002E-2</v>
      </c>
      <c r="EE93">
        <v>-7.1522599999999997E-3</v>
      </c>
      <c r="EF93">
        <v>3.5162079999999998E-2</v>
      </c>
      <c r="EG93">
        <v>-5.2923800000000002E-3</v>
      </c>
      <c r="EH93">
        <v>5.3875409999999999E-2</v>
      </c>
      <c r="EI93">
        <v>-2.9652870000000001E-2</v>
      </c>
      <c r="EJ93">
        <v>5.863372E-2</v>
      </c>
      <c r="EK93">
        <v>6.2501299999999996E-3</v>
      </c>
      <c r="EL93">
        <v>-8.9010600000000006E-3</v>
      </c>
      <c r="EM93">
        <v>5.8603089999999997E-2</v>
      </c>
      <c r="EN93">
        <v>7.2792850000000006E-2</v>
      </c>
      <c r="EO93">
        <v>9.1788759999999997E-2</v>
      </c>
      <c r="EP93">
        <f t="shared" si="2"/>
        <v>0</v>
      </c>
      <c r="EQ93">
        <f>SUMIF('Mi portafolio'!$A$8:$A$19,$A93,'Mi portafolio'!$B$8:$B$19)</f>
        <v>0</v>
      </c>
    </row>
    <row r="94" spans="1:147" x14ac:dyDescent="0.25">
      <c r="A94" s="34" t="s">
        <v>171</v>
      </c>
      <c r="B94">
        <v>6.7683300000000004E-3</v>
      </c>
      <c r="C94">
        <v>3.2232000000000002E-4</v>
      </c>
      <c r="D94">
        <v>-3.1590000000000001E-5</v>
      </c>
      <c r="E94">
        <v>-3.7437000000000001E-4</v>
      </c>
      <c r="F94">
        <v>1.072329E-2</v>
      </c>
      <c r="G94">
        <v>5.6795099999999996E-3</v>
      </c>
      <c r="H94">
        <v>1.7942799999999998E-2</v>
      </c>
      <c r="I94">
        <v>7.7613200000000004E-3</v>
      </c>
      <c r="J94">
        <v>9.3882299999999991E-3</v>
      </c>
      <c r="K94">
        <v>1.297621E-2</v>
      </c>
      <c r="L94">
        <v>3.70376E-3</v>
      </c>
      <c r="M94">
        <v>2.8032629999999999E-2</v>
      </c>
      <c r="N94">
        <v>2.253401E-2</v>
      </c>
      <c r="O94">
        <v>3.2034699999999999E-3</v>
      </c>
      <c r="P94">
        <v>3.8704500000000001E-3</v>
      </c>
      <c r="Q94">
        <v>-1.1315299999999999E-3</v>
      </c>
      <c r="R94">
        <v>9.2316199999999994E-3</v>
      </c>
      <c r="S94">
        <v>-3.0438900000000001E-3</v>
      </c>
      <c r="T94">
        <v>1.8468289999999998E-2</v>
      </c>
      <c r="U94">
        <v>1.234413E-2</v>
      </c>
      <c r="V94">
        <v>8.9249099999999994E-3</v>
      </c>
      <c r="W94">
        <v>-6.5002799999999998E-3</v>
      </c>
      <c r="X94">
        <v>1.8174780000000001E-2</v>
      </c>
      <c r="Y94">
        <v>6.5560599999999998E-3</v>
      </c>
      <c r="Z94">
        <v>1.049873E-2</v>
      </c>
      <c r="AA94">
        <v>1.9076449999999998E-2</v>
      </c>
      <c r="AB94">
        <v>7.2574199999999997E-3</v>
      </c>
      <c r="AC94">
        <v>4.1475899999999996E-3</v>
      </c>
      <c r="AD94">
        <v>8.9479099999999999E-3</v>
      </c>
      <c r="AE94">
        <v>1.054624E-2</v>
      </c>
      <c r="AF94">
        <v>1.01268E-3</v>
      </c>
      <c r="AG94">
        <v>6.9057600000000004E-3</v>
      </c>
      <c r="AH94">
        <v>8.4716300000000008E-3</v>
      </c>
      <c r="AI94">
        <v>-1.178917E-2</v>
      </c>
      <c r="AJ94">
        <v>4.4166700000000001E-3</v>
      </c>
      <c r="AK94">
        <v>8.8824500000000001E-3</v>
      </c>
      <c r="AL94">
        <v>2.51498E-2</v>
      </c>
      <c r="AM94">
        <v>1.6678660000000001E-2</v>
      </c>
      <c r="AN94">
        <v>3.1632149999999998E-2</v>
      </c>
      <c r="AO94">
        <v>1.5373410000000001E-2</v>
      </c>
      <c r="AP94">
        <v>2.3247879999999999E-2</v>
      </c>
      <c r="AQ94">
        <v>-1.8802429999999998E-2</v>
      </c>
      <c r="AR94">
        <v>1.9701409999999999E-2</v>
      </c>
      <c r="AS94">
        <v>1.2661550000000001E-2</v>
      </c>
      <c r="AT94">
        <v>3.1621330000000003E-2</v>
      </c>
      <c r="AU94">
        <v>9.53355E-3</v>
      </c>
      <c r="AV94">
        <v>6.1618699999999998E-3</v>
      </c>
      <c r="AW94">
        <v>1.37956E-2</v>
      </c>
      <c r="AX94">
        <v>2.0689590000000001E-2</v>
      </c>
      <c r="AY94">
        <v>2.2332210000000002E-2</v>
      </c>
      <c r="AZ94">
        <v>1.5508869999999999E-2</v>
      </c>
      <c r="BA94">
        <v>3.9173760000000002E-2</v>
      </c>
      <c r="BB94">
        <v>2.4567889999999998E-2</v>
      </c>
      <c r="BC94">
        <v>6.6146099999999999E-3</v>
      </c>
      <c r="BD94">
        <v>4.1433700000000004E-3</v>
      </c>
      <c r="BE94">
        <v>3.6785669999999999E-2</v>
      </c>
      <c r="BF94">
        <v>4.5715799999999996E-3</v>
      </c>
      <c r="BG94">
        <v>2.512112E-2</v>
      </c>
      <c r="BH94">
        <v>1.302937E-2</v>
      </c>
      <c r="BI94">
        <v>2.7328700000000001E-3</v>
      </c>
      <c r="BJ94">
        <v>-1.5438749999999999E-2</v>
      </c>
      <c r="BK94">
        <v>7.9484199999999994E-3</v>
      </c>
      <c r="BL94">
        <v>3.5032609999999999E-2</v>
      </c>
      <c r="BM94">
        <v>3.4091000000000003E-2</v>
      </c>
      <c r="BN94">
        <v>1.3913439999999999E-2</v>
      </c>
      <c r="BO94">
        <v>2.9663220000000001E-2</v>
      </c>
      <c r="BP94">
        <v>5.3277699999999999E-3</v>
      </c>
      <c r="BQ94">
        <v>3.7365839999999997E-2</v>
      </c>
      <c r="BR94">
        <v>3.0739229999999999E-2</v>
      </c>
      <c r="BS94">
        <v>-6.2089399999999996E-3</v>
      </c>
      <c r="BT94">
        <v>3.8776089999999999E-2</v>
      </c>
      <c r="BU94">
        <v>1.7367750000000001E-2</v>
      </c>
      <c r="BV94">
        <v>2.913381E-2</v>
      </c>
      <c r="BW94">
        <v>2.397212E-2</v>
      </c>
      <c r="BX94">
        <v>2.1197359999999998E-2</v>
      </c>
      <c r="BY94">
        <v>8.3773159999999999E-2</v>
      </c>
      <c r="BZ94">
        <v>3.684987E-2</v>
      </c>
      <c r="CA94">
        <v>1.191854E-2</v>
      </c>
      <c r="CB94">
        <v>-1.0602479999999999E-2</v>
      </c>
      <c r="CC94">
        <v>7.7900299999999999E-3</v>
      </c>
      <c r="CD94">
        <v>1.9236260000000002E-2</v>
      </c>
      <c r="CE94">
        <v>2.5826979999999999E-2</v>
      </c>
      <c r="CF94">
        <v>-1.4880279999999999E-2</v>
      </c>
      <c r="CG94">
        <v>3.5462880000000002E-2</v>
      </c>
      <c r="CH94">
        <v>3.544506E-2</v>
      </c>
      <c r="CI94">
        <v>-1.414259E-2</v>
      </c>
      <c r="CJ94">
        <v>6.5452799999999997E-3</v>
      </c>
      <c r="CK94">
        <v>3.8382119999999999E-2</v>
      </c>
      <c r="CL94">
        <v>0.14727855000000001</v>
      </c>
      <c r="CM94">
        <v>2.9935509999999999E-2</v>
      </c>
      <c r="CN94">
        <v>6.1682999999999998E-3</v>
      </c>
      <c r="CO94">
        <v>9.7230800000000003E-3</v>
      </c>
      <c r="CP94">
        <v>5.2106499999999998E-3</v>
      </c>
      <c r="CQ94">
        <v>6.5163810000000003E-2</v>
      </c>
      <c r="CR94">
        <v>3.9849900000000001E-2</v>
      </c>
      <c r="CS94">
        <v>4.2502239999999997E-2</v>
      </c>
      <c r="CT94">
        <v>2.6361579999999999E-2</v>
      </c>
      <c r="CU94">
        <v>3.0959690000000002E-2</v>
      </c>
      <c r="CV94">
        <v>3.585501E-2</v>
      </c>
      <c r="CW94">
        <v>3.8714320000000003E-2</v>
      </c>
      <c r="CX94">
        <v>4.485281E-2</v>
      </c>
      <c r="CY94">
        <v>5.9106850000000002E-2</v>
      </c>
      <c r="CZ94">
        <v>2.2653409999999999E-2</v>
      </c>
      <c r="DA94">
        <v>3.0469260000000001E-2</v>
      </c>
      <c r="DB94">
        <v>4.882102E-2</v>
      </c>
      <c r="DC94">
        <v>3.651273E-2</v>
      </c>
      <c r="DD94">
        <v>3.8858120000000003E-2</v>
      </c>
      <c r="DE94">
        <v>4.6509769999999999E-2</v>
      </c>
      <c r="DF94">
        <v>1.6820120000000001E-2</v>
      </c>
      <c r="DG94">
        <v>3.7083820000000003E-2</v>
      </c>
      <c r="DH94">
        <v>3.073857E-2</v>
      </c>
      <c r="DI94">
        <v>7.696422E-2</v>
      </c>
      <c r="DJ94">
        <v>6.5832909999999994E-2</v>
      </c>
      <c r="DK94">
        <v>8.0019599999999996E-2</v>
      </c>
      <c r="DL94">
        <v>2.8328809999999999E-2</v>
      </c>
      <c r="DM94">
        <v>7.9892060000000001E-2</v>
      </c>
      <c r="DN94">
        <v>3.8429489999999997E-2</v>
      </c>
      <c r="DO94">
        <v>5.9804139999999999E-2</v>
      </c>
      <c r="DP94">
        <v>8.4362190000000004E-2</v>
      </c>
      <c r="DQ94">
        <v>5.8242040000000002E-2</v>
      </c>
      <c r="DR94">
        <v>4.5309559999999999E-2</v>
      </c>
      <c r="DS94">
        <v>-3.0760700000000002E-3</v>
      </c>
      <c r="DT94">
        <v>3.119924E-2</v>
      </c>
      <c r="DU94">
        <v>5.6152479999999998E-2</v>
      </c>
      <c r="DV94">
        <v>1.685453E-2</v>
      </c>
      <c r="DW94">
        <v>3.636263E-2</v>
      </c>
      <c r="DX94">
        <v>3.6722379999999999E-2</v>
      </c>
      <c r="DY94">
        <v>5.6361639999999998E-2</v>
      </c>
      <c r="DZ94">
        <v>4.9114800000000002E-3</v>
      </c>
      <c r="EA94">
        <v>5.4777840000000001E-2</v>
      </c>
      <c r="EB94">
        <v>7.1070530000000007E-2</v>
      </c>
      <c r="EC94">
        <v>1.2245010000000001E-2</v>
      </c>
      <c r="ED94">
        <v>7.7688149999999997E-2</v>
      </c>
      <c r="EE94">
        <v>6.5215339999999997E-2</v>
      </c>
      <c r="EF94">
        <v>5.1400130000000002E-2</v>
      </c>
      <c r="EG94">
        <v>3.8994309999999997E-2</v>
      </c>
      <c r="EH94">
        <v>4.1447100000000001E-2</v>
      </c>
      <c r="EI94">
        <v>7.4559639999999996E-2</v>
      </c>
      <c r="EJ94">
        <v>0.10305514</v>
      </c>
      <c r="EK94">
        <v>7.294921E-2</v>
      </c>
      <c r="EL94">
        <v>7.0483630000000005E-2</v>
      </c>
      <c r="EM94">
        <v>9.5759040000000004E-2</v>
      </c>
      <c r="EN94">
        <v>9.1663590000000003E-2</v>
      </c>
      <c r="EO94">
        <v>9.6882019999999999E-2</v>
      </c>
      <c r="EP94">
        <f t="shared" si="2"/>
        <v>0</v>
      </c>
      <c r="EQ94">
        <f>SUMIF('Mi portafolio'!$A$8:$A$19,$A94,'Mi portafolio'!$B$8:$B$19)</f>
        <v>0</v>
      </c>
    </row>
    <row r="95" spans="1:147" x14ac:dyDescent="0.25">
      <c r="A95" s="34" t="s">
        <v>172</v>
      </c>
      <c r="B95">
        <v>-8.6422800000000004E-3</v>
      </c>
      <c r="C95">
        <v>-4.9771199999999998E-3</v>
      </c>
      <c r="D95">
        <v>4.1712900000000002E-3</v>
      </c>
      <c r="E95">
        <v>-2.6443999999999999E-3</v>
      </c>
      <c r="F95">
        <v>-1.415489E-2</v>
      </c>
      <c r="G95">
        <v>-1.3574699999999999E-3</v>
      </c>
      <c r="H95">
        <v>2.7533900000000001E-3</v>
      </c>
      <c r="I95">
        <v>-1.2093049999999999E-2</v>
      </c>
      <c r="J95">
        <v>-1.028048E-2</v>
      </c>
      <c r="K95">
        <v>-1.116343E-2</v>
      </c>
      <c r="L95">
        <v>3.6850099999999998E-3</v>
      </c>
      <c r="M95">
        <v>1.8640609999999998E-2</v>
      </c>
      <c r="N95">
        <v>-8.9523000000000001E-4</v>
      </c>
      <c r="O95">
        <v>-3.5814599999999999E-3</v>
      </c>
      <c r="P95">
        <v>-1.169273E-2</v>
      </c>
      <c r="Q95">
        <v>5.8566099999999999E-3</v>
      </c>
      <c r="R95">
        <v>-1.506393E-2</v>
      </c>
      <c r="S95">
        <v>-7.2747000000000003E-4</v>
      </c>
      <c r="T95">
        <v>1.449163E-2</v>
      </c>
      <c r="U95">
        <v>1.1555319999999999E-2</v>
      </c>
      <c r="V95">
        <v>-1.9515299999999999E-3</v>
      </c>
      <c r="W95">
        <v>-1.0716679999999999E-2</v>
      </c>
      <c r="X95">
        <v>1.7188680000000001E-2</v>
      </c>
      <c r="Y95">
        <v>-3.2244499999999998E-3</v>
      </c>
      <c r="Z95">
        <v>6.5640400000000002E-3</v>
      </c>
      <c r="AA95">
        <v>-6.3062200000000004E-3</v>
      </c>
      <c r="AB95">
        <v>-3.4943800000000001E-3</v>
      </c>
      <c r="AC95">
        <v>-1.46002E-3</v>
      </c>
      <c r="AD95">
        <v>-7.648E-5</v>
      </c>
      <c r="AE95">
        <v>1.053367E-2</v>
      </c>
      <c r="AF95">
        <v>1.303793E-2</v>
      </c>
      <c r="AG95">
        <v>-1.850547E-2</v>
      </c>
      <c r="AH95">
        <v>-1.8400159999999999E-2</v>
      </c>
      <c r="AI95">
        <v>-1.2814620000000001E-2</v>
      </c>
      <c r="AJ95">
        <v>1.5543200000000001E-3</v>
      </c>
      <c r="AK95">
        <v>1.2689880000000001E-2</v>
      </c>
      <c r="AL95">
        <v>1.321431E-2</v>
      </c>
      <c r="AM95">
        <v>7.9961400000000005E-3</v>
      </c>
      <c r="AN95">
        <v>6.4868599999999997E-3</v>
      </c>
      <c r="AO95">
        <v>-9.9162699999999996E-3</v>
      </c>
      <c r="AP95">
        <v>1.419806E-2</v>
      </c>
      <c r="AQ95">
        <v>-1.44966E-2</v>
      </c>
      <c r="AR95">
        <v>1.478756E-2</v>
      </c>
      <c r="AS95">
        <v>1.5824709999999999E-2</v>
      </c>
      <c r="AT95">
        <v>1.9735570000000001E-2</v>
      </c>
      <c r="AU95">
        <v>-7.7661900000000001E-3</v>
      </c>
      <c r="AV95">
        <v>5.0761000000000001E-3</v>
      </c>
      <c r="AW95">
        <v>1.44241E-2</v>
      </c>
      <c r="AX95">
        <v>-7.9861800000000007E-3</v>
      </c>
      <c r="AY95">
        <v>3.9798000000000004E-3</v>
      </c>
      <c r="AZ95">
        <v>1.8492519999999998E-2</v>
      </c>
      <c r="BA95">
        <v>1.3816770000000001E-2</v>
      </c>
      <c r="BB95">
        <v>4.073806E-2</v>
      </c>
      <c r="BC95">
        <v>1.0226310000000001E-2</v>
      </c>
      <c r="BD95">
        <v>1.31317E-2</v>
      </c>
      <c r="BE95">
        <v>-1.2528839999999999E-2</v>
      </c>
      <c r="BF95">
        <v>4.1801499999999997E-3</v>
      </c>
      <c r="BG95">
        <v>1.790835E-2</v>
      </c>
      <c r="BH95">
        <v>1.5723419999999998E-2</v>
      </c>
      <c r="BI95">
        <v>-6.0433800000000001E-3</v>
      </c>
      <c r="BJ95">
        <v>-8.1295699999999992E-3</v>
      </c>
      <c r="BK95">
        <v>1.2539399999999999E-2</v>
      </c>
      <c r="BL95">
        <v>3.9008540000000001E-2</v>
      </c>
      <c r="BM95">
        <v>4.0693700000000001E-3</v>
      </c>
      <c r="BN95">
        <v>4.1770399999999999E-3</v>
      </c>
      <c r="BO95">
        <v>3.4968310000000002E-2</v>
      </c>
      <c r="BP95">
        <v>3.5012450000000001E-2</v>
      </c>
      <c r="BQ95">
        <v>3.0901990000000001E-2</v>
      </c>
      <c r="BR95">
        <v>1.9312619999999999E-2</v>
      </c>
      <c r="BS95">
        <v>-6.25868E-3</v>
      </c>
      <c r="BT95">
        <v>3.9508219999999997E-2</v>
      </c>
      <c r="BU95">
        <v>2.3672289999999999E-2</v>
      </c>
      <c r="BV95">
        <v>3.665243E-2</v>
      </c>
      <c r="BW95">
        <v>1.4623580000000001E-2</v>
      </c>
      <c r="BX95">
        <v>-5.7767799999999996E-3</v>
      </c>
      <c r="BY95">
        <v>2.8453599999999999E-2</v>
      </c>
      <c r="BZ95">
        <v>3.4669520000000002E-2</v>
      </c>
      <c r="CA95">
        <v>8.6070499999999998E-3</v>
      </c>
      <c r="CB95">
        <v>-1.63045E-2</v>
      </c>
      <c r="CC95">
        <v>4.09889E-3</v>
      </c>
      <c r="CD95">
        <v>2.6804669999999999E-2</v>
      </c>
      <c r="CE95">
        <v>4.1908269999999997E-2</v>
      </c>
      <c r="CF95">
        <v>-1.651617E-2</v>
      </c>
      <c r="CG95">
        <v>2.118426E-2</v>
      </c>
      <c r="CH95">
        <v>4.0056219999999997E-2</v>
      </c>
      <c r="CI95">
        <v>-1.308964E-2</v>
      </c>
      <c r="CJ95">
        <v>-1.73361E-3</v>
      </c>
      <c r="CK95">
        <v>4.5477599999999996E-3</v>
      </c>
      <c r="CL95">
        <v>2.9935509999999999E-2</v>
      </c>
      <c r="CM95">
        <v>0.14413455999999999</v>
      </c>
      <c r="CN95">
        <v>8.6407199999999993E-3</v>
      </c>
      <c r="CO95">
        <v>1.0054459999999999E-2</v>
      </c>
      <c r="CP95">
        <v>1.9643770000000001E-2</v>
      </c>
      <c r="CQ95">
        <v>4.3645120000000003E-2</v>
      </c>
      <c r="CR95">
        <v>9.9623519999999993E-2</v>
      </c>
      <c r="CS95">
        <v>6.5300620000000004E-2</v>
      </c>
      <c r="CT95">
        <v>3.1756409999999999E-2</v>
      </c>
      <c r="CU95">
        <v>5.1426329999999999E-2</v>
      </c>
      <c r="CV95">
        <v>4.7676330000000003E-2</v>
      </c>
      <c r="CW95">
        <v>3.2888920000000002E-2</v>
      </c>
      <c r="CX95">
        <v>5.0099169999999998E-2</v>
      </c>
      <c r="CY95">
        <v>3.4371659999999998E-2</v>
      </c>
      <c r="CZ95">
        <v>3.1919490000000002E-2</v>
      </c>
      <c r="DA95">
        <v>4.0991430000000002E-2</v>
      </c>
      <c r="DB95">
        <v>7.9126779999999994E-2</v>
      </c>
      <c r="DC95">
        <v>1.503296E-2</v>
      </c>
      <c r="DD95">
        <v>4.5961929999999998E-2</v>
      </c>
      <c r="DE95">
        <v>7.4949390000000005E-2</v>
      </c>
      <c r="DF95">
        <v>1.9940409999999999E-2</v>
      </c>
      <c r="DG95">
        <v>6.0968969999999997E-2</v>
      </c>
      <c r="DH95">
        <v>9.7837519999999997E-2</v>
      </c>
      <c r="DI95">
        <v>4.1499510000000003E-2</v>
      </c>
      <c r="DJ95">
        <v>3.898211E-2</v>
      </c>
      <c r="DK95">
        <v>5.8508169999999998E-2</v>
      </c>
      <c r="DL95">
        <v>3.4109269999999997E-2</v>
      </c>
      <c r="DM95">
        <v>4.9850409999999998E-2</v>
      </c>
      <c r="DN95">
        <v>3.40605E-2</v>
      </c>
      <c r="DO95">
        <v>4.651454E-2</v>
      </c>
      <c r="DP95">
        <v>4.7270260000000001E-2</v>
      </c>
      <c r="DQ95">
        <v>4.9900279999999998E-2</v>
      </c>
      <c r="DR95">
        <v>6.3663789999999998E-2</v>
      </c>
      <c r="DS95">
        <v>2.220803E-2</v>
      </c>
      <c r="DT95">
        <v>9.4813759999999997E-2</v>
      </c>
      <c r="DU95">
        <v>0.10312408000000001</v>
      </c>
      <c r="DV95">
        <v>7.3344210000000007E-2</v>
      </c>
      <c r="DW95">
        <v>6.7015450000000004E-2</v>
      </c>
      <c r="DX95">
        <v>0.11031695</v>
      </c>
      <c r="DY95">
        <v>6.3907069999999996E-2</v>
      </c>
      <c r="DZ95">
        <v>4.9549759999999998E-2</v>
      </c>
      <c r="EA95">
        <v>3.5890989999999998E-2</v>
      </c>
      <c r="EB95">
        <v>8.600874E-2</v>
      </c>
      <c r="EC95">
        <v>2.9604249999999999E-2</v>
      </c>
      <c r="ED95">
        <v>4.6446910000000001E-2</v>
      </c>
      <c r="EE95">
        <v>0.13736023</v>
      </c>
      <c r="EF95">
        <v>7.3856379999999999E-2</v>
      </c>
      <c r="EG95">
        <v>0.11656344</v>
      </c>
      <c r="EH95">
        <v>3.9117829999999999E-2</v>
      </c>
      <c r="EI95">
        <v>0.13880160999999999</v>
      </c>
      <c r="EJ95">
        <v>4.8037969999999999E-2</v>
      </c>
      <c r="EK95">
        <v>0.12857405</v>
      </c>
      <c r="EL95">
        <v>0.14400357</v>
      </c>
      <c r="EM95">
        <v>9.009607E-2</v>
      </c>
      <c r="EN95">
        <v>2.0236179999999999E-2</v>
      </c>
      <c r="EO95">
        <v>7.2198289999999998E-2</v>
      </c>
      <c r="EP95">
        <f t="shared" si="2"/>
        <v>0</v>
      </c>
      <c r="EQ95">
        <f>SUMIF('Mi portafolio'!$A$8:$A$19,$A95,'Mi portafolio'!$B$8:$B$19)</f>
        <v>0</v>
      </c>
    </row>
    <row r="96" spans="1:147" x14ac:dyDescent="0.25">
      <c r="A96" s="34" t="s">
        <v>173</v>
      </c>
      <c r="B96">
        <v>-1.9532799999999999E-3</v>
      </c>
      <c r="C96">
        <v>1.0879099999999999E-2</v>
      </c>
      <c r="D96">
        <v>1.3003020000000001E-2</v>
      </c>
      <c r="E96">
        <v>1.041868E-2</v>
      </c>
      <c r="F96">
        <v>-6.4776900000000004E-3</v>
      </c>
      <c r="G96">
        <v>9.0018500000000005E-3</v>
      </c>
      <c r="H96">
        <v>1.557705E-2</v>
      </c>
      <c r="I96">
        <v>-3.85689E-3</v>
      </c>
      <c r="J96">
        <v>2.7180199999999998E-3</v>
      </c>
      <c r="K96">
        <v>-2.2472799999999999E-3</v>
      </c>
      <c r="L96">
        <v>1.095375E-2</v>
      </c>
      <c r="M96">
        <v>2.55536E-3</v>
      </c>
      <c r="N96">
        <v>1.0433110000000001E-2</v>
      </c>
      <c r="O96">
        <v>1.637833E-2</v>
      </c>
      <c r="P96">
        <v>3.6899099999999998E-3</v>
      </c>
      <c r="Q96">
        <v>6.0537500000000001E-3</v>
      </c>
      <c r="R96">
        <v>-7.8045500000000004E-3</v>
      </c>
      <c r="S96">
        <v>4.8068399999999997E-3</v>
      </c>
      <c r="T96">
        <v>5.5741999999999996E-3</v>
      </c>
      <c r="U96">
        <v>2.594465E-2</v>
      </c>
      <c r="V96">
        <v>1.4795020000000001E-2</v>
      </c>
      <c r="W96">
        <v>1.069109E-2</v>
      </c>
      <c r="X96">
        <v>7.8233E-3</v>
      </c>
      <c r="Y96">
        <v>2.7834000000000002E-4</v>
      </c>
      <c r="Z96">
        <v>2.1515670000000001E-2</v>
      </c>
      <c r="AA96">
        <v>1.144595E-2</v>
      </c>
      <c r="AB96">
        <v>1.09797E-3</v>
      </c>
      <c r="AC96">
        <v>1.604498E-2</v>
      </c>
      <c r="AD96">
        <v>1.4714069999999999E-2</v>
      </c>
      <c r="AE96">
        <v>1.3064849999999999E-2</v>
      </c>
      <c r="AF96">
        <v>3.0886279999999999E-2</v>
      </c>
      <c r="AG96">
        <v>-8.6671999999999997E-4</v>
      </c>
      <c r="AH96">
        <v>2.52323E-3</v>
      </c>
      <c r="AI96">
        <v>-4.5089999999999997E-5</v>
      </c>
      <c r="AJ96">
        <v>2.082647E-2</v>
      </c>
      <c r="AK96">
        <v>2.6829849999999999E-2</v>
      </c>
      <c r="AL96">
        <v>-2.5019700000000001E-3</v>
      </c>
      <c r="AM96">
        <v>1.205054E-2</v>
      </c>
      <c r="AN96">
        <v>3.14132E-3</v>
      </c>
      <c r="AO96">
        <v>-1.4154E-3</v>
      </c>
      <c r="AP96">
        <v>4.3487100000000004E-3</v>
      </c>
      <c r="AQ96">
        <v>5.0177599999999996E-3</v>
      </c>
      <c r="AR96">
        <v>3.9073800000000002E-3</v>
      </c>
      <c r="AS96">
        <v>2.3138510000000001E-2</v>
      </c>
      <c r="AT96">
        <v>1.6957299999999999E-3</v>
      </c>
      <c r="AU96">
        <v>7.1504000000000001E-4</v>
      </c>
      <c r="AV96">
        <v>1.8435670000000001E-2</v>
      </c>
      <c r="AW96">
        <v>2.8463619999999999E-2</v>
      </c>
      <c r="AX96">
        <v>3.5193799999999999E-3</v>
      </c>
      <c r="AY96">
        <v>6.1413099999999997E-3</v>
      </c>
      <c r="AZ96">
        <v>1.4791149999999999E-2</v>
      </c>
      <c r="BA96">
        <v>3.09765E-3</v>
      </c>
      <c r="BB96">
        <v>7.6769200000000003E-3</v>
      </c>
      <c r="BC96">
        <v>5.2455399999999999E-3</v>
      </c>
      <c r="BD96">
        <v>2.857355E-2</v>
      </c>
      <c r="BE96">
        <v>5.0022699999999996E-3</v>
      </c>
      <c r="BF96">
        <v>2.809942E-2</v>
      </c>
      <c r="BG96">
        <v>1.9890799999999998E-3</v>
      </c>
      <c r="BH96">
        <v>1.8097249999999999E-2</v>
      </c>
      <c r="BI96">
        <v>-2.8974399999999998E-3</v>
      </c>
      <c r="BJ96">
        <v>3.5489499999999999E-3</v>
      </c>
      <c r="BK96">
        <v>2.000219E-2</v>
      </c>
      <c r="BL96">
        <v>7.9755999999999994E-3</v>
      </c>
      <c r="BM96">
        <v>-5.6291600000000002E-3</v>
      </c>
      <c r="BN96">
        <v>7.1856000000000003E-4</v>
      </c>
      <c r="BO96">
        <v>-2.1084200000000002E-3</v>
      </c>
      <c r="BP96">
        <v>2.9495799999999998E-3</v>
      </c>
      <c r="BQ96">
        <v>2.6427320000000001E-2</v>
      </c>
      <c r="BR96">
        <v>-5.5867499999999997E-3</v>
      </c>
      <c r="BS96">
        <v>-3.4730000000000001E-5</v>
      </c>
      <c r="BT96">
        <v>9.0997200000000004E-3</v>
      </c>
      <c r="BU96">
        <v>2.396993E-2</v>
      </c>
      <c r="BV96">
        <v>1.3399600000000001E-3</v>
      </c>
      <c r="BW96">
        <v>-7.1312900000000002E-3</v>
      </c>
      <c r="BX96">
        <v>1.041885E-2</v>
      </c>
      <c r="BY96">
        <v>-8.5393999999999997E-4</v>
      </c>
      <c r="BZ96">
        <v>1.073474E-2</v>
      </c>
      <c r="CA96">
        <v>2.4988839999999998E-2</v>
      </c>
      <c r="CB96">
        <v>1.7023569999999998E-2</v>
      </c>
      <c r="CC96">
        <v>3.76779E-3</v>
      </c>
      <c r="CD96">
        <v>3.4426399999999998E-3</v>
      </c>
      <c r="CE96">
        <v>5.5873800000000003E-3</v>
      </c>
      <c r="CF96">
        <v>2.08494E-3</v>
      </c>
      <c r="CG96">
        <v>-3.4524999999999998E-3</v>
      </c>
      <c r="CH96">
        <v>3.8469780000000002E-2</v>
      </c>
      <c r="CI96">
        <v>3.6855999999999998E-3</v>
      </c>
      <c r="CJ96">
        <v>-3.75662E-3</v>
      </c>
      <c r="CK96">
        <v>5.8337299999999996E-3</v>
      </c>
      <c r="CL96">
        <v>6.1682999999999998E-3</v>
      </c>
      <c r="CM96">
        <v>8.6407199999999993E-3</v>
      </c>
      <c r="CN96">
        <v>0.11311446</v>
      </c>
      <c r="CO96">
        <v>1.7592650000000001E-2</v>
      </c>
      <c r="CP96">
        <v>-4.2544000000000002E-3</v>
      </c>
      <c r="CQ96">
        <v>1.1143109999999999E-2</v>
      </c>
      <c r="CR96">
        <v>1.1145759999999999E-2</v>
      </c>
      <c r="CS96">
        <v>2.742644E-2</v>
      </c>
      <c r="CT96">
        <v>1.0566529999999999E-2</v>
      </c>
      <c r="CU96">
        <v>1.454163E-2</v>
      </c>
      <c r="CV96">
        <v>4.8496700000000004E-3</v>
      </c>
      <c r="CW96">
        <v>1.0797259999999999E-2</v>
      </c>
      <c r="CX96">
        <v>1.3619279999999999E-2</v>
      </c>
      <c r="CY96">
        <v>1.112316E-2</v>
      </c>
      <c r="CZ96">
        <v>2.235463E-2</v>
      </c>
      <c r="DA96">
        <v>-2.4396000000000001E-3</v>
      </c>
      <c r="DB96">
        <v>1.8185880000000001E-2</v>
      </c>
      <c r="DC96">
        <v>3.6160030000000003E-2</v>
      </c>
      <c r="DD96">
        <v>1.169271E-2</v>
      </c>
      <c r="DE96">
        <v>2.9930999999999999E-2</v>
      </c>
      <c r="DF96">
        <v>4.84404E-3</v>
      </c>
      <c r="DG96">
        <v>2.7687989999999999E-2</v>
      </c>
      <c r="DH96">
        <v>1.9782379999999999E-2</v>
      </c>
      <c r="DI96">
        <v>4.2490200000000001E-3</v>
      </c>
      <c r="DJ96">
        <v>2.092014E-2</v>
      </c>
      <c r="DK96">
        <v>9.5323000000000005E-3</v>
      </c>
      <c r="DL96">
        <v>4.1335999999999998E-2</v>
      </c>
      <c r="DM96">
        <v>2.278092E-2</v>
      </c>
      <c r="DN96">
        <v>-2.1250000000000002E-5</v>
      </c>
      <c r="DO96">
        <v>3.8145800000000001E-3</v>
      </c>
      <c r="DP96">
        <v>1.784517E-2</v>
      </c>
      <c r="DQ96">
        <v>2.5353099999999998E-3</v>
      </c>
      <c r="DR96">
        <v>2.176838E-2</v>
      </c>
      <c r="DS96">
        <v>5.0951299999999998E-3</v>
      </c>
      <c r="DT96">
        <v>2.5693919999999999E-2</v>
      </c>
      <c r="DU96">
        <v>1.816135E-2</v>
      </c>
      <c r="DV96">
        <v>5.6284500000000001E-3</v>
      </c>
      <c r="DW96">
        <v>-7.8655900000000004E-3</v>
      </c>
      <c r="DX96">
        <v>2.5328610000000001E-2</v>
      </c>
      <c r="DY96">
        <v>7.7855800000000003E-3</v>
      </c>
      <c r="DZ96">
        <v>-6.5933700000000003E-3</v>
      </c>
      <c r="EA96">
        <v>1.2299239999999999E-2</v>
      </c>
      <c r="EB96">
        <v>1.569108E-2</v>
      </c>
      <c r="EC96">
        <v>-1.77081E-3</v>
      </c>
      <c r="ED96">
        <v>2.051157E-2</v>
      </c>
      <c r="EE96">
        <v>2.3718900000000001E-2</v>
      </c>
      <c r="EF96">
        <v>1.8237840000000002E-2</v>
      </c>
      <c r="EG96">
        <v>2.3268790000000001E-2</v>
      </c>
      <c r="EH96">
        <v>-2.2221959999999999E-2</v>
      </c>
      <c r="EI96">
        <v>1.4374629999999999E-2</v>
      </c>
      <c r="EJ96">
        <v>3.8169889999999998E-2</v>
      </c>
      <c r="EK96">
        <v>3.6947809999999998E-2</v>
      </c>
      <c r="EL96">
        <v>4.7419429999999999E-2</v>
      </c>
      <c r="EM96">
        <v>4.0430430000000003E-2</v>
      </c>
      <c r="EN96">
        <v>2.7029900000000002E-3</v>
      </c>
      <c r="EO96">
        <v>1.665664E-2</v>
      </c>
      <c r="EP96">
        <f t="shared" si="2"/>
        <v>0</v>
      </c>
      <c r="EQ96">
        <f>SUMIF('Mi portafolio'!$A$8:$A$19,$A96,'Mi portafolio'!$B$8:$B$19)</f>
        <v>0</v>
      </c>
    </row>
    <row r="97" spans="1:147" x14ac:dyDescent="0.25">
      <c r="A97" s="34" t="s">
        <v>174</v>
      </c>
      <c r="B97">
        <v>8.5059999999999997E-4</v>
      </c>
      <c r="C97">
        <v>4.8841600000000002E-3</v>
      </c>
      <c r="D97">
        <v>-2.0570000000000001E-5</v>
      </c>
      <c r="E97">
        <v>1.1170329999999999E-2</v>
      </c>
      <c r="F97">
        <v>-1.6162699999999999E-3</v>
      </c>
      <c r="G97">
        <v>-3.3474400000000001E-3</v>
      </c>
      <c r="H97">
        <v>1.115813E-2</v>
      </c>
      <c r="I97">
        <v>9.1899100000000008E-3</v>
      </c>
      <c r="J97">
        <v>-5.39319E-3</v>
      </c>
      <c r="K97">
        <v>4.7803200000000002E-3</v>
      </c>
      <c r="L97">
        <v>7.3524100000000002E-3</v>
      </c>
      <c r="M97">
        <v>8.0470200000000002E-3</v>
      </c>
      <c r="N97">
        <v>4.8246499999999998E-3</v>
      </c>
      <c r="O97">
        <v>4.4655600000000004E-3</v>
      </c>
      <c r="P97">
        <v>2.2319699999999998E-3</v>
      </c>
      <c r="Q97">
        <v>-4.1117799999999998E-3</v>
      </c>
      <c r="R97">
        <v>4.0306600000000001E-3</v>
      </c>
      <c r="S97">
        <v>1.2328540000000001E-2</v>
      </c>
      <c r="T97">
        <v>6.9465999999999998E-3</v>
      </c>
      <c r="U97">
        <v>1.9359379999999999E-2</v>
      </c>
      <c r="V97">
        <v>1.6532749999999999E-2</v>
      </c>
      <c r="W97">
        <v>1.220137E-2</v>
      </c>
      <c r="X97">
        <v>8.6342999999999993E-3</v>
      </c>
      <c r="Y97">
        <v>3.9161700000000001E-3</v>
      </c>
      <c r="Z97">
        <v>1.0856060000000001E-2</v>
      </c>
      <c r="AA97">
        <v>2.5735799999999998E-3</v>
      </c>
      <c r="AB97">
        <v>6.3157700000000001E-3</v>
      </c>
      <c r="AC97">
        <v>-4.9180999999999999E-3</v>
      </c>
      <c r="AD97">
        <v>1.2635189999999999E-2</v>
      </c>
      <c r="AE97">
        <v>1.174387E-2</v>
      </c>
      <c r="AF97">
        <v>2.2581319999999998E-2</v>
      </c>
      <c r="AG97">
        <v>1.4776000000000001E-4</v>
      </c>
      <c r="AH97">
        <v>-8.2215000000000001E-4</v>
      </c>
      <c r="AI97">
        <v>-1.1014690000000001E-2</v>
      </c>
      <c r="AJ97">
        <v>4.9940999999999996E-3</v>
      </c>
      <c r="AK97">
        <v>1.6051550000000001E-2</v>
      </c>
      <c r="AL97">
        <v>4.8702900000000002E-3</v>
      </c>
      <c r="AM97">
        <v>6.6772000000000003E-3</v>
      </c>
      <c r="AN97">
        <v>1.3935090000000001E-2</v>
      </c>
      <c r="AO97">
        <v>-1.0626409999999999E-2</v>
      </c>
      <c r="AP97">
        <v>1.8195530000000001E-2</v>
      </c>
      <c r="AQ97">
        <v>-9.1609800000000009E-3</v>
      </c>
      <c r="AR97">
        <v>2.82213E-3</v>
      </c>
      <c r="AS97">
        <v>2.3469710000000001E-2</v>
      </c>
      <c r="AT97">
        <v>2.395299E-2</v>
      </c>
      <c r="AU97">
        <v>-5.5987399999999996E-3</v>
      </c>
      <c r="AV97">
        <v>1.7534129999999998E-2</v>
      </c>
      <c r="AW97">
        <v>2.3177639999999999E-2</v>
      </c>
      <c r="AX97">
        <v>-4.7288800000000004E-3</v>
      </c>
      <c r="AY97">
        <v>1.541961E-2</v>
      </c>
      <c r="AZ97">
        <v>1.9423409999999999E-2</v>
      </c>
      <c r="BA97">
        <v>1.1599770000000001E-2</v>
      </c>
      <c r="BB97">
        <v>1.6364420000000001E-2</v>
      </c>
      <c r="BC97">
        <v>1.8135470000000001E-2</v>
      </c>
      <c r="BD97">
        <v>2.4473979999999999E-2</v>
      </c>
      <c r="BE97">
        <v>4.2272500000000001E-3</v>
      </c>
      <c r="BF97">
        <v>2.502774E-2</v>
      </c>
      <c r="BG97">
        <v>1.1640670000000001E-2</v>
      </c>
      <c r="BH97">
        <v>2.1183759999999999E-2</v>
      </c>
      <c r="BI97">
        <v>1.445364E-2</v>
      </c>
      <c r="BJ97">
        <v>-8.2964200000000005E-3</v>
      </c>
      <c r="BK97">
        <v>2.2609009999999999E-2</v>
      </c>
      <c r="BL97">
        <v>1.3041179999999999E-2</v>
      </c>
      <c r="BM97">
        <v>1.7349340000000001E-2</v>
      </c>
      <c r="BN97">
        <v>-2.7020899999999999E-3</v>
      </c>
      <c r="BO97">
        <v>2.064301E-2</v>
      </c>
      <c r="BP97">
        <v>1.1714830000000001E-2</v>
      </c>
      <c r="BQ97">
        <v>2.881218E-2</v>
      </c>
      <c r="BR97">
        <v>1.8896320000000001E-2</v>
      </c>
      <c r="BS97">
        <v>-1.6242280000000001E-2</v>
      </c>
      <c r="BT97">
        <v>8.5549900000000002E-3</v>
      </c>
      <c r="BU97">
        <v>-1.8456600000000001E-3</v>
      </c>
      <c r="BV97">
        <v>1.4876159999999999E-2</v>
      </c>
      <c r="BW97">
        <v>2.2158529999999999E-2</v>
      </c>
      <c r="BX97">
        <v>5.04704E-3</v>
      </c>
      <c r="BY97">
        <v>1.1060789999999999E-2</v>
      </c>
      <c r="BZ97">
        <v>7.6036000000000003E-3</v>
      </c>
      <c r="CA97">
        <v>2.4767919999999999E-2</v>
      </c>
      <c r="CB97">
        <v>3.7907100000000001E-3</v>
      </c>
      <c r="CC97">
        <v>1.7288339999999999E-2</v>
      </c>
      <c r="CD97">
        <v>8.0467400000000001E-3</v>
      </c>
      <c r="CE97">
        <v>8.8528300000000008E-3</v>
      </c>
      <c r="CF97">
        <v>-8.5152800000000001E-3</v>
      </c>
      <c r="CG97">
        <v>1.500808E-2</v>
      </c>
      <c r="CH97">
        <v>3.0631800000000001E-2</v>
      </c>
      <c r="CI97">
        <v>-1.312104E-2</v>
      </c>
      <c r="CJ97">
        <v>-1.354197E-2</v>
      </c>
      <c r="CK97">
        <v>3.2836629999999999E-2</v>
      </c>
      <c r="CL97">
        <v>9.7230800000000003E-3</v>
      </c>
      <c r="CM97">
        <v>1.0054459999999999E-2</v>
      </c>
      <c r="CN97">
        <v>1.7592650000000001E-2</v>
      </c>
      <c r="CO97">
        <v>0.16330890000000001</v>
      </c>
      <c r="CP97">
        <v>1.10971E-2</v>
      </c>
      <c r="CQ97">
        <v>2.3913139999999999E-2</v>
      </c>
      <c r="CR97">
        <v>2.3737419999999999E-2</v>
      </c>
      <c r="CS97">
        <v>2.2538909999999999E-2</v>
      </c>
      <c r="CT97">
        <v>2.8038810000000001E-2</v>
      </c>
      <c r="CU97">
        <v>2.3361E-2</v>
      </c>
      <c r="CV97">
        <v>1.8520600000000002E-2</v>
      </c>
      <c r="CW97">
        <v>1.6963019999999999E-2</v>
      </c>
      <c r="CX97">
        <v>2.2142390000000001E-2</v>
      </c>
      <c r="CY97">
        <v>2.444445E-2</v>
      </c>
      <c r="CZ97">
        <v>1.245604E-2</v>
      </c>
      <c r="DA97">
        <v>3.010094E-2</v>
      </c>
      <c r="DB97">
        <v>3.8797129999999999E-2</v>
      </c>
      <c r="DC97">
        <v>2.116699E-2</v>
      </c>
      <c r="DD97">
        <v>1.313979E-2</v>
      </c>
      <c r="DE97">
        <v>3.2982690000000002E-2</v>
      </c>
      <c r="DF97">
        <v>-6.9382699999999999E-3</v>
      </c>
      <c r="DG97">
        <v>1.549909E-2</v>
      </c>
      <c r="DH97">
        <v>2.4066400000000002E-2</v>
      </c>
      <c r="DI97">
        <v>2.5987909999999999E-2</v>
      </c>
      <c r="DJ97">
        <v>1.4419609999999999E-2</v>
      </c>
      <c r="DK97">
        <v>3.33747E-2</v>
      </c>
      <c r="DL97">
        <v>4.16973E-3</v>
      </c>
      <c r="DM97">
        <v>1.8728129999999999E-2</v>
      </c>
      <c r="DN97">
        <v>2.1059769999999998E-2</v>
      </c>
      <c r="DO97">
        <v>3.02329E-2</v>
      </c>
      <c r="DP97">
        <v>1.2702400000000001E-2</v>
      </c>
      <c r="DQ97">
        <v>3.2577620000000002E-2</v>
      </c>
      <c r="DR97">
        <v>9.3489799999999998E-3</v>
      </c>
      <c r="DS97">
        <v>1.745472E-2</v>
      </c>
      <c r="DT97">
        <v>2.453495E-2</v>
      </c>
      <c r="DU97">
        <v>3.8844799999999999E-2</v>
      </c>
      <c r="DV97">
        <v>3.8515799999999998E-3</v>
      </c>
      <c r="DW97">
        <v>3.5014450000000003E-2</v>
      </c>
      <c r="DX97">
        <v>3.0925970000000001E-2</v>
      </c>
      <c r="DY97">
        <v>5.5344480000000001E-2</v>
      </c>
      <c r="DZ97">
        <v>1.020832E-2</v>
      </c>
      <c r="EA97">
        <v>4.7287929999999999E-2</v>
      </c>
      <c r="EB97">
        <v>3.4615060000000003E-2</v>
      </c>
      <c r="EC97">
        <v>1.1587129999999999E-2</v>
      </c>
      <c r="ED97">
        <v>3.8431800000000002E-2</v>
      </c>
      <c r="EE97">
        <v>4.4539769999999999E-2</v>
      </c>
      <c r="EF97">
        <v>1.6208460000000001E-2</v>
      </c>
      <c r="EG97">
        <v>4.8202050000000003E-2</v>
      </c>
      <c r="EH97">
        <v>2.5883860000000002E-2</v>
      </c>
      <c r="EI97">
        <v>2.83909E-2</v>
      </c>
      <c r="EJ97">
        <v>5.7103889999999997E-2</v>
      </c>
      <c r="EK97">
        <v>1.7382450000000001E-2</v>
      </c>
      <c r="EL97">
        <v>2.7881340000000001E-2</v>
      </c>
      <c r="EM97">
        <v>2.249601E-2</v>
      </c>
      <c r="EN97">
        <v>3.6546769999999999E-2</v>
      </c>
      <c r="EO97">
        <v>1.1837759999999999E-2</v>
      </c>
      <c r="EP97">
        <f t="shared" si="2"/>
        <v>0</v>
      </c>
      <c r="EQ97">
        <f>SUMIF('Mi portafolio'!$A$8:$A$19,$A97,'Mi portafolio'!$B$8:$B$19)</f>
        <v>0</v>
      </c>
    </row>
    <row r="98" spans="1:147" x14ac:dyDescent="0.25">
      <c r="A98" s="34" t="s">
        <v>175</v>
      </c>
      <c r="B98">
        <v>1.1158120000000001E-2</v>
      </c>
      <c r="C98">
        <v>1.2103999999999999E-3</v>
      </c>
      <c r="D98">
        <v>3.97387E-3</v>
      </c>
      <c r="E98">
        <v>2.0329499999999999E-3</v>
      </c>
      <c r="F98">
        <v>9.0722300000000006E-3</v>
      </c>
      <c r="G98">
        <v>4.7192400000000004E-3</v>
      </c>
      <c r="H98">
        <v>4.3807300000000002E-3</v>
      </c>
      <c r="I98">
        <v>1.5026339999999999E-2</v>
      </c>
      <c r="J98">
        <v>9.22072E-3</v>
      </c>
      <c r="K98">
        <v>1.4385190000000001E-2</v>
      </c>
      <c r="L98">
        <v>3.7039299999999998E-3</v>
      </c>
      <c r="M98">
        <v>1.2429849999999999E-2</v>
      </c>
      <c r="N98">
        <v>1.7240749999999999E-2</v>
      </c>
      <c r="O98">
        <v>2.62985E-3</v>
      </c>
      <c r="P98">
        <v>7.3337200000000002E-3</v>
      </c>
      <c r="Q98">
        <v>9.2812399999999996E-3</v>
      </c>
      <c r="R98">
        <v>1.436053E-2</v>
      </c>
      <c r="S98">
        <v>-1.2808800000000001E-3</v>
      </c>
      <c r="T98">
        <v>1.234232E-2</v>
      </c>
      <c r="U98">
        <v>7.3486100000000002E-3</v>
      </c>
      <c r="V98">
        <v>-9.6668799999999992E-3</v>
      </c>
      <c r="W98">
        <v>1.050775E-2</v>
      </c>
      <c r="X98">
        <v>1.226911E-2</v>
      </c>
      <c r="Y98">
        <v>1.2697180000000001E-2</v>
      </c>
      <c r="Z98">
        <v>7.4109099999999997E-3</v>
      </c>
      <c r="AA98">
        <v>3.9879299999999998E-3</v>
      </c>
      <c r="AB98">
        <v>1.1328909999999999E-2</v>
      </c>
      <c r="AC98">
        <v>-3.0376499999999998E-3</v>
      </c>
      <c r="AD98">
        <v>-4.6382400000000001E-3</v>
      </c>
      <c r="AE98">
        <v>-1.5754899999999999E-3</v>
      </c>
      <c r="AF98">
        <v>1.4195499999999999E-3</v>
      </c>
      <c r="AG98">
        <v>-7.3336800000000004E-3</v>
      </c>
      <c r="AH98">
        <v>4.7731500000000003E-3</v>
      </c>
      <c r="AI98">
        <v>1.0834130000000001E-2</v>
      </c>
      <c r="AJ98">
        <v>3.4444900000000001E-3</v>
      </c>
      <c r="AK98">
        <v>-4.1571000000000004E-3</v>
      </c>
      <c r="AL98">
        <v>3.3181240000000001E-2</v>
      </c>
      <c r="AM98">
        <v>4.50753E-3</v>
      </c>
      <c r="AN98">
        <v>1.782949E-2</v>
      </c>
      <c r="AO98">
        <v>1.307417E-2</v>
      </c>
      <c r="AP98">
        <v>1.6681350000000001E-2</v>
      </c>
      <c r="AQ98">
        <v>7.6524599999999998E-3</v>
      </c>
      <c r="AR98">
        <v>1.2131680000000001E-2</v>
      </c>
      <c r="AS98">
        <v>1.202808E-2</v>
      </c>
      <c r="AT98">
        <v>1.392615E-2</v>
      </c>
      <c r="AU98">
        <v>1.519558E-2</v>
      </c>
      <c r="AV98">
        <v>1.091344E-2</v>
      </c>
      <c r="AW98">
        <v>2.62897E-3</v>
      </c>
      <c r="AX98">
        <v>1.1462419999999999E-2</v>
      </c>
      <c r="AY98">
        <v>1.490181E-2</v>
      </c>
      <c r="AZ98">
        <v>5.7501799999999997E-3</v>
      </c>
      <c r="BA98">
        <v>1.179679E-2</v>
      </c>
      <c r="BB98">
        <v>1.5065159999999999E-2</v>
      </c>
      <c r="BC98">
        <v>6.19997E-3</v>
      </c>
      <c r="BD98">
        <v>5.0050199999999998E-3</v>
      </c>
      <c r="BE98">
        <v>9.6453700000000003E-3</v>
      </c>
      <c r="BF98">
        <v>1.853316E-2</v>
      </c>
      <c r="BG98">
        <v>2.666048E-2</v>
      </c>
      <c r="BH98">
        <v>1.345937E-2</v>
      </c>
      <c r="BI98">
        <v>1.7434649999999999E-2</v>
      </c>
      <c r="BJ98">
        <v>-6.50536E-3</v>
      </c>
      <c r="BK98">
        <v>7.4336200000000002E-3</v>
      </c>
      <c r="BL98">
        <v>2.1051179999999999E-2</v>
      </c>
      <c r="BM98">
        <v>1.8926020000000002E-2</v>
      </c>
      <c r="BN98">
        <v>5.77276E-3</v>
      </c>
      <c r="BO98">
        <v>2.3988800000000001E-2</v>
      </c>
      <c r="BP98">
        <v>2.3212239999999999E-2</v>
      </c>
      <c r="BQ98">
        <v>6.6186300000000003E-3</v>
      </c>
      <c r="BR98">
        <v>3.34121E-2</v>
      </c>
      <c r="BS98">
        <v>8.0132799999999994E-3</v>
      </c>
      <c r="BT98">
        <v>6.5054199999999996E-3</v>
      </c>
      <c r="BU98">
        <v>-7.4698500000000001E-3</v>
      </c>
      <c r="BV98">
        <v>1.5799170000000001E-2</v>
      </c>
      <c r="BW98">
        <v>4.5229190000000002E-2</v>
      </c>
      <c r="BX98">
        <v>2.2551180000000001E-2</v>
      </c>
      <c r="BY98">
        <v>9.9133299999999997E-3</v>
      </c>
      <c r="BZ98">
        <v>1.477084E-2</v>
      </c>
      <c r="CA98">
        <v>-3.6701699999999999E-3</v>
      </c>
      <c r="CB98">
        <v>8.2004000000000001E-3</v>
      </c>
      <c r="CC98">
        <v>6.6609199999999999E-3</v>
      </c>
      <c r="CD98">
        <v>3.1975290000000003E-2</v>
      </c>
      <c r="CE98">
        <v>7.5711199999999998E-3</v>
      </c>
      <c r="CF98">
        <v>1.237276E-2</v>
      </c>
      <c r="CG98">
        <v>3.422741E-2</v>
      </c>
      <c r="CH98">
        <v>-1.6011899999999999E-3</v>
      </c>
      <c r="CI98">
        <v>3.7687799999999998E-3</v>
      </c>
      <c r="CJ98">
        <v>2.6945360000000002E-2</v>
      </c>
      <c r="CK98">
        <v>2.671799E-2</v>
      </c>
      <c r="CL98">
        <v>5.2106499999999998E-3</v>
      </c>
      <c r="CM98">
        <v>1.9643770000000001E-2</v>
      </c>
      <c r="CN98">
        <v>-4.2544000000000002E-3</v>
      </c>
      <c r="CO98">
        <v>1.10971E-2</v>
      </c>
      <c r="CP98">
        <v>0.16412872000000001</v>
      </c>
      <c r="CQ98">
        <v>2.595486E-2</v>
      </c>
      <c r="CR98">
        <v>2.733578E-2</v>
      </c>
      <c r="CS98">
        <v>1.328264E-2</v>
      </c>
      <c r="CT98">
        <v>3.4390570000000002E-2</v>
      </c>
      <c r="CU98">
        <v>1.3693820000000001E-2</v>
      </c>
      <c r="CV98">
        <v>2.8604250000000001E-2</v>
      </c>
      <c r="CW98">
        <v>3.9835679999999998E-2</v>
      </c>
      <c r="CX98">
        <v>3.5067189999999998E-2</v>
      </c>
      <c r="CY98">
        <v>5.9243400000000002E-3</v>
      </c>
      <c r="CZ98">
        <v>3.3531329999999998E-2</v>
      </c>
      <c r="DA98">
        <v>3.5306549999999999E-2</v>
      </c>
      <c r="DB98">
        <v>3.8000310000000002E-2</v>
      </c>
      <c r="DC98">
        <v>1.3857100000000001E-2</v>
      </c>
      <c r="DD98">
        <v>4.1219810000000003E-2</v>
      </c>
      <c r="DE98">
        <v>1.2103849999999999E-2</v>
      </c>
      <c r="DF98">
        <v>3.4253619999999999E-2</v>
      </c>
      <c r="DG98">
        <v>1.9546600000000001E-2</v>
      </c>
      <c r="DH98">
        <v>3.454161E-2</v>
      </c>
      <c r="DI98">
        <v>2.8635609999999999E-2</v>
      </c>
      <c r="DJ98">
        <v>1.7902459999999999E-2</v>
      </c>
      <c r="DK98">
        <v>2.553915E-2</v>
      </c>
      <c r="DL98">
        <v>-1.4787130000000001E-2</v>
      </c>
      <c r="DM98">
        <v>2.4195459999999998E-2</v>
      </c>
      <c r="DN98">
        <v>4.088816E-2</v>
      </c>
      <c r="DO98">
        <v>3.103593E-2</v>
      </c>
      <c r="DP98">
        <v>3.4915380000000003E-2</v>
      </c>
      <c r="DQ98">
        <v>2.1045999999999999E-3</v>
      </c>
      <c r="DR98">
        <v>2.3925640000000001E-2</v>
      </c>
      <c r="DS98">
        <v>3.2196750000000003E-2</v>
      </c>
      <c r="DT98">
        <v>1.9735099999999998E-2</v>
      </c>
      <c r="DU98">
        <v>3.8521380000000001E-2</v>
      </c>
      <c r="DV98">
        <v>4.3385010000000002E-2</v>
      </c>
      <c r="DW98">
        <v>4.9799749999999997E-2</v>
      </c>
      <c r="DX98">
        <v>1.455269E-2</v>
      </c>
      <c r="DY98">
        <v>4.4308519999999997E-2</v>
      </c>
      <c r="DZ98">
        <v>7.3031830000000006E-2</v>
      </c>
      <c r="EA98">
        <v>4.539087E-2</v>
      </c>
      <c r="EB98">
        <v>5.5239299999999998E-2</v>
      </c>
      <c r="EC98">
        <v>-1.1212659999999999E-2</v>
      </c>
      <c r="ED98">
        <v>4.7777510000000002E-2</v>
      </c>
      <c r="EE98">
        <v>5.9029350000000001E-2</v>
      </c>
      <c r="EF98">
        <v>4.6601789999999997E-2</v>
      </c>
      <c r="EG98">
        <v>6.6106410000000004E-2</v>
      </c>
      <c r="EH98">
        <v>5.2373019999999999E-2</v>
      </c>
      <c r="EI98">
        <v>2.4138630000000001E-2</v>
      </c>
      <c r="EJ98">
        <v>2.910892E-2</v>
      </c>
      <c r="EK98">
        <v>5.8987619999999998E-2</v>
      </c>
      <c r="EL98">
        <v>4.6402739999999998E-2</v>
      </c>
      <c r="EM98">
        <v>6.21776E-2</v>
      </c>
      <c r="EN98">
        <v>7.1942210000000006E-2</v>
      </c>
      <c r="EO98">
        <v>6.3167719999999997E-2</v>
      </c>
      <c r="EP98">
        <f t="shared" si="2"/>
        <v>0</v>
      </c>
      <c r="EQ98">
        <f>SUMIF('Mi portafolio'!$A$8:$A$19,$A98,'Mi portafolio'!$B$8:$B$19)</f>
        <v>0</v>
      </c>
    </row>
    <row r="99" spans="1:147" x14ac:dyDescent="0.25">
      <c r="A99" s="34" t="s">
        <v>176</v>
      </c>
      <c r="B99">
        <v>1.7956300000000001E-2</v>
      </c>
      <c r="C99">
        <v>-1.7955899999999999E-3</v>
      </c>
      <c r="D99">
        <v>3.5636800000000001E-3</v>
      </c>
      <c r="E99">
        <v>1.398693E-2</v>
      </c>
      <c r="F99">
        <v>8.4283199999999996E-3</v>
      </c>
      <c r="G99">
        <v>-4.19865E-3</v>
      </c>
      <c r="H99">
        <v>6.9529800000000001E-3</v>
      </c>
      <c r="I99">
        <v>1.8691619999999999E-2</v>
      </c>
      <c r="J99">
        <v>8.1110000000000002E-3</v>
      </c>
      <c r="K99">
        <v>1.5993810000000001E-2</v>
      </c>
      <c r="L99">
        <v>1.0761700000000001E-2</v>
      </c>
      <c r="M99">
        <v>3.8287380000000003E-2</v>
      </c>
      <c r="N99">
        <v>2.5700500000000001E-2</v>
      </c>
      <c r="O99">
        <v>9.3726999999999994E-3</v>
      </c>
      <c r="P99">
        <v>7.6464599999999999E-3</v>
      </c>
      <c r="Q99">
        <v>1.55254E-3</v>
      </c>
      <c r="R99">
        <v>1.0690369999999999E-2</v>
      </c>
      <c r="S99">
        <v>6.8345699999999999E-3</v>
      </c>
      <c r="T99">
        <v>4.2529230000000001E-2</v>
      </c>
      <c r="U99">
        <v>1.5648370000000002E-2</v>
      </c>
      <c r="V99">
        <v>8.1153400000000004E-3</v>
      </c>
      <c r="W99">
        <v>6.2771299999999997E-3</v>
      </c>
      <c r="X99">
        <v>4.7143030000000002E-2</v>
      </c>
      <c r="Y99">
        <v>2.6880950000000001E-2</v>
      </c>
      <c r="Z99">
        <v>1.0528819999999999E-2</v>
      </c>
      <c r="AA99">
        <v>1.523185E-2</v>
      </c>
      <c r="AB99">
        <v>2.9353790000000001E-2</v>
      </c>
      <c r="AC99">
        <v>4.7193900000000004E-3</v>
      </c>
      <c r="AD99">
        <v>5.5201399999999998E-3</v>
      </c>
      <c r="AE99">
        <v>2.2647339999999998E-2</v>
      </c>
      <c r="AF99">
        <v>1.262719E-2</v>
      </c>
      <c r="AG99">
        <v>4.6444399999999997E-3</v>
      </c>
      <c r="AH99">
        <v>5.0999699999999997E-3</v>
      </c>
      <c r="AI99">
        <v>-2.321022E-2</v>
      </c>
      <c r="AJ99">
        <v>1.1455770000000001E-2</v>
      </c>
      <c r="AK99">
        <v>1.931211E-2</v>
      </c>
      <c r="AL99">
        <v>3.3692979999999997E-2</v>
      </c>
      <c r="AM99">
        <v>2.0342860000000001E-2</v>
      </c>
      <c r="AN99">
        <v>4.6787919999999997E-2</v>
      </c>
      <c r="AO99">
        <v>1.3145570000000001E-2</v>
      </c>
      <c r="AP99">
        <v>3.649521E-2</v>
      </c>
      <c r="AQ99">
        <v>-2.890272E-2</v>
      </c>
      <c r="AR99">
        <v>4.6345810000000001E-2</v>
      </c>
      <c r="AS99">
        <v>1.5539610000000001E-2</v>
      </c>
      <c r="AT99">
        <v>5.7635230000000003E-2</v>
      </c>
      <c r="AU99">
        <v>1.0984580000000001E-2</v>
      </c>
      <c r="AV99">
        <v>1.2008909999999999E-2</v>
      </c>
      <c r="AW99">
        <v>1.180543E-2</v>
      </c>
      <c r="AX99">
        <v>3.3631689999999999E-2</v>
      </c>
      <c r="AY99">
        <v>4.2826969999999999E-2</v>
      </c>
      <c r="AZ99">
        <v>3.5841129999999999E-2</v>
      </c>
      <c r="BA99">
        <v>4.8731690000000001E-2</v>
      </c>
      <c r="BB99">
        <v>7.4288309999999996E-2</v>
      </c>
      <c r="BC99">
        <v>1.7550070000000001E-2</v>
      </c>
      <c r="BD99">
        <v>1.6830600000000001E-2</v>
      </c>
      <c r="BE99">
        <v>2.6962960000000001E-2</v>
      </c>
      <c r="BF99">
        <v>2.3666449999999999E-2</v>
      </c>
      <c r="BG99">
        <v>4.157156E-2</v>
      </c>
      <c r="BH99">
        <v>1.7556160000000001E-2</v>
      </c>
      <c r="BI99">
        <v>1.7040949999999999E-2</v>
      </c>
      <c r="BJ99">
        <v>-2.4423399999999999E-3</v>
      </c>
      <c r="BK99">
        <v>2.7999759999999999E-2</v>
      </c>
      <c r="BL99">
        <v>4.2652320000000001E-2</v>
      </c>
      <c r="BM99">
        <v>4.2378039999999999E-2</v>
      </c>
      <c r="BN99">
        <v>2.1384130000000001E-2</v>
      </c>
      <c r="BO99">
        <v>4.6139310000000003E-2</v>
      </c>
      <c r="BP99">
        <v>2.1976849999999999E-2</v>
      </c>
      <c r="BQ99">
        <v>4.1583059999999998E-2</v>
      </c>
      <c r="BR99">
        <v>6.8862889999999996E-2</v>
      </c>
      <c r="BS99">
        <v>-2.930205E-2</v>
      </c>
      <c r="BT99">
        <v>7.0138010000000001E-2</v>
      </c>
      <c r="BU99">
        <v>2.0737189999999999E-2</v>
      </c>
      <c r="BV99">
        <v>4.3586E-2</v>
      </c>
      <c r="BW99">
        <v>3.8426519999999999E-2</v>
      </c>
      <c r="BX99">
        <v>1.9621280000000001E-2</v>
      </c>
      <c r="BY99">
        <v>6.9164050000000005E-2</v>
      </c>
      <c r="BZ99">
        <v>6.1075860000000003E-2</v>
      </c>
      <c r="CA99">
        <v>8.2732199999999995E-3</v>
      </c>
      <c r="CB99">
        <v>-2.3899199999999998E-3</v>
      </c>
      <c r="CC99">
        <v>2.4146290000000001E-2</v>
      </c>
      <c r="CD99">
        <v>3.7514760000000001E-2</v>
      </c>
      <c r="CE99">
        <v>3.3379399999999997E-2</v>
      </c>
      <c r="CF99">
        <v>-3.6441139999999997E-2</v>
      </c>
      <c r="CG99">
        <v>5.7078009999999998E-2</v>
      </c>
      <c r="CH99">
        <v>3.9295339999999998E-2</v>
      </c>
      <c r="CI99">
        <v>-4.0100419999999998E-2</v>
      </c>
      <c r="CJ99">
        <v>1.502236E-2</v>
      </c>
      <c r="CK99">
        <v>5.3046120000000002E-2</v>
      </c>
      <c r="CL99">
        <v>6.5163810000000003E-2</v>
      </c>
      <c r="CM99">
        <v>4.3645120000000003E-2</v>
      </c>
      <c r="CN99">
        <v>1.1143109999999999E-2</v>
      </c>
      <c r="CO99">
        <v>2.3913139999999999E-2</v>
      </c>
      <c r="CP99">
        <v>2.595486E-2</v>
      </c>
      <c r="CQ99">
        <v>0.16276705999999999</v>
      </c>
      <c r="CR99">
        <v>7.0219740000000003E-2</v>
      </c>
      <c r="CS99">
        <v>7.7366959999999999E-2</v>
      </c>
      <c r="CT99">
        <v>4.602436E-2</v>
      </c>
      <c r="CU99">
        <v>2.7980100000000001E-2</v>
      </c>
      <c r="CV99">
        <v>4.4602830000000003E-2</v>
      </c>
      <c r="CW99">
        <v>4.4443980000000001E-2</v>
      </c>
      <c r="CX99">
        <v>6.5007670000000004E-2</v>
      </c>
      <c r="CY99">
        <v>0.13787226</v>
      </c>
      <c r="CZ99">
        <v>3.1782320000000003E-2</v>
      </c>
      <c r="DA99">
        <v>3.3172819999999999E-2</v>
      </c>
      <c r="DB99">
        <v>6.2086229999999999E-2</v>
      </c>
      <c r="DC99">
        <v>8.1279970000000007E-2</v>
      </c>
      <c r="DD99">
        <v>6.3662919999999998E-2</v>
      </c>
      <c r="DE99">
        <v>6.5828280000000003E-2</v>
      </c>
      <c r="DF99">
        <v>1.55403E-2</v>
      </c>
      <c r="DG99">
        <v>5.2711769999999998E-2</v>
      </c>
      <c r="DH99">
        <v>5.2180730000000002E-2</v>
      </c>
      <c r="DI99">
        <v>0.16576816</v>
      </c>
      <c r="DJ99">
        <v>0.11568168</v>
      </c>
      <c r="DK99">
        <v>0.17915785000000001</v>
      </c>
      <c r="DL99">
        <v>1.265813E-2</v>
      </c>
      <c r="DM99">
        <v>0.14325504</v>
      </c>
      <c r="DN99">
        <v>6.0694129999999999E-2</v>
      </c>
      <c r="DO99">
        <v>7.4413259999999995E-2</v>
      </c>
      <c r="DP99">
        <v>0.14542273</v>
      </c>
      <c r="DQ99">
        <v>7.6338909999999996E-2</v>
      </c>
      <c r="DR99">
        <v>5.4839249999999999E-2</v>
      </c>
      <c r="DS99">
        <v>4.0829850000000001E-2</v>
      </c>
      <c r="DT99">
        <v>4.2977170000000002E-2</v>
      </c>
      <c r="DU99">
        <v>9.8180649999999994E-2</v>
      </c>
      <c r="DV99">
        <v>4.705111E-2</v>
      </c>
      <c r="DW99">
        <v>8.2822290000000007E-2</v>
      </c>
      <c r="DX99">
        <v>9.3593990000000002E-2</v>
      </c>
      <c r="DY99">
        <v>0.10991904</v>
      </c>
      <c r="DZ99">
        <v>3.5213639999999997E-2</v>
      </c>
      <c r="EA99">
        <v>6.8313040000000005E-2</v>
      </c>
      <c r="EB99">
        <v>0.13278058000000001</v>
      </c>
      <c r="EC99">
        <v>-1.4190299999999999E-3</v>
      </c>
      <c r="ED99">
        <v>8.604755E-2</v>
      </c>
      <c r="EE99">
        <v>0.10214255</v>
      </c>
      <c r="EF99">
        <v>8.9301779999999997E-2</v>
      </c>
      <c r="EG99">
        <v>8.9073769999999997E-2</v>
      </c>
      <c r="EH99">
        <v>5.0313429999999999E-2</v>
      </c>
      <c r="EI99">
        <v>9.6764089999999997E-2</v>
      </c>
      <c r="EJ99">
        <v>0.13123439000000001</v>
      </c>
      <c r="EK99">
        <v>0.10856993</v>
      </c>
      <c r="EL99">
        <v>0.13079588</v>
      </c>
      <c r="EM99">
        <v>8.6208350000000003E-2</v>
      </c>
      <c r="EN99">
        <v>5.2410859999999997E-2</v>
      </c>
      <c r="EO99">
        <v>9.346749E-2</v>
      </c>
      <c r="EP99">
        <f t="shared" si="2"/>
        <v>0</v>
      </c>
      <c r="EQ99">
        <f>SUMIF('Mi portafolio'!$A$8:$A$19,$A99,'Mi portafolio'!$B$8:$B$19)</f>
        <v>0</v>
      </c>
    </row>
    <row r="100" spans="1:147" x14ac:dyDescent="0.25">
      <c r="A100" s="34" t="s">
        <v>177</v>
      </c>
      <c r="B100">
        <v>-3.7236700000000001E-3</v>
      </c>
      <c r="C100">
        <v>-4.1614299999999998E-3</v>
      </c>
      <c r="D100">
        <v>-3.8902000000000001E-4</v>
      </c>
      <c r="E100">
        <v>6.1675000000000002E-3</v>
      </c>
      <c r="F100">
        <v>-1.0763429999999999E-2</v>
      </c>
      <c r="G100">
        <v>-5.2388000000000001E-4</v>
      </c>
      <c r="H100">
        <v>8.6992500000000004E-3</v>
      </c>
      <c r="I100">
        <v>-4.9392999999999998E-3</v>
      </c>
      <c r="J100">
        <v>-9.29549E-3</v>
      </c>
      <c r="K100">
        <v>-3.38302E-3</v>
      </c>
      <c r="L100">
        <v>1.05665E-2</v>
      </c>
      <c r="M100">
        <v>2.7110100000000002E-2</v>
      </c>
      <c r="N100">
        <v>2.92874E-3</v>
      </c>
      <c r="O100">
        <v>4.6526600000000003E-3</v>
      </c>
      <c r="P100">
        <v>-4.8223800000000002E-3</v>
      </c>
      <c r="Q100">
        <v>7.8065499999999998E-3</v>
      </c>
      <c r="R100">
        <v>-9.7996100000000003E-3</v>
      </c>
      <c r="S100">
        <v>6.2219E-4</v>
      </c>
      <c r="T100">
        <v>1.6876499999999999E-2</v>
      </c>
      <c r="U100">
        <v>1.598484E-2</v>
      </c>
      <c r="V100">
        <v>6.3611500000000003E-3</v>
      </c>
      <c r="W100">
        <v>1.5400399999999999E-3</v>
      </c>
      <c r="X100">
        <v>1.9556179999999999E-2</v>
      </c>
      <c r="Y100">
        <v>1.6783999999999999E-4</v>
      </c>
      <c r="Z100">
        <v>1.003954E-2</v>
      </c>
      <c r="AA100">
        <v>9.6895699999999998E-3</v>
      </c>
      <c r="AB100">
        <v>-2.3413800000000001E-3</v>
      </c>
      <c r="AC100">
        <v>6.0724999999999998E-3</v>
      </c>
      <c r="AD100">
        <v>1.6244629999999999E-2</v>
      </c>
      <c r="AE100">
        <v>2.1939879999999998E-2</v>
      </c>
      <c r="AF100">
        <v>1.436438E-2</v>
      </c>
      <c r="AG100">
        <v>-2.306807E-2</v>
      </c>
      <c r="AH100">
        <v>-2.5387360000000001E-2</v>
      </c>
      <c r="AI100">
        <v>-2.0882620000000001E-2</v>
      </c>
      <c r="AJ100">
        <v>7.5319499999999999E-3</v>
      </c>
      <c r="AK100">
        <v>2.0980039999999998E-2</v>
      </c>
      <c r="AL100">
        <v>1.7820119999999998E-2</v>
      </c>
      <c r="AM100">
        <v>1.6031879999999998E-2</v>
      </c>
      <c r="AN100">
        <v>2.0777859999999999E-2</v>
      </c>
      <c r="AO100">
        <v>-7.6987100000000001E-3</v>
      </c>
      <c r="AP100">
        <v>1.088896E-2</v>
      </c>
      <c r="AQ100">
        <v>-1.9998970000000001E-2</v>
      </c>
      <c r="AR100">
        <v>1.7588570000000001E-2</v>
      </c>
      <c r="AS100">
        <v>2.1812769999999999E-2</v>
      </c>
      <c r="AT100">
        <v>2.388212E-2</v>
      </c>
      <c r="AU100">
        <v>-3.5452499999999998E-3</v>
      </c>
      <c r="AV100">
        <v>1.498099E-2</v>
      </c>
      <c r="AW100">
        <v>1.7043840000000001E-2</v>
      </c>
      <c r="AX100">
        <v>1.5338400000000001E-3</v>
      </c>
      <c r="AY100">
        <v>1.7546809999999999E-2</v>
      </c>
      <c r="AZ100">
        <v>3.082406E-2</v>
      </c>
      <c r="BA100">
        <v>2.6771969999999999E-2</v>
      </c>
      <c r="BB100">
        <v>4.8376479999999999E-2</v>
      </c>
      <c r="BC100">
        <v>1.8282670000000001E-2</v>
      </c>
      <c r="BD100">
        <v>1.8772980000000002E-2</v>
      </c>
      <c r="BE100">
        <v>5.8033199999999998E-3</v>
      </c>
      <c r="BF100">
        <v>2.0499900000000001E-2</v>
      </c>
      <c r="BG100">
        <v>1.9047709999999999E-2</v>
      </c>
      <c r="BH100">
        <v>1.7984340000000001E-2</v>
      </c>
      <c r="BI100">
        <v>4.5077800000000003E-3</v>
      </c>
      <c r="BJ100">
        <v>4.14271E-3</v>
      </c>
      <c r="BK100">
        <v>2.7441460000000001E-2</v>
      </c>
      <c r="BL100">
        <v>5.0308770000000003E-2</v>
      </c>
      <c r="BM100">
        <v>8.0576399999999996E-3</v>
      </c>
      <c r="BN100">
        <v>3.34702E-3</v>
      </c>
      <c r="BO100">
        <v>4.3928710000000003E-2</v>
      </c>
      <c r="BP100">
        <v>2.4473330000000001E-2</v>
      </c>
      <c r="BQ100">
        <v>4.0943309999999997E-2</v>
      </c>
      <c r="BR100">
        <v>3.779975E-2</v>
      </c>
      <c r="BS100">
        <v>-1.010774E-2</v>
      </c>
      <c r="BT100">
        <v>5.3051290000000001E-2</v>
      </c>
      <c r="BU100">
        <v>1.285041E-2</v>
      </c>
      <c r="BV100">
        <v>4.3377369999999998E-2</v>
      </c>
      <c r="BW100">
        <v>3.048671E-2</v>
      </c>
      <c r="BX100">
        <v>-2.9281400000000001E-3</v>
      </c>
      <c r="BY100">
        <v>3.9838859999999997E-2</v>
      </c>
      <c r="BZ100">
        <v>4.2867950000000002E-2</v>
      </c>
      <c r="CA100">
        <v>1.8720130000000001E-2</v>
      </c>
      <c r="CB100">
        <v>-1.123293E-2</v>
      </c>
      <c r="CC100">
        <v>9.2171800000000002E-3</v>
      </c>
      <c r="CD100">
        <v>3.2089670000000001E-2</v>
      </c>
      <c r="CE100">
        <v>5.2698080000000001E-2</v>
      </c>
      <c r="CF100">
        <v>-1.7763600000000001E-2</v>
      </c>
      <c r="CG100">
        <v>2.189988E-2</v>
      </c>
      <c r="CH100">
        <v>6.156375E-2</v>
      </c>
      <c r="CI100">
        <v>-2.385994E-2</v>
      </c>
      <c r="CJ100">
        <v>-4.9570500000000002E-3</v>
      </c>
      <c r="CK100">
        <v>8.76649E-3</v>
      </c>
      <c r="CL100">
        <v>3.9849900000000001E-2</v>
      </c>
      <c r="CM100">
        <v>9.9623519999999993E-2</v>
      </c>
      <c r="CN100">
        <v>1.1145759999999999E-2</v>
      </c>
      <c r="CO100">
        <v>2.3737419999999999E-2</v>
      </c>
      <c r="CP100">
        <v>2.733578E-2</v>
      </c>
      <c r="CQ100">
        <v>7.0219740000000003E-2</v>
      </c>
      <c r="CR100">
        <v>0.15823203</v>
      </c>
      <c r="CS100">
        <v>0.10670483</v>
      </c>
      <c r="CT100">
        <v>4.5226870000000002E-2</v>
      </c>
      <c r="CU100">
        <v>5.3635629999999997E-2</v>
      </c>
      <c r="CV100">
        <v>3.6358300000000003E-2</v>
      </c>
      <c r="CW100">
        <v>4.2678929999999997E-2</v>
      </c>
      <c r="CX100">
        <v>5.8362230000000001E-2</v>
      </c>
      <c r="CY100">
        <v>5.8955790000000001E-2</v>
      </c>
      <c r="CZ100">
        <v>1.5731040000000002E-2</v>
      </c>
      <c r="DA100">
        <v>2.5731790000000001E-2</v>
      </c>
      <c r="DB100">
        <v>8.7282230000000002E-2</v>
      </c>
      <c r="DC100">
        <v>5.2504259999999997E-2</v>
      </c>
      <c r="DD100">
        <v>5.3003830000000002E-2</v>
      </c>
      <c r="DE100">
        <v>0.10253213999999999</v>
      </c>
      <c r="DF100">
        <v>-1.594054E-2</v>
      </c>
      <c r="DG100">
        <v>7.1338970000000002E-2</v>
      </c>
      <c r="DH100">
        <v>0.11551366</v>
      </c>
      <c r="DI100">
        <v>6.7882159999999997E-2</v>
      </c>
      <c r="DJ100">
        <v>6.7094180000000003E-2</v>
      </c>
      <c r="DK100">
        <v>8.696632E-2</v>
      </c>
      <c r="DL100">
        <v>3.9220339999999999E-2</v>
      </c>
      <c r="DM100">
        <v>8.2223130000000005E-2</v>
      </c>
      <c r="DN100">
        <v>2.627376E-2</v>
      </c>
      <c r="DO100">
        <v>7.0059689999999994E-2</v>
      </c>
      <c r="DP100">
        <v>7.1141330000000003E-2</v>
      </c>
      <c r="DQ100">
        <v>7.8649520000000001E-2</v>
      </c>
      <c r="DR100">
        <v>8.0924899999999994E-2</v>
      </c>
      <c r="DS100">
        <v>1.863654E-2</v>
      </c>
      <c r="DT100">
        <v>9.7500290000000003E-2</v>
      </c>
      <c r="DU100">
        <v>9.0272870000000005E-2</v>
      </c>
      <c r="DV100">
        <v>5.4405139999999998E-2</v>
      </c>
      <c r="DW100">
        <v>5.9597169999999998E-2</v>
      </c>
      <c r="DX100">
        <v>0.17471706000000001</v>
      </c>
      <c r="DY100">
        <v>7.6922740000000003E-2</v>
      </c>
      <c r="DZ100">
        <v>3.4155280000000003E-2</v>
      </c>
      <c r="EA100">
        <v>6.423922E-2</v>
      </c>
      <c r="EB100">
        <v>9.0529410000000005E-2</v>
      </c>
      <c r="EC100">
        <v>3.9353590000000001E-2</v>
      </c>
      <c r="ED100">
        <v>8.3432199999999998E-2</v>
      </c>
      <c r="EE100">
        <v>0.18287320000000001</v>
      </c>
      <c r="EF100">
        <v>8.0921010000000002E-2</v>
      </c>
      <c r="EG100">
        <v>0.16588438999999999</v>
      </c>
      <c r="EH100">
        <v>3.0827219999999999E-2</v>
      </c>
      <c r="EI100">
        <v>0.20297082999999999</v>
      </c>
      <c r="EJ100">
        <v>0.10150987</v>
      </c>
      <c r="EK100">
        <v>0.16262452999999999</v>
      </c>
      <c r="EL100">
        <v>0.20044724999999999</v>
      </c>
      <c r="EM100">
        <v>8.9065610000000003E-2</v>
      </c>
      <c r="EN100">
        <v>6.038847E-2</v>
      </c>
      <c r="EO100">
        <v>9.0557760000000001E-2</v>
      </c>
      <c r="EP100">
        <f t="shared" si="2"/>
        <v>0</v>
      </c>
      <c r="EQ100">
        <f>SUMIF('Mi portafolio'!$A$8:$A$19,$A100,'Mi portafolio'!$B$8:$B$19)</f>
        <v>0</v>
      </c>
    </row>
    <row r="101" spans="1:147" x14ac:dyDescent="0.25">
      <c r="A101" s="34" t="s">
        <v>178</v>
      </c>
      <c r="B101">
        <v>2.0566000000000001E-4</v>
      </c>
      <c r="C101">
        <v>3.4466100000000001E-3</v>
      </c>
      <c r="D101">
        <v>2.2313900000000002E-3</v>
      </c>
      <c r="E101">
        <v>6.0573500000000004E-3</v>
      </c>
      <c r="F101">
        <v>-1.1626539999999999E-2</v>
      </c>
      <c r="G101">
        <v>3.7314999999999999E-4</v>
      </c>
      <c r="H101">
        <v>9.2973099999999996E-3</v>
      </c>
      <c r="I101">
        <v>-2.93093E-3</v>
      </c>
      <c r="J101">
        <v>3.4533400000000001E-3</v>
      </c>
      <c r="K101">
        <v>4.6828199999999999E-3</v>
      </c>
      <c r="L101">
        <v>6.8460400000000003E-3</v>
      </c>
      <c r="M101">
        <v>2.5224050000000001E-2</v>
      </c>
      <c r="N101">
        <v>8.7288999999999995E-3</v>
      </c>
      <c r="O101">
        <v>1.056053E-2</v>
      </c>
      <c r="P101">
        <v>3.22485E-3</v>
      </c>
      <c r="Q101">
        <v>8.6805200000000006E-3</v>
      </c>
      <c r="R101">
        <v>-3.4111100000000002E-3</v>
      </c>
      <c r="S101">
        <v>3.00928E-3</v>
      </c>
      <c r="T101">
        <v>3.0635809999999999E-2</v>
      </c>
      <c r="U101">
        <v>1.7752219999999999E-2</v>
      </c>
      <c r="V101">
        <v>2.2990599999999999E-3</v>
      </c>
      <c r="W101">
        <v>1.5449640000000001E-2</v>
      </c>
      <c r="X101">
        <v>4.2251049999999998E-2</v>
      </c>
      <c r="Y101">
        <v>4.1574E-4</v>
      </c>
      <c r="Z101">
        <v>1.323673E-2</v>
      </c>
      <c r="AA101">
        <v>9.9921200000000002E-3</v>
      </c>
      <c r="AB101">
        <v>-7.3941600000000003E-3</v>
      </c>
      <c r="AC101">
        <v>1.051678E-2</v>
      </c>
      <c r="AD101">
        <v>2.041552E-2</v>
      </c>
      <c r="AE101">
        <v>2.570329E-2</v>
      </c>
      <c r="AF101">
        <v>2.6070400000000001E-2</v>
      </c>
      <c r="AG101">
        <v>-7.6852800000000001E-3</v>
      </c>
      <c r="AH101">
        <v>-1.1594299999999999E-3</v>
      </c>
      <c r="AI101">
        <v>-4.0227400000000003E-3</v>
      </c>
      <c r="AJ101">
        <v>8.6640199999999997E-3</v>
      </c>
      <c r="AK101">
        <v>2.679318E-2</v>
      </c>
      <c r="AL101">
        <v>1.3343809999999999E-2</v>
      </c>
      <c r="AM101">
        <v>1.7825480000000001E-2</v>
      </c>
      <c r="AN101">
        <v>2.702212E-2</v>
      </c>
      <c r="AO101">
        <v>4.5688100000000004E-3</v>
      </c>
      <c r="AP101">
        <v>6.7022799999999997E-3</v>
      </c>
      <c r="AQ101">
        <v>-3.7318E-3</v>
      </c>
      <c r="AR101">
        <v>3.6496309999999997E-2</v>
      </c>
      <c r="AS101">
        <v>1.689541E-2</v>
      </c>
      <c r="AT101">
        <v>2.6908410000000001E-2</v>
      </c>
      <c r="AU101">
        <v>1.6160899999999999E-2</v>
      </c>
      <c r="AV101">
        <v>1.8574960000000001E-2</v>
      </c>
      <c r="AW101">
        <v>2.8592670000000001E-2</v>
      </c>
      <c r="AX101">
        <v>1.732817E-2</v>
      </c>
      <c r="AY101">
        <v>2.3109870000000001E-2</v>
      </c>
      <c r="AZ101">
        <v>3.402604E-2</v>
      </c>
      <c r="BA101">
        <v>4.9924540000000003E-2</v>
      </c>
      <c r="BB101">
        <v>5.4517360000000001E-2</v>
      </c>
      <c r="BC101">
        <v>2.0036089999999999E-2</v>
      </c>
      <c r="BD101">
        <v>2.6093379999999999E-2</v>
      </c>
      <c r="BE101">
        <v>1.8810739999999999E-2</v>
      </c>
      <c r="BF101">
        <v>2.4582730000000001E-2</v>
      </c>
      <c r="BG101">
        <v>1.328053E-2</v>
      </c>
      <c r="BH101">
        <v>1.5767719999999999E-2</v>
      </c>
      <c r="BI101">
        <v>-1.19232E-3</v>
      </c>
      <c r="BJ101">
        <v>8.2583199999999995E-3</v>
      </c>
      <c r="BK101">
        <v>3.5220059999999997E-2</v>
      </c>
      <c r="BL101">
        <v>5.018297E-2</v>
      </c>
      <c r="BM101">
        <v>1.19177E-2</v>
      </c>
      <c r="BN101">
        <v>1.8556940000000001E-2</v>
      </c>
      <c r="BO101">
        <v>4.3332200000000001E-2</v>
      </c>
      <c r="BP101">
        <v>-1.4374700000000001E-2</v>
      </c>
      <c r="BQ101">
        <v>5.6860710000000002E-2</v>
      </c>
      <c r="BR101">
        <v>3.3292780000000001E-2</v>
      </c>
      <c r="BS101">
        <v>2.94268E-3</v>
      </c>
      <c r="BT101">
        <v>6.9527450000000005E-2</v>
      </c>
      <c r="BU101">
        <v>2.1484509999999998E-2</v>
      </c>
      <c r="BV101">
        <v>2.3623580000000002E-2</v>
      </c>
      <c r="BW101">
        <v>1.448347E-2</v>
      </c>
      <c r="BX101">
        <v>1.4650730000000001E-2</v>
      </c>
      <c r="BY101">
        <v>4.2949319999999999E-2</v>
      </c>
      <c r="BZ101">
        <v>4.0651369999999999E-2</v>
      </c>
      <c r="CA101">
        <v>2.143335E-2</v>
      </c>
      <c r="CB101">
        <v>-8.4598099999999999E-3</v>
      </c>
      <c r="CC101">
        <v>1.291348E-2</v>
      </c>
      <c r="CD101">
        <v>6.0618199999999999E-3</v>
      </c>
      <c r="CE101">
        <v>5.8979730000000001E-2</v>
      </c>
      <c r="CF101">
        <v>-3.0589900000000001E-3</v>
      </c>
      <c r="CG101">
        <v>7.4807700000000003E-3</v>
      </c>
      <c r="CH101">
        <v>6.9826860000000004E-2</v>
      </c>
      <c r="CI101">
        <v>-5.9610399999999999E-3</v>
      </c>
      <c r="CJ101">
        <v>-2.3952060000000001E-2</v>
      </c>
      <c r="CK101">
        <v>2.32234E-3</v>
      </c>
      <c r="CL101">
        <v>4.2502239999999997E-2</v>
      </c>
      <c r="CM101">
        <v>6.5300620000000004E-2</v>
      </c>
      <c r="CN101">
        <v>2.742644E-2</v>
      </c>
      <c r="CO101">
        <v>2.2538909999999999E-2</v>
      </c>
      <c r="CP101">
        <v>1.328264E-2</v>
      </c>
      <c r="CQ101">
        <v>7.7366959999999999E-2</v>
      </c>
      <c r="CR101">
        <v>0.10670483</v>
      </c>
      <c r="CS101">
        <v>0.1730621</v>
      </c>
      <c r="CT101">
        <v>3.6962950000000001E-2</v>
      </c>
      <c r="CU101">
        <v>3.9332560000000003E-2</v>
      </c>
      <c r="CV101">
        <v>2.032519E-2</v>
      </c>
      <c r="CW101">
        <v>1.7927619999999998E-2</v>
      </c>
      <c r="CX101">
        <v>5.4877219999999997E-2</v>
      </c>
      <c r="CY101">
        <v>7.2570979999999993E-2</v>
      </c>
      <c r="CZ101">
        <v>1.7846299999999999E-3</v>
      </c>
      <c r="DA101">
        <v>-2.8583999999999999E-4</v>
      </c>
      <c r="DB101">
        <v>7.1324120000000005E-2</v>
      </c>
      <c r="DC101">
        <v>5.5421480000000002E-2</v>
      </c>
      <c r="DD101">
        <v>2.6939399999999999E-2</v>
      </c>
      <c r="DE101">
        <v>0.10284702</v>
      </c>
      <c r="DF101">
        <v>-4.3303790000000002E-2</v>
      </c>
      <c r="DG101">
        <v>7.7481910000000001E-2</v>
      </c>
      <c r="DH101">
        <v>9.9105429999999994E-2</v>
      </c>
      <c r="DI101">
        <v>7.7814320000000006E-2</v>
      </c>
      <c r="DJ101">
        <v>6.7422620000000003E-2</v>
      </c>
      <c r="DK101">
        <v>9.6996739999999998E-2</v>
      </c>
      <c r="DL101">
        <v>4.8295400000000002E-2</v>
      </c>
      <c r="DM101">
        <v>8.8149149999999996E-2</v>
      </c>
      <c r="DN101">
        <v>-4.8638199999999996E-3</v>
      </c>
      <c r="DO101">
        <v>0.10155285</v>
      </c>
      <c r="DP101">
        <v>7.6565469999999997E-2</v>
      </c>
      <c r="DQ101">
        <v>8.9556670000000005E-2</v>
      </c>
      <c r="DR101">
        <v>8.310323E-2</v>
      </c>
      <c r="DS101">
        <v>-2.2869770000000001E-2</v>
      </c>
      <c r="DT101">
        <v>5.2884760000000003E-2</v>
      </c>
      <c r="DU101">
        <v>7.5750020000000001E-2</v>
      </c>
      <c r="DV101">
        <v>2.9675389999999999E-2</v>
      </c>
      <c r="DW101">
        <v>8.6715799999999999E-3</v>
      </c>
      <c r="DX101">
        <v>0.17919637999999999</v>
      </c>
      <c r="DY101">
        <v>4.5908999999999998E-2</v>
      </c>
      <c r="DZ101">
        <v>3.0969600000000002E-3</v>
      </c>
      <c r="EA101">
        <v>5.6307049999999997E-2</v>
      </c>
      <c r="EB101">
        <v>6.3923919999999995E-2</v>
      </c>
      <c r="EC101">
        <v>4.0287879999999998E-2</v>
      </c>
      <c r="ED101">
        <v>7.3360209999999995E-2</v>
      </c>
      <c r="EE101">
        <v>0.15987209999999999</v>
      </c>
      <c r="EF101">
        <v>9.5395900000000006E-2</v>
      </c>
      <c r="EG101">
        <v>0.15610869999999999</v>
      </c>
      <c r="EH101">
        <v>-2.0308050000000001E-2</v>
      </c>
      <c r="EI101">
        <v>0.18423623</v>
      </c>
      <c r="EJ101">
        <v>8.0509579999999997E-2</v>
      </c>
      <c r="EK101">
        <v>0.16913479000000001</v>
      </c>
      <c r="EL101">
        <v>0.18591461000000001</v>
      </c>
      <c r="EM101">
        <v>3.2471809999999997E-2</v>
      </c>
      <c r="EN101">
        <v>2.6318009999999999E-2</v>
      </c>
      <c r="EO101">
        <v>6.5202549999999998E-2</v>
      </c>
      <c r="EP101">
        <f t="shared" si="2"/>
        <v>0</v>
      </c>
      <c r="EQ101">
        <f>SUMIF('Mi portafolio'!$A$8:$A$19,$A101,'Mi portafolio'!$B$8:$B$19)</f>
        <v>0</v>
      </c>
    </row>
    <row r="102" spans="1:147" x14ac:dyDescent="0.25">
      <c r="A102" s="34" t="s">
        <v>179</v>
      </c>
      <c r="B102">
        <v>6.6959699999999999E-3</v>
      </c>
      <c r="C102">
        <v>2.0984799999999998E-3</v>
      </c>
      <c r="D102">
        <v>5.9789700000000001E-3</v>
      </c>
      <c r="E102">
        <v>1.240931E-2</v>
      </c>
      <c r="F102">
        <v>-1.50391E-3</v>
      </c>
      <c r="G102">
        <v>1.2867689999999999E-2</v>
      </c>
      <c r="H102">
        <v>1.253143E-2</v>
      </c>
      <c r="I102">
        <v>5.0313399999999996E-3</v>
      </c>
      <c r="J102">
        <v>1.3404000000000001E-4</v>
      </c>
      <c r="K102">
        <v>7.2706400000000001E-3</v>
      </c>
      <c r="L102">
        <v>8.2015300000000003E-3</v>
      </c>
      <c r="M102">
        <v>2.385789E-2</v>
      </c>
      <c r="N102">
        <v>1.8120750000000001E-2</v>
      </c>
      <c r="O102">
        <v>1.324409E-2</v>
      </c>
      <c r="P102">
        <v>7.2339099999999996E-3</v>
      </c>
      <c r="Q102">
        <v>9.0404999999999999E-3</v>
      </c>
      <c r="R102">
        <v>1.1887499999999999E-3</v>
      </c>
      <c r="S102">
        <v>4.7789499999999997E-3</v>
      </c>
      <c r="T102">
        <v>2.3415970000000001E-2</v>
      </c>
      <c r="U102">
        <v>2.5502899999999998E-2</v>
      </c>
      <c r="V102">
        <v>1.7573060000000001E-2</v>
      </c>
      <c r="W102">
        <v>1.326311E-2</v>
      </c>
      <c r="X102">
        <v>2.638269E-2</v>
      </c>
      <c r="Y102">
        <v>2.449453E-2</v>
      </c>
      <c r="Z102">
        <v>1.458111E-2</v>
      </c>
      <c r="AA102">
        <v>1.2522520000000001E-2</v>
      </c>
      <c r="AB102">
        <v>2.3939200000000001E-2</v>
      </c>
      <c r="AC102">
        <v>1.352356E-2</v>
      </c>
      <c r="AD102">
        <v>1.013178E-2</v>
      </c>
      <c r="AE102">
        <v>1.104258E-2</v>
      </c>
      <c r="AF102">
        <v>1.6203149999999999E-2</v>
      </c>
      <c r="AG102">
        <v>-5.4054999999999999E-4</v>
      </c>
      <c r="AH102">
        <v>-9.9236000000000007E-4</v>
      </c>
      <c r="AI102">
        <v>-5.0402099999999998E-3</v>
      </c>
      <c r="AJ102">
        <v>1.3073120000000001E-2</v>
      </c>
      <c r="AK102">
        <v>2.217065E-2</v>
      </c>
      <c r="AL102">
        <v>2.3101569999999998E-2</v>
      </c>
      <c r="AM102">
        <v>2.313641E-2</v>
      </c>
      <c r="AN102">
        <v>2.675833E-2</v>
      </c>
      <c r="AO102">
        <v>9.7453000000000004E-4</v>
      </c>
      <c r="AP102">
        <v>4.20233E-2</v>
      </c>
      <c r="AQ102">
        <v>-9.7963100000000008E-3</v>
      </c>
      <c r="AR102">
        <v>2.3113700000000001E-2</v>
      </c>
      <c r="AS102">
        <v>3.022994E-2</v>
      </c>
      <c r="AT102">
        <v>3.4502150000000002E-2</v>
      </c>
      <c r="AU102">
        <v>1.24563E-3</v>
      </c>
      <c r="AV102">
        <v>1.4202579999999999E-2</v>
      </c>
      <c r="AW102">
        <v>1.7910010000000001E-2</v>
      </c>
      <c r="AX102">
        <v>1.033514E-2</v>
      </c>
      <c r="AY102">
        <v>2.2581750000000001E-2</v>
      </c>
      <c r="AZ102">
        <v>1.221469E-2</v>
      </c>
      <c r="BA102">
        <v>2.076675E-2</v>
      </c>
      <c r="BB102">
        <v>3.7720789999999997E-2</v>
      </c>
      <c r="BC102">
        <v>1.972933E-2</v>
      </c>
      <c r="BD102">
        <v>2.094565E-2</v>
      </c>
      <c r="BE102">
        <v>6.2686299999999999E-3</v>
      </c>
      <c r="BF102">
        <v>3.1015999999999998E-2</v>
      </c>
      <c r="BG102">
        <v>2.993235E-2</v>
      </c>
      <c r="BH102">
        <v>2.2930249999999999E-2</v>
      </c>
      <c r="BI102">
        <v>1.530046E-2</v>
      </c>
      <c r="BJ102">
        <v>-3.43897E-3</v>
      </c>
      <c r="BK102">
        <v>1.542527E-2</v>
      </c>
      <c r="BL102">
        <v>3.0943430000000001E-2</v>
      </c>
      <c r="BM102">
        <v>2.299064E-2</v>
      </c>
      <c r="BN102">
        <v>1.8420200000000001E-2</v>
      </c>
      <c r="BO102">
        <v>4.4065790000000001E-2</v>
      </c>
      <c r="BP102">
        <v>3.6438209999999999E-2</v>
      </c>
      <c r="BQ102">
        <v>3.6049680000000001E-2</v>
      </c>
      <c r="BR102">
        <v>4.0806540000000002E-2</v>
      </c>
      <c r="BS102">
        <v>-9.9112999999999996E-3</v>
      </c>
      <c r="BT102">
        <v>3.4790719999999997E-2</v>
      </c>
      <c r="BU102">
        <v>8.7860799999999999E-3</v>
      </c>
      <c r="BV102">
        <v>5.1784509999999999E-2</v>
      </c>
      <c r="BW102">
        <v>3.8087299999999998E-2</v>
      </c>
      <c r="BX102">
        <v>1.781551E-2</v>
      </c>
      <c r="BY102">
        <v>3.606119E-2</v>
      </c>
      <c r="BZ102">
        <v>4.1181740000000001E-2</v>
      </c>
      <c r="CA102">
        <v>1.6723999999999999E-2</v>
      </c>
      <c r="CB102">
        <v>-1.227807E-2</v>
      </c>
      <c r="CC102">
        <v>2.4814409999999999E-2</v>
      </c>
      <c r="CD102">
        <v>3.7640060000000003E-2</v>
      </c>
      <c r="CE102">
        <v>2.7488470000000001E-2</v>
      </c>
      <c r="CF102">
        <v>-7.76372E-3</v>
      </c>
      <c r="CG102">
        <v>6.3059030000000002E-2</v>
      </c>
      <c r="CH102">
        <v>4.3175390000000001E-2</v>
      </c>
      <c r="CI102">
        <v>-1.094291E-2</v>
      </c>
      <c r="CJ102">
        <v>4.0604149999999999E-2</v>
      </c>
      <c r="CK102">
        <v>3.2904000000000003E-2</v>
      </c>
      <c r="CL102">
        <v>2.6361579999999999E-2</v>
      </c>
      <c r="CM102">
        <v>3.1756409999999999E-2</v>
      </c>
      <c r="CN102">
        <v>1.0566529999999999E-2</v>
      </c>
      <c r="CO102">
        <v>2.8038810000000001E-2</v>
      </c>
      <c r="CP102">
        <v>3.4390570000000002E-2</v>
      </c>
      <c r="CQ102">
        <v>4.602436E-2</v>
      </c>
      <c r="CR102">
        <v>4.5226870000000002E-2</v>
      </c>
      <c r="CS102">
        <v>3.6962950000000001E-2</v>
      </c>
      <c r="CT102">
        <v>0.16959500999999999</v>
      </c>
      <c r="CU102">
        <v>2.9233490000000001E-2</v>
      </c>
      <c r="CV102">
        <v>3.9866699999999998E-2</v>
      </c>
      <c r="CW102">
        <v>5.0010529999999997E-2</v>
      </c>
      <c r="CX102">
        <v>5.6870240000000002E-2</v>
      </c>
      <c r="CY102">
        <v>5.0443399999999999E-2</v>
      </c>
      <c r="CZ102">
        <v>4.7384139999999998E-2</v>
      </c>
      <c r="DA102">
        <v>5.9537680000000003E-2</v>
      </c>
      <c r="DB102">
        <v>6.8364510000000003E-2</v>
      </c>
      <c r="DC102">
        <v>3.7602740000000003E-2</v>
      </c>
      <c r="DD102">
        <v>9.3462370000000003E-2</v>
      </c>
      <c r="DE102">
        <v>5.6030589999999998E-2</v>
      </c>
      <c r="DF102">
        <v>4.7510490000000002E-2</v>
      </c>
      <c r="DG102">
        <v>6.9560380000000005E-2</v>
      </c>
      <c r="DH102">
        <v>3.7374600000000001E-2</v>
      </c>
      <c r="DI102">
        <v>5.9050940000000003E-2</v>
      </c>
      <c r="DJ102">
        <v>5.2087059999999998E-2</v>
      </c>
      <c r="DK102">
        <v>6.2003910000000002E-2</v>
      </c>
      <c r="DL102">
        <v>3.4782260000000002E-2</v>
      </c>
      <c r="DM102">
        <v>7.32463E-2</v>
      </c>
      <c r="DN102">
        <v>5.7414519999999997E-2</v>
      </c>
      <c r="DO102">
        <v>6.1873629999999999E-2</v>
      </c>
      <c r="DP102">
        <v>6.1533780000000003E-2</v>
      </c>
      <c r="DQ102">
        <v>4.3193450000000001E-2</v>
      </c>
      <c r="DR102">
        <v>4.1699170000000001E-2</v>
      </c>
      <c r="DS102">
        <v>3.3109319999999998E-2</v>
      </c>
      <c r="DT102">
        <v>6.6581799999999997E-2</v>
      </c>
      <c r="DU102">
        <v>8.6650039999999998E-2</v>
      </c>
      <c r="DV102">
        <v>8.4001500000000007E-2</v>
      </c>
      <c r="DW102">
        <v>9.2354249999999999E-2</v>
      </c>
      <c r="DX102">
        <v>5.3635879999999997E-2</v>
      </c>
      <c r="DY102">
        <v>0.10112177</v>
      </c>
      <c r="DZ102">
        <v>8.1544240000000004E-2</v>
      </c>
      <c r="EA102">
        <v>6.1748659999999997E-2</v>
      </c>
      <c r="EB102">
        <v>0.10210901999999999</v>
      </c>
      <c r="EC102">
        <v>3.7384309999999997E-2</v>
      </c>
      <c r="ED102">
        <v>0.10840814999999999</v>
      </c>
      <c r="EE102">
        <v>8.2310770000000005E-2</v>
      </c>
      <c r="EF102">
        <v>4.1633009999999998E-2</v>
      </c>
      <c r="EG102">
        <v>6.5958050000000004E-2</v>
      </c>
      <c r="EH102">
        <v>6.6773910000000006E-2</v>
      </c>
      <c r="EI102">
        <v>4.5174150000000003E-2</v>
      </c>
      <c r="EJ102">
        <v>8.8006870000000001E-2</v>
      </c>
      <c r="EK102">
        <v>9.8652290000000004E-2</v>
      </c>
      <c r="EL102">
        <v>9.0949920000000004E-2</v>
      </c>
      <c r="EM102">
        <v>7.3845400000000002E-3</v>
      </c>
      <c r="EN102">
        <v>7.7648190000000006E-2</v>
      </c>
      <c r="EO102">
        <v>0.13035943</v>
      </c>
      <c r="EP102">
        <f t="shared" ref="EP102:EP133" si="3">SUMPRODUCT(B102:EO102,$B$5:$EO$5)</f>
        <v>0</v>
      </c>
      <c r="EQ102">
        <f>SUMIF('Mi portafolio'!$A$8:$A$19,$A102,'Mi portafolio'!$B$8:$B$19)</f>
        <v>0</v>
      </c>
    </row>
    <row r="103" spans="1:147" x14ac:dyDescent="0.25">
      <c r="A103" s="34" t="s">
        <v>181</v>
      </c>
      <c r="B103">
        <v>-2.1047000000000001E-4</v>
      </c>
      <c r="C103">
        <v>2.1929E-4</v>
      </c>
      <c r="D103">
        <v>6.2983800000000001E-3</v>
      </c>
      <c r="E103">
        <v>6.3741000000000004E-4</v>
      </c>
      <c r="F103">
        <v>-1.2399000000000001E-4</v>
      </c>
      <c r="G103">
        <v>-2.5706499999999998E-3</v>
      </c>
      <c r="H103">
        <v>3.4522699999999999E-3</v>
      </c>
      <c r="I103">
        <v>6.2753899999999996E-3</v>
      </c>
      <c r="J103">
        <v>1.10497E-3</v>
      </c>
      <c r="K103">
        <v>4.2638800000000003E-3</v>
      </c>
      <c r="L103">
        <v>9.6128199999999994E-3</v>
      </c>
      <c r="M103">
        <v>1.342694E-2</v>
      </c>
      <c r="N103">
        <v>1.129662E-2</v>
      </c>
      <c r="O103">
        <v>7.5307E-4</v>
      </c>
      <c r="P103">
        <v>4.1755500000000001E-3</v>
      </c>
      <c r="Q103">
        <v>9.6008199999999995E-3</v>
      </c>
      <c r="R103">
        <v>4.6001899999999997E-3</v>
      </c>
      <c r="S103">
        <v>4.1172400000000003E-3</v>
      </c>
      <c r="T103">
        <v>1.1855350000000001E-2</v>
      </c>
      <c r="U103">
        <v>1.0996219999999999E-2</v>
      </c>
      <c r="V103">
        <v>6.1798599999999997E-3</v>
      </c>
      <c r="W103">
        <v>1.3692299999999999E-3</v>
      </c>
      <c r="X103">
        <v>1.2153799999999999E-2</v>
      </c>
      <c r="Y103">
        <v>1.2376399999999999E-3</v>
      </c>
      <c r="Z103">
        <v>1.471712E-2</v>
      </c>
      <c r="AA103">
        <v>4.37741E-3</v>
      </c>
      <c r="AB103">
        <v>3.0453000000000001E-4</v>
      </c>
      <c r="AC103">
        <v>2.75347E-3</v>
      </c>
      <c r="AD103">
        <v>5.6430899999999999E-3</v>
      </c>
      <c r="AE103">
        <v>1.3571659999999999E-2</v>
      </c>
      <c r="AF103">
        <v>8.4192699999999995E-3</v>
      </c>
      <c r="AG103">
        <v>-1.1397499999999999E-3</v>
      </c>
      <c r="AH103">
        <v>-3.4792199999999999E-3</v>
      </c>
      <c r="AI103">
        <v>-9.9660000000000005E-5</v>
      </c>
      <c r="AJ103">
        <v>7.6348099999999997E-3</v>
      </c>
      <c r="AK103">
        <v>1.049369E-2</v>
      </c>
      <c r="AL103">
        <v>2.2849629999999999E-2</v>
      </c>
      <c r="AM103">
        <v>1.8495480000000002E-2</v>
      </c>
      <c r="AN103">
        <v>1.0131039999999999E-2</v>
      </c>
      <c r="AO103">
        <v>-7.8539100000000004E-3</v>
      </c>
      <c r="AP103">
        <v>1.4306330000000001E-2</v>
      </c>
      <c r="AQ103">
        <v>-2.0487700000000001E-3</v>
      </c>
      <c r="AR103">
        <v>1.6362950000000001E-2</v>
      </c>
      <c r="AS103">
        <v>2.1068070000000001E-2</v>
      </c>
      <c r="AT103">
        <v>1.416035E-2</v>
      </c>
      <c r="AU103">
        <v>3.66855E-3</v>
      </c>
      <c r="AV103">
        <v>1.7932710000000001E-2</v>
      </c>
      <c r="AW103">
        <v>9.7526899999999996E-3</v>
      </c>
      <c r="AX103">
        <v>2.9273300000000001E-3</v>
      </c>
      <c r="AY103">
        <v>4.0167299999999996E-3</v>
      </c>
      <c r="AZ103">
        <v>9.8296600000000005E-3</v>
      </c>
      <c r="BA103">
        <v>3.9060200000000001E-3</v>
      </c>
      <c r="BB103">
        <v>1.545387E-2</v>
      </c>
      <c r="BC103">
        <v>1.2114359999999999E-2</v>
      </c>
      <c r="BD103">
        <v>1.572312E-2</v>
      </c>
      <c r="BE103">
        <v>-4.9430999999999998E-4</v>
      </c>
      <c r="BF103">
        <v>2.26471E-2</v>
      </c>
      <c r="BG103">
        <v>1.0943140000000001E-2</v>
      </c>
      <c r="BH103">
        <v>2.740538E-2</v>
      </c>
      <c r="BI103">
        <v>1.197777E-2</v>
      </c>
      <c r="BJ103">
        <v>-2.5975E-3</v>
      </c>
      <c r="BK103">
        <v>1.5971019999999999E-2</v>
      </c>
      <c r="BL103">
        <v>3.3889080000000002E-2</v>
      </c>
      <c r="BM103">
        <v>1.326215E-2</v>
      </c>
      <c r="BN103">
        <v>8.1882199999999995E-3</v>
      </c>
      <c r="BO103">
        <v>5.0694940000000001E-2</v>
      </c>
      <c r="BP103">
        <v>1.950737E-2</v>
      </c>
      <c r="BQ103">
        <v>2.1785820000000001E-2</v>
      </c>
      <c r="BR103">
        <v>3.8047900000000003E-2</v>
      </c>
      <c r="BS103">
        <v>4.7920699999999998E-3</v>
      </c>
      <c r="BT103">
        <v>2.3910939999999999E-2</v>
      </c>
      <c r="BU103">
        <v>2.2229570000000001E-2</v>
      </c>
      <c r="BV103">
        <v>4.3199410000000001E-2</v>
      </c>
      <c r="BW103">
        <v>3.1127439999999999E-2</v>
      </c>
      <c r="BX103">
        <v>6.5749000000000005E-4</v>
      </c>
      <c r="BY103">
        <v>2.123829E-2</v>
      </c>
      <c r="BZ103">
        <v>2.9804310000000001E-2</v>
      </c>
      <c r="CA103">
        <v>6.0350899999999999E-3</v>
      </c>
      <c r="CB103">
        <v>-7.4741199999999999E-3</v>
      </c>
      <c r="CC103">
        <v>1.8096799999999999E-3</v>
      </c>
      <c r="CD103">
        <v>3.0628780000000001E-2</v>
      </c>
      <c r="CE103">
        <v>1.7852139999999999E-2</v>
      </c>
      <c r="CF103">
        <v>-1.4296599999999999E-3</v>
      </c>
      <c r="CG103">
        <v>2.2760470000000001E-2</v>
      </c>
      <c r="CH103">
        <v>4.1351590000000001E-2</v>
      </c>
      <c r="CI103">
        <v>-4.0514399999999999E-3</v>
      </c>
      <c r="CJ103">
        <v>1.3834010000000001E-2</v>
      </c>
      <c r="CK103">
        <v>2.3361750000000001E-2</v>
      </c>
      <c r="CL103">
        <v>3.0959690000000002E-2</v>
      </c>
      <c r="CM103">
        <v>5.1426329999999999E-2</v>
      </c>
      <c r="CN103">
        <v>1.454163E-2</v>
      </c>
      <c r="CO103">
        <v>2.3361E-2</v>
      </c>
      <c r="CP103">
        <v>1.3693820000000001E-2</v>
      </c>
      <c r="CQ103">
        <v>2.7980100000000001E-2</v>
      </c>
      <c r="CR103">
        <v>5.3635629999999997E-2</v>
      </c>
      <c r="CS103">
        <v>3.9332560000000003E-2</v>
      </c>
      <c r="CT103">
        <v>2.9233490000000001E-2</v>
      </c>
      <c r="CU103">
        <v>0.16614915</v>
      </c>
      <c r="CV103">
        <v>4.239474E-2</v>
      </c>
      <c r="CW103">
        <v>3.5967930000000002E-2</v>
      </c>
      <c r="CX103">
        <v>3.637224E-2</v>
      </c>
      <c r="CY103">
        <v>2.747608E-2</v>
      </c>
      <c r="CZ103">
        <v>2.7958529999999999E-2</v>
      </c>
      <c r="DA103">
        <v>3.6022539999999999E-2</v>
      </c>
      <c r="DB103">
        <v>4.7304150000000003E-2</v>
      </c>
      <c r="DC103">
        <v>2.929052E-2</v>
      </c>
      <c r="DD103">
        <v>2.637517E-2</v>
      </c>
      <c r="DE103">
        <v>4.7959189999999999E-2</v>
      </c>
      <c r="DF103">
        <v>-1.9624299999999998E-3</v>
      </c>
      <c r="DG103">
        <v>4.5382859999999997E-2</v>
      </c>
      <c r="DH103">
        <v>5.1405649999999997E-2</v>
      </c>
      <c r="DI103">
        <v>3.1939049999999997E-2</v>
      </c>
      <c r="DJ103">
        <v>3.1073409999999999E-2</v>
      </c>
      <c r="DK103">
        <v>3.7606430000000003E-2</v>
      </c>
      <c r="DL103">
        <v>4.934438E-2</v>
      </c>
      <c r="DM103">
        <v>3.321723E-2</v>
      </c>
      <c r="DN103">
        <v>1.7384630000000002E-2</v>
      </c>
      <c r="DO103">
        <v>3.6490870000000002E-2</v>
      </c>
      <c r="DP103">
        <v>3.5007940000000001E-2</v>
      </c>
      <c r="DQ103">
        <v>3.9402159999999999E-2</v>
      </c>
      <c r="DR103">
        <v>5.6937700000000001E-2</v>
      </c>
      <c r="DS103">
        <v>2.5816840000000001E-2</v>
      </c>
      <c r="DT103">
        <v>4.7977329999999999E-2</v>
      </c>
      <c r="DU103">
        <v>4.504346E-2</v>
      </c>
      <c r="DV103">
        <v>2.691433E-2</v>
      </c>
      <c r="DW103">
        <v>4.1290510000000002E-2</v>
      </c>
      <c r="DX103">
        <v>4.726532E-2</v>
      </c>
      <c r="DY103">
        <v>2.989781E-2</v>
      </c>
      <c r="DZ103">
        <v>2.680546E-2</v>
      </c>
      <c r="EA103">
        <v>5.481639E-2</v>
      </c>
      <c r="EB103">
        <v>3.9003179999999998E-2</v>
      </c>
      <c r="EC103">
        <v>3.6694770000000002E-2</v>
      </c>
      <c r="ED103">
        <v>3.121676E-2</v>
      </c>
      <c r="EE103">
        <v>8.4128190000000005E-2</v>
      </c>
      <c r="EF103">
        <v>6.3168870000000002E-2</v>
      </c>
      <c r="EG103">
        <v>5.5345459999999999E-2</v>
      </c>
      <c r="EH103">
        <v>4.2385100000000002E-2</v>
      </c>
      <c r="EI103">
        <v>5.6279599999999999E-2</v>
      </c>
      <c r="EJ103">
        <v>6.307372E-2</v>
      </c>
      <c r="EK103">
        <v>0.101073</v>
      </c>
      <c r="EL103">
        <v>0.10315972</v>
      </c>
      <c r="EM103">
        <v>4.0825729999999998E-2</v>
      </c>
      <c r="EN103">
        <v>1.452909E-2</v>
      </c>
      <c r="EO103">
        <v>8.8306280000000001E-2</v>
      </c>
      <c r="EP103">
        <f t="shared" si="3"/>
        <v>0</v>
      </c>
      <c r="EQ103">
        <f>SUMIF('Mi portafolio'!$A$8:$A$19,$A103,'Mi portafolio'!$B$8:$B$19)</f>
        <v>0</v>
      </c>
    </row>
    <row r="104" spans="1:147" x14ac:dyDescent="0.25">
      <c r="A104" s="34" t="s">
        <v>182</v>
      </c>
      <c r="B104">
        <v>4.5595499999999999E-3</v>
      </c>
      <c r="C104">
        <v>-4.7769400000000004E-3</v>
      </c>
      <c r="D104">
        <v>1.5E-3</v>
      </c>
      <c r="E104">
        <v>-7.7304999999999995E-4</v>
      </c>
      <c r="F104">
        <v>-5.3334200000000002E-3</v>
      </c>
      <c r="G104">
        <v>1.0991799999999999E-3</v>
      </c>
      <c r="H104">
        <v>1.9789999999999999E-3</v>
      </c>
      <c r="I104">
        <v>4.86215E-3</v>
      </c>
      <c r="J104">
        <v>-7.1936700000000001E-3</v>
      </c>
      <c r="K104">
        <v>7.2090699999999997E-3</v>
      </c>
      <c r="L104">
        <v>1.8304000000000001E-4</v>
      </c>
      <c r="M104">
        <v>2.5051489999999999E-2</v>
      </c>
      <c r="N104">
        <v>5.99126E-3</v>
      </c>
      <c r="O104">
        <v>2.45233E-3</v>
      </c>
      <c r="P104">
        <v>-4.12182E-3</v>
      </c>
      <c r="Q104">
        <v>-9.9621699999999994E-3</v>
      </c>
      <c r="R104">
        <v>2.2142099999999999E-3</v>
      </c>
      <c r="S104">
        <v>4.6689799999999997E-3</v>
      </c>
      <c r="T104">
        <v>2.0934310000000001E-2</v>
      </c>
      <c r="U104">
        <v>1.3021319999999999E-2</v>
      </c>
      <c r="V104">
        <v>1.2883779999999999E-2</v>
      </c>
      <c r="W104">
        <v>-3.6518399999999999E-3</v>
      </c>
      <c r="X104">
        <v>1.9952500000000001E-2</v>
      </c>
      <c r="Y104">
        <v>2.3133819999999999E-2</v>
      </c>
      <c r="Z104">
        <v>9.7531900000000001E-3</v>
      </c>
      <c r="AA104">
        <v>-3.2686799999999999E-3</v>
      </c>
      <c r="AB104">
        <v>2.4848410000000001E-2</v>
      </c>
      <c r="AC104">
        <v>1.132886E-2</v>
      </c>
      <c r="AD104">
        <v>4.3835599999999999E-3</v>
      </c>
      <c r="AE104">
        <v>1.4216080000000001E-2</v>
      </c>
      <c r="AF104">
        <v>1.9064669999999999E-2</v>
      </c>
      <c r="AG104">
        <v>6.5793999999999998E-4</v>
      </c>
      <c r="AH104">
        <v>-4.5815200000000004E-3</v>
      </c>
      <c r="AI104">
        <v>-1.7035160000000001E-2</v>
      </c>
      <c r="AJ104">
        <v>-8.5546800000000003E-3</v>
      </c>
      <c r="AK104">
        <v>1.3324330000000001E-2</v>
      </c>
      <c r="AL104">
        <v>1.7252969999999999E-2</v>
      </c>
      <c r="AM104">
        <v>9.9726599999999995E-3</v>
      </c>
      <c r="AN104">
        <v>1.8909860000000001E-2</v>
      </c>
      <c r="AO104">
        <v>-4.5172299999999997E-3</v>
      </c>
      <c r="AP104">
        <v>1.9331109999999999E-2</v>
      </c>
      <c r="AQ104">
        <v>-2.0936E-2</v>
      </c>
      <c r="AR104">
        <v>3.091441E-2</v>
      </c>
      <c r="AS104">
        <v>8.2041600000000003E-3</v>
      </c>
      <c r="AT104">
        <v>3.206999E-2</v>
      </c>
      <c r="AU104">
        <v>-1.9246199999999999E-3</v>
      </c>
      <c r="AV104">
        <v>3.54769E-3</v>
      </c>
      <c r="AW104">
        <v>2.38382E-3</v>
      </c>
      <c r="AX104">
        <v>-1.3295619999999999E-2</v>
      </c>
      <c r="AY104">
        <v>1.580378E-2</v>
      </c>
      <c r="AZ104">
        <v>2.2639639999999999E-2</v>
      </c>
      <c r="BA104">
        <v>6.6041299999999997E-3</v>
      </c>
      <c r="BB104">
        <v>3.3541670000000003E-2</v>
      </c>
      <c r="BC104">
        <v>-3.1649E-4</v>
      </c>
      <c r="BD104">
        <v>5.7450599999999998E-3</v>
      </c>
      <c r="BE104">
        <v>4.70791E-3</v>
      </c>
      <c r="BF104">
        <v>1.1164E-2</v>
      </c>
      <c r="BG104">
        <v>2.3365980000000001E-2</v>
      </c>
      <c r="BH104">
        <v>2.2873790000000001E-2</v>
      </c>
      <c r="BI104">
        <v>2.0836940000000002E-2</v>
      </c>
      <c r="BJ104">
        <v>-8.0556299999999994E-3</v>
      </c>
      <c r="BK104">
        <v>2.5374359999999999E-2</v>
      </c>
      <c r="BL104">
        <v>1.522958E-2</v>
      </c>
      <c r="BM104">
        <v>1.590948E-2</v>
      </c>
      <c r="BN104">
        <v>1.354429E-2</v>
      </c>
      <c r="BO104">
        <v>4.254981E-2</v>
      </c>
      <c r="BP104">
        <v>2.583537E-2</v>
      </c>
      <c r="BQ104">
        <v>2.375261E-2</v>
      </c>
      <c r="BR104">
        <v>1.8392550000000001E-2</v>
      </c>
      <c r="BS104">
        <v>-1.7225299999999999E-2</v>
      </c>
      <c r="BT104">
        <v>2.5975999999999999E-2</v>
      </c>
      <c r="BU104">
        <v>1.533231E-2</v>
      </c>
      <c r="BV104">
        <v>5.8403280000000002E-2</v>
      </c>
      <c r="BW104">
        <v>3.1980000000000002E-5</v>
      </c>
      <c r="BX104">
        <v>-6.7035899999999997E-3</v>
      </c>
      <c r="BY104">
        <v>3.7818789999999998E-2</v>
      </c>
      <c r="BZ104">
        <v>3.5003729999999997E-2</v>
      </c>
      <c r="CA104">
        <v>1.2579770000000001E-2</v>
      </c>
      <c r="CB104">
        <v>-6.8465100000000001E-3</v>
      </c>
      <c r="CC104">
        <v>1.7857930000000001E-2</v>
      </c>
      <c r="CD104">
        <v>3.96409E-2</v>
      </c>
      <c r="CE104">
        <v>1.8135620000000002E-2</v>
      </c>
      <c r="CF104">
        <v>-2.707594E-2</v>
      </c>
      <c r="CG104">
        <v>4.1712909999999999E-2</v>
      </c>
      <c r="CH104">
        <v>3.2494000000000002E-2</v>
      </c>
      <c r="CI104">
        <v>-2.5078240000000002E-2</v>
      </c>
      <c r="CJ104">
        <v>2.279583E-2</v>
      </c>
      <c r="CK104">
        <v>3.53336E-2</v>
      </c>
      <c r="CL104">
        <v>3.585501E-2</v>
      </c>
      <c r="CM104">
        <v>4.7676330000000003E-2</v>
      </c>
      <c r="CN104">
        <v>4.8496700000000004E-3</v>
      </c>
      <c r="CO104">
        <v>1.8520600000000002E-2</v>
      </c>
      <c r="CP104">
        <v>2.8604250000000001E-2</v>
      </c>
      <c r="CQ104">
        <v>4.4602830000000003E-2</v>
      </c>
      <c r="CR104">
        <v>3.6358300000000003E-2</v>
      </c>
      <c r="CS104">
        <v>2.032519E-2</v>
      </c>
      <c r="CT104">
        <v>3.9866699999999998E-2</v>
      </c>
      <c r="CU104">
        <v>4.239474E-2</v>
      </c>
      <c r="CV104">
        <v>0.17764215999999999</v>
      </c>
      <c r="CW104">
        <v>4.9393600000000003E-2</v>
      </c>
      <c r="CX104">
        <v>4.9618210000000003E-2</v>
      </c>
      <c r="CY104">
        <v>6.0214940000000002E-2</v>
      </c>
      <c r="CZ104">
        <v>3.2182250000000003E-2</v>
      </c>
      <c r="DA104">
        <v>4.1991380000000002E-2</v>
      </c>
      <c r="DB104">
        <v>7.1047310000000002E-2</v>
      </c>
      <c r="DC104">
        <v>4.1386279999999998E-2</v>
      </c>
      <c r="DD104">
        <v>5.4587740000000003E-2</v>
      </c>
      <c r="DE104">
        <v>3.6901919999999998E-2</v>
      </c>
      <c r="DF104">
        <v>2.1627980000000002E-2</v>
      </c>
      <c r="DG104">
        <v>1.864114E-2</v>
      </c>
      <c r="DH104">
        <v>4.017577E-2</v>
      </c>
      <c r="DI104">
        <v>5.300204E-2</v>
      </c>
      <c r="DJ104">
        <v>6.3502139999999999E-2</v>
      </c>
      <c r="DK104">
        <v>5.7043209999999997E-2</v>
      </c>
      <c r="DL104">
        <v>2.0548819999999999E-2</v>
      </c>
      <c r="DM104">
        <v>6.7179530000000001E-2</v>
      </c>
      <c r="DN104">
        <v>3.7186810000000001E-2</v>
      </c>
      <c r="DO104">
        <v>4.7982660000000003E-2</v>
      </c>
      <c r="DP104">
        <v>8.1069489999999994E-2</v>
      </c>
      <c r="DQ104">
        <v>2.0153339999999999E-2</v>
      </c>
      <c r="DR104">
        <v>2.1343939999999999E-2</v>
      </c>
      <c r="DS104">
        <v>4.2377919999999999E-2</v>
      </c>
      <c r="DT104">
        <v>5.4531830000000003E-2</v>
      </c>
      <c r="DU104">
        <v>6.7667270000000002E-2</v>
      </c>
      <c r="DV104">
        <v>5.8542799999999999E-2</v>
      </c>
      <c r="DW104">
        <v>9.1868450000000004E-2</v>
      </c>
      <c r="DX104">
        <v>2.981286E-2</v>
      </c>
      <c r="DY104">
        <v>8.3224950000000006E-2</v>
      </c>
      <c r="DZ104">
        <v>2.2353479999999998E-2</v>
      </c>
      <c r="EA104">
        <v>5.7576250000000002E-2</v>
      </c>
      <c r="EB104">
        <v>8.6048360000000004E-2</v>
      </c>
      <c r="EC104">
        <v>1.8148129999999998E-2</v>
      </c>
      <c r="ED104">
        <v>4.900243E-2</v>
      </c>
      <c r="EE104">
        <v>6.4733089999999993E-2</v>
      </c>
      <c r="EF104">
        <v>4.7163700000000003E-2</v>
      </c>
      <c r="EG104">
        <v>5.786285E-2</v>
      </c>
      <c r="EH104">
        <v>5.7066359999999997E-2</v>
      </c>
      <c r="EI104">
        <v>3.251097E-2</v>
      </c>
      <c r="EJ104">
        <v>5.845674E-2</v>
      </c>
      <c r="EK104">
        <v>3.4712819999999998E-2</v>
      </c>
      <c r="EL104">
        <v>4.2924070000000002E-2</v>
      </c>
      <c r="EM104">
        <v>4.7677480000000001E-2</v>
      </c>
      <c r="EN104">
        <v>5.0831269999999998E-2</v>
      </c>
      <c r="EO104">
        <v>5.6329539999999997E-2</v>
      </c>
      <c r="EP104">
        <f t="shared" si="3"/>
        <v>0</v>
      </c>
      <c r="EQ104">
        <f>SUMIF('Mi portafolio'!$A$8:$A$19,$A104,'Mi portafolio'!$B$8:$B$19)</f>
        <v>0</v>
      </c>
    </row>
    <row r="105" spans="1:147" x14ac:dyDescent="0.25">
      <c r="A105" s="34" t="s">
        <v>183</v>
      </c>
      <c r="B105">
        <v>7.4461299999999996E-3</v>
      </c>
      <c r="C105">
        <v>1.5719600000000001E-3</v>
      </c>
      <c r="D105">
        <v>-7.8702000000000004E-4</v>
      </c>
      <c r="E105">
        <v>8.3973599999999995E-3</v>
      </c>
      <c r="F105">
        <v>8.0125000000000005E-3</v>
      </c>
      <c r="G105">
        <v>-2.1363100000000002E-3</v>
      </c>
      <c r="H105">
        <v>6.4452800000000003E-3</v>
      </c>
      <c r="I105">
        <v>2.1262130000000001E-2</v>
      </c>
      <c r="J105">
        <v>6.5232399999999996E-3</v>
      </c>
      <c r="K105">
        <v>1.1714169999999999E-2</v>
      </c>
      <c r="L105">
        <v>1.3140219999999999E-2</v>
      </c>
      <c r="M105">
        <v>2.7934919999999999E-2</v>
      </c>
      <c r="N105">
        <v>1.7996100000000001E-2</v>
      </c>
      <c r="O105">
        <v>6.4900799999999996E-3</v>
      </c>
      <c r="P105">
        <v>1.5085029999999999E-2</v>
      </c>
      <c r="Q105">
        <v>1.8100809999999998E-2</v>
      </c>
      <c r="R105">
        <v>1.201259E-2</v>
      </c>
      <c r="S105">
        <v>1.3973340000000001E-2</v>
      </c>
      <c r="T105">
        <v>2.363589E-2</v>
      </c>
      <c r="U105">
        <v>1.9545110000000001E-2</v>
      </c>
      <c r="V105">
        <v>7.0013799999999998E-3</v>
      </c>
      <c r="W105">
        <v>7.7406599999999999E-3</v>
      </c>
      <c r="X105">
        <v>2.2627580000000001E-2</v>
      </c>
      <c r="Y105">
        <v>3.4110359999999999E-2</v>
      </c>
      <c r="Z105">
        <v>1.0979589999999999E-2</v>
      </c>
      <c r="AA105">
        <v>2.2577750000000001E-2</v>
      </c>
      <c r="AB105">
        <v>3.3676600000000001E-2</v>
      </c>
      <c r="AC105">
        <v>1.081389E-2</v>
      </c>
      <c r="AD105">
        <v>1.2150859999999999E-2</v>
      </c>
      <c r="AE105">
        <v>1.545696E-2</v>
      </c>
      <c r="AF105">
        <v>1.4041339999999999E-2</v>
      </c>
      <c r="AG105">
        <v>1.62487E-3</v>
      </c>
      <c r="AH105">
        <v>1.5525199999999999E-3</v>
      </c>
      <c r="AI105">
        <v>-6.0908999999999998E-3</v>
      </c>
      <c r="AJ105">
        <v>4.9689799999999996E-3</v>
      </c>
      <c r="AK105">
        <v>8.3738200000000006E-3</v>
      </c>
      <c r="AL105">
        <v>2.464059E-2</v>
      </c>
      <c r="AM105">
        <v>1.5464769999999999E-2</v>
      </c>
      <c r="AN105">
        <v>3.8414139999999999E-2</v>
      </c>
      <c r="AO105">
        <v>1.4886969999999999E-2</v>
      </c>
      <c r="AP105">
        <v>3.9509830000000003E-2</v>
      </c>
      <c r="AQ105">
        <v>-1.2197619999999999E-2</v>
      </c>
      <c r="AR105">
        <v>3.087324E-2</v>
      </c>
      <c r="AS105">
        <v>2.0887840000000001E-2</v>
      </c>
      <c r="AT105">
        <v>3.6442820000000001E-2</v>
      </c>
      <c r="AU105">
        <v>-3.3528099999999999E-3</v>
      </c>
      <c r="AV105">
        <v>1.801786E-2</v>
      </c>
      <c r="AW105">
        <v>1.324842E-2</v>
      </c>
      <c r="AX105">
        <v>9.3640000000000008E-3</v>
      </c>
      <c r="AY105">
        <v>2.3638699999999999E-2</v>
      </c>
      <c r="AZ105">
        <v>1.6366439999999999E-2</v>
      </c>
      <c r="BA105">
        <v>1.9119799999999999E-2</v>
      </c>
      <c r="BB105">
        <v>3.3301459999999998E-2</v>
      </c>
      <c r="BC105">
        <v>1.7659660000000001E-2</v>
      </c>
      <c r="BD105">
        <v>2.3734459999999999E-2</v>
      </c>
      <c r="BE105">
        <v>1.9577959999999998E-2</v>
      </c>
      <c r="BF105">
        <v>1.6457759999999998E-2</v>
      </c>
      <c r="BG105">
        <v>4.917324E-2</v>
      </c>
      <c r="BH105">
        <v>1.920177E-2</v>
      </c>
      <c r="BI105">
        <v>9.7417200000000006E-3</v>
      </c>
      <c r="BJ105">
        <v>6.97446E-3</v>
      </c>
      <c r="BK105">
        <v>1.5720189999999998E-2</v>
      </c>
      <c r="BL105">
        <v>2.5360899999999999E-2</v>
      </c>
      <c r="BM105">
        <v>2.6434909999999999E-2</v>
      </c>
      <c r="BN105">
        <v>-7.6350000000000003E-3</v>
      </c>
      <c r="BO105">
        <v>4.1383209999999997E-2</v>
      </c>
      <c r="BP105">
        <v>4.5193520000000001E-2</v>
      </c>
      <c r="BQ105">
        <v>2.7287430000000001E-2</v>
      </c>
      <c r="BR105">
        <v>4.8285910000000001E-2</v>
      </c>
      <c r="BS105">
        <v>-1.068757E-2</v>
      </c>
      <c r="BT105">
        <v>3.8146640000000002E-2</v>
      </c>
      <c r="BU105">
        <v>1.968868E-2</v>
      </c>
      <c r="BV105">
        <v>5.0957379999999997E-2</v>
      </c>
      <c r="BW105">
        <v>4.7951550000000003E-2</v>
      </c>
      <c r="BX105">
        <v>1.6040789999999999E-2</v>
      </c>
      <c r="BY105">
        <v>4.5295290000000002E-2</v>
      </c>
      <c r="BZ105">
        <v>4.1552489999999997E-2</v>
      </c>
      <c r="CA105">
        <v>1.9978139999999998E-2</v>
      </c>
      <c r="CB105">
        <v>3.7579800000000002E-3</v>
      </c>
      <c r="CC105">
        <v>9.3410000000000003E-3</v>
      </c>
      <c r="CD105">
        <v>6.7653610000000003E-2</v>
      </c>
      <c r="CE105">
        <v>9.3476800000000006E-3</v>
      </c>
      <c r="CF105">
        <v>-1.910324E-2</v>
      </c>
      <c r="CG105">
        <v>5.0180629999999997E-2</v>
      </c>
      <c r="CH105">
        <v>3.1276539999999999E-2</v>
      </c>
      <c r="CI105">
        <v>-1.816653E-2</v>
      </c>
      <c r="CJ105">
        <v>4.0129129999999999E-2</v>
      </c>
      <c r="CK105">
        <v>4.1683989999999997E-2</v>
      </c>
      <c r="CL105">
        <v>3.8714320000000003E-2</v>
      </c>
      <c r="CM105">
        <v>3.2888920000000002E-2</v>
      </c>
      <c r="CN105">
        <v>1.0797259999999999E-2</v>
      </c>
      <c r="CO105">
        <v>1.6963019999999999E-2</v>
      </c>
      <c r="CP105">
        <v>3.9835679999999998E-2</v>
      </c>
      <c r="CQ105">
        <v>4.4443980000000001E-2</v>
      </c>
      <c r="CR105">
        <v>4.2678929999999997E-2</v>
      </c>
      <c r="CS105">
        <v>1.7927619999999998E-2</v>
      </c>
      <c r="CT105">
        <v>5.0010529999999997E-2</v>
      </c>
      <c r="CU105">
        <v>3.5967930000000002E-2</v>
      </c>
      <c r="CV105">
        <v>4.9393600000000003E-2</v>
      </c>
      <c r="CW105">
        <v>0.17817978000000001</v>
      </c>
      <c r="CX105">
        <v>9.6213419999999994E-2</v>
      </c>
      <c r="CY105">
        <v>3.8281000000000003E-2</v>
      </c>
      <c r="CZ105">
        <v>6.3656959999999999E-2</v>
      </c>
      <c r="DA105">
        <v>5.3480720000000002E-2</v>
      </c>
      <c r="DB105">
        <v>4.1688450000000002E-2</v>
      </c>
      <c r="DC105">
        <v>4.2640079999999997E-2</v>
      </c>
      <c r="DD105">
        <v>6.9816080000000003E-2</v>
      </c>
      <c r="DE105">
        <v>3.4945700000000003E-2</v>
      </c>
      <c r="DF105">
        <v>6.0103759999999999E-2</v>
      </c>
      <c r="DG105">
        <v>3.4754729999999998E-2</v>
      </c>
      <c r="DH105">
        <v>2.9403780000000001E-2</v>
      </c>
      <c r="DI105">
        <v>4.945513E-2</v>
      </c>
      <c r="DJ105">
        <v>5.5669370000000003E-2</v>
      </c>
      <c r="DK105">
        <v>5.8764829999999997E-2</v>
      </c>
      <c r="DL105">
        <v>1.9617389999999998E-2</v>
      </c>
      <c r="DM105">
        <v>6.7586530000000006E-2</v>
      </c>
      <c r="DN105">
        <v>5.401802E-2</v>
      </c>
      <c r="DO105">
        <v>1.8042160000000002E-2</v>
      </c>
      <c r="DP105">
        <v>5.9153259999999999E-2</v>
      </c>
      <c r="DQ105">
        <v>4.2068689999999999E-2</v>
      </c>
      <c r="DR105">
        <v>4.312349E-2</v>
      </c>
      <c r="DS105">
        <v>5.613887E-2</v>
      </c>
      <c r="DT105">
        <v>3.9268200000000003E-2</v>
      </c>
      <c r="DU105">
        <v>9.3357140000000005E-2</v>
      </c>
      <c r="DV105">
        <v>6.5718559999999995E-2</v>
      </c>
      <c r="DW105">
        <v>9.9921239999999995E-2</v>
      </c>
      <c r="DX105">
        <v>1.2232460000000001E-2</v>
      </c>
      <c r="DY105">
        <v>0.12277275</v>
      </c>
      <c r="DZ105">
        <v>4.5158280000000002E-2</v>
      </c>
      <c r="EA105">
        <v>5.4477390000000001E-2</v>
      </c>
      <c r="EB105">
        <v>0.10729439</v>
      </c>
      <c r="EC105">
        <v>1.079543E-2</v>
      </c>
      <c r="ED105">
        <v>4.680923E-2</v>
      </c>
      <c r="EE105">
        <v>3.2665850000000003E-2</v>
      </c>
      <c r="EF105">
        <v>2.6213299999999998E-2</v>
      </c>
      <c r="EG105">
        <v>1.0319190000000001E-2</v>
      </c>
      <c r="EH105">
        <v>0.1087236</v>
      </c>
      <c r="EI105">
        <v>1.066331E-2</v>
      </c>
      <c r="EJ105">
        <v>5.5966889999999998E-2</v>
      </c>
      <c r="EK105">
        <v>7.0951689999999998E-2</v>
      </c>
      <c r="EL105">
        <v>8.1856559999999995E-2</v>
      </c>
      <c r="EM105">
        <v>6.9696750000000002E-2</v>
      </c>
      <c r="EN105">
        <v>0.12926599999999999</v>
      </c>
      <c r="EO105">
        <v>0.11097897</v>
      </c>
      <c r="EP105">
        <f t="shared" si="3"/>
        <v>0</v>
      </c>
      <c r="EQ105">
        <f>SUMIF('Mi portafolio'!$A$8:$A$19,$A105,'Mi portafolio'!$B$8:$B$19)</f>
        <v>0</v>
      </c>
    </row>
    <row r="106" spans="1:147" x14ac:dyDescent="0.25">
      <c r="A106" s="34" t="s">
        <v>184</v>
      </c>
      <c r="B106">
        <v>4.6930799999999996E-3</v>
      </c>
      <c r="C106">
        <v>1.05104E-3</v>
      </c>
      <c r="D106">
        <v>-3.3433999999999997E-4</v>
      </c>
      <c r="E106">
        <v>5.3172599999999999E-3</v>
      </c>
      <c r="F106">
        <v>4.4385600000000002E-3</v>
      </c>
      <c r="G106">
        <v>7.1626800000000003E-3</v>
      </c>
      <c r="H106">
        <v>5.6238399999999997E-3</v>
      </c>
      <c r="I106">
        <v>1.471329E-2</v>
      </c>
      <c r="J106">
        <v>5.24567E-3</v>
      </c>
      <c r="K106">
        <v>1.017057E-2</v>
      </c>
      <c r="L106">
        <v>5.98863E-3</v>
      </c>
      <c r="M106">
        <v>3.289541E-2</v>
      </c>
      <c r="N106">
        <v>1.477005E-2</v>
      </c>
      <c r="O106">
        <v>5.4383599999999997E-3</v>
      </c>
      <c r="P106">
        <v>5.7754399999999997E-3</v>
      </c>
      <c r="Q106">
        <v>1.051874E-2</v>
      </c>
      <c r="R106">
        <v>4.9176200000000002E-3</v>
      </c>
      <c r="S106">
        <v>1.1641459999999999E-2</v>
      </c>
      <c r="T106">
        <v>3.4631780000000001E-2</v>
      </c>
      <c r="U106">
        <v>2.09062E-2</v>
      </c>
      <c r="V106">
        <v>2.2281800000000002E-3</v>
      </c>
      <c r="W106">
        <v>1.9704260000000001E-2</v>
      </c>
      <c r="X106">
        <v>3.7754719999999999E-2</v>
      </c>
      <c r="Y106">
        <v>3.1103800000000001E-2</v>
      </c>
      <c r="Z106">
        <v>1.362293E-2</v>
      </c>
      <c r="AA106">
        <v>1.8911890000000001E-2</v>
      </c>
      <c r="AB106">
        <v>3.2462240000000003E-2</v>
      </c>
      <c r="AC106">
        <v>4.8657400000000003E-3</v>
      </c>
      <c r="AD106">
        <v>1.440114E-2</v>
      </c>
      <c r="AE106">
        <v>2.2169299999999999E-2</v>
      </c>
      <c r="AF106">
        <v>1.9018500000000001E-2</v>
      </c>
      <c r="AG106">
        <v>4.4371000000000002E-3</v>
      </c>
      <c r="AH106">
        <v>3.9856000000000001E-4</v>
      </c>
      <c r="AI106">
        <v>-1.065993E-2</v>
      </c>
      <c r="AJ106">
        <v>5.0838999999999995E-4</v>
      </c>
      <c r="AK106">
        <v>2.3424819999999999E-2</v>
      </c>
      <c r="AL106">
        <v>1.9907950000000001E-2</v>
      </c>
      <c r="AM106">
        <v>1.8093140000000001E-2</v>
      </c>
      <c r="AN106">
        <v>3.138813E-2</v>
      </c>
      <c r="AO106">
        <v>1.406635E-2</v>
      </c>
      <c r="AP106">
        <v>3.0369150000000001E-2</v>
      </c>
      <c r="AQ106">
        <v>-1.5314680000000001E-2</v>
      </c>
      <c r="AR106">
        <v>4.1660330000000002E-2</v>
      </c>
      <c r="AS106">
        <v>2.2054190000000001E-2</v>
      </c>
      <c r="AT106">
        <v>4.8085860000000001E-2</v>
      </c>
      <c r="AU106">
        <v>3.9919100000000004E-3</v>
      </c>
      <c r="AV106">
        <v>1.0915569999999999E-2</v>
      </c>
      <c r="AW106">
        <v>1.6300120000000001E-2</v>
      </c>
      <c r="AX106">
        <v>1.270045E-2</v>
      </c>
      <c r="AY106">
        <v>2.471922E-2</v>
      </c>
      <c r="AZ106">
        <v>2.394626E-2</v>
      </c>
      <c r="BA106">
        <v>2.7836130000000001E-2</v>
      </c>
      <c r="BB106">
        <v>5.0752020000000002E-2</v>
      </c>
      <c r="BC106">
        <v>9.4879700000000001E-3</v>
      </c>
      <c r="BD106">
        <v>2.8250669999999999E-2</v>
      </c>
      <c r="BE106">
        <v>1.8410820000000001E-2</v>
      </c>
      <c r="BF106">
        <v>2.193552E-2</v>
      </c>
      <c r="BG106">
        <v>3.3953820000000003E-2</v>
      </c>
      <c r="BH106">
        <v>1.3267340000000001E-2</v>
      </c>
      <c r="BI106">
        <v>8.4160999999999993E-3</v>
      </c>
      <c r="BJ106">
        <v>2.1532000000000001E-3</v>
      </c>
      <c r="BK106">
        <v>2.303666E-2</v>
      </c>
      <c r="BL106">
        <v>4.4030399999999997E-2</v>
      </c>
      <c r="BM106">
        <v>1.841127E-2</v>
      </c>
      <c r="BN106">
        <v>1.358761E-2</v>
      </c>
      <c r="BO106">
        <v>4.6530769999999999E-2</v>
      </c>
      <c r="BP106">
        <v>3.6513120000000003E-2</v>
      </c>
      <c r="BQ106">
        <v>4.8331619999999999E-2</v>
      </c>
      <c r="BR106">
        <v>4.1885480000000003E-2</v>
      </c>
      <c r="BS106">
        <v>-1.5268489999999999E-2</v>
      </c>
      <c r="BT106">
        <v>5.5487439999999999E-2</v>
      </c>
      <c r="BU106">
        <v>2.6663619999999999E-2</v>
      </c>
      <c r="BV106">
        <v>4.6963350000000001E-2</v>
      </c>
      <c r="BW106">
        <v>4.3324330000000001E-2</v>
      </c>
      <c r="BX106">
        <v>8.90524E-3</v>
      </c>
      <c r="BY106">
        <v>5.4687329999999999E-2</v>
      </c>
      <c r="BZ106">
        <v>5.4780870000000002E-2</v>
      </c>
      <c r="CA106">
        <v>4.7092999999999996E-3</v>
      </c>
      <c r="CB106">
        <v>-4.7161099999999999E-3</v>
      </c>
      <c r="CC106">
        <v>2.0674250000000002E-2</v>
      </c>
      <c r="CD106">
        <v>4.0842240000000002E-2</v>
      </c>
      <c r="CE106">
        <v>1.4167630000000001E-2</v>
      </c>
      <c r="CF106">
        <v>-1.8872949999999999E-2</v>
      </c>
      <c r="CG106">
        <v>3.8794809999999999E-2</v>
      </c>
      <c r="CH106">
        <v>4.6775539999999997E-2</v>
      </c>
      <c r="CI106">
        <v>-2.0086469999999999E-2</v>
      </c>
      <c r="CJ106">
        <v>3.00291E-2</v>
      </c>
      <c r="CK106">
        <v>3.2408109999999997E-2</v>
      </c>
      <c r="CL106">
        <v>4.485281E-2</v>
      </c>
      <c r="CM106">
        <v>5.0099169999999998E-2</v>
      </c>
      <c r="CN106">
        <v>1.3619279999999999E-2</v>
      </c>
      <c r="CO106">
        <v>2.2142390000000001E-2</v>
      </c>
      <c r="CP106">
        <v>3.5067189999999998E-2</v>
      </c>
      <c r="CQ106">
        <v>6.5007670000000004E-2</v>
      </c>
      <c r="CR106">
        <v>5.8362230000000001E-2</v>
      </c>
      <c r="CS106">
        <v>5.4877219999999997E-2</v>
      </c>
      <c r="CT106">
        <v>5.6870240000000002E-2</v>
      </c>
      <c r="CU106">
        <v>3.637224E-2</v>
      </c>
      <c r="CV106">
        <v>4.9618210000000003E-2</v>
      </c>
      <c r="CW106">
        <v>9.6213419999999994E-2</v>
      </c>
      <c r="CX106">
        <v>0.18528090999999999</v>
      </c>
      <c r="CY106">
        <v>5.7278229999999999E-2</v>
      </c>
      <c r="CZ106">
        <v>3.7913019999999999E-2</v>
      </c>
      <c r="DA106">
        <v>5.1326259999999999E-2</v>
      </c>
      <c r="DB106">
        <v>7.0850850000000007E-2</v>
      </c>
      <c r="DC106">
        <v>6.1124789999999998E-2</v>
      </c>
      <c r="DD106">
        <v>8.0066399999999996E-2</v>
      </c>
      <c r="DE106">
        <v>6.6385009999999994E-2</v>
      </c>
      <c r="DF106">
        <v>1.410634E-2</v>
      </c>
      <c r="DG106">
        <v>6.8757979999999996E-2</v>
      </c>
      <c r="DH106">
        <v>3.3983319999999997E-2</v>
      </c>
      <c r="DI106">
        <v>6.8925899999999998E-2</v>
      </c>
      <c r="DJ106">
        <v>6.5778530000000002E-2</v>
      </c>
      <c r="DK106">
        <v>8.3461850000000004E-2</v>
      </c>
      <c r="DL106">
        <v>3.3039970000000002E-2</v>
      </c>
      <c r="DM106">
        <v>8.6212339999999998E-2</v>
      </c>
      <c r="DN106">
        <v>3.2010570000000002E-2</v>
      </c>
      <c r="DO106">
        <v>4.3047469999999997E-2</v>
      </c>
      <c r="DP106">
        <v>6.9949010000000006E-2</v>
      </c>
      <c r="DQ106">
        <v>5.089838E-2</v>
      </c>
      <c r="DR106">
        <v>6.2432649999999999E-2</v>
      </c>
      <c r="DS106">
        <v>4.8055349999999997E-2</v>
      </c>
      <c r="DT106">
        <v>4.8398120000000003E-2</v>
      </c>
      <c r="DU106">
        <v>0.12051196</v>
      </c>
      <c r="DV106">
        <v>5.871556E-2</v>
      </c>
      <c r="DW106">
        <v>8.4597179999999994E-2</v>
      </c>
      <c r="DX106">
        <v>6.2339749999999999E-2</v>
      </c>
      <c r="DY106">
        <v>0.10467700000000001</v>
      </c>
      <c r="DZ106">
        <v>1.9420590000000001E-2</v>
      </c>
      <c r="EA106">
        <v>5.9906889999999997E-2</v>
      </c>
      <c r="EB106">
        <v>0.11682442</v>
      </c>
      <c r="EC106">
        <v>4.7247659999999997E-2</v>
      </c>
      <c r="ED106">
        <v>8.3547380000000004E-2</v>
      </c>
      <c r="EE106">
        <v>9.5026830000000007E-2</v>
      </c>
      <c r="EF106">
        <v>6.8514220000000001E-2</v>
      </c>
      <c r="EG106">
        <v>7.1218379999999998E-2</v>
      </c>
      <c r="EH106">
        <v>7.3986399999999994E-2</v>
      </c>
      <c r="EI106">
        <v>8.1508979999999995E-2</v>
      </c>
      <c r="EJ106">
        <v>9.3821119999999994E-2</v>
      </c>
      <c r="EK106">
        <v>0.11832006</v>
      </c>
      <c r="EL106">
        <v>0.1264702</v>
      </c>
      <c r="EM106">
        <v>0.13945874999999999</v>
      </c>
      <c r="EN106">
        <v>0.10097531</v>
      </c>
      <c r="EO106">
        <v>9.8729609999999995E-2</v>
      </c>
      <c r="EP106">
        <f t="shared" si="3"/>
        <v>0</v>
      </c>
      <c r="EQ106">
        <f>SUMIF('Mi portafolio'!$A$8:$A$19,$A106,'Mi portafolio'!$B$8:$B$19)</f>
        <v>0</v>
      </c>
    </row>
    <row r="107" spans="1:147" x14ac:dyDescent="0.25">
      <c r="A107" s="34" t="s">
        <v>185</v>
      </c>
      <c r="B107">
        <v>1.5885710000000001E-2</v>
      </c>
      <c r="C107">
        <v>-5.2125999999999995E-4</v>
      </c>
      <c r="D107">
        <v>1.8425200000000001E-3</v>
      </c>
      <c r="E107">
        <v>1.7190299999999999E-2</v>
      </c>
      <c r="F107">
        <v>1.241834E-2</v>
      </c>
      <c r="G107">
        <v>3.5742E-4</v>
      </c>
      <c r="H107">
        <v>3.3187999999999998E-3</v>
      </c>
      <c r="I107">
        <v>2.23299E-2</v>
      </c>
      <c r="J107">
        <v>7.2212500000000002E-3</v>
      </c>
      <c r="K107">
        <v>2.6729559999999999E-2</v>
      </c>
      <c r="L107">
        <v>8.2165199999999997E-3</v>
      </c>
      <c r="M107">
        <v>4.0576790000000001E-2</v>
      </c>
      <c r="N107">
        <v>2.441486E-2</v>
      </c>
      <c r="O107">
        <v>1.2520130000000001E-2</v>
      </c>
      <c r="P107">
        <v>5.53091E-3</v>
      </c>
      <c r="Q107">
        <v>1.16318E-3</v>
      </c>
      <c r="R107">
        <v>1.249084E-2</v>
      </c>
      <c r="S107">
        <v>4.2507700000000001E-3</v>
      </c>
      <c r="T107">
        <v>4.3365239999999999E-2</v>
      </c>
      <c r="U107">
        <v>1.006104E-2</v>
      </c>
      <c r="V107">
        <v>1.208123E-2</v>
      </c>
      <c r="W107">
        <v>4.7680200000000004E-3</v>
      </c>
      <c r="X107">
        <v>4.564849E-2</v>
      </c>
      <c r="Y107">
        <v>2.9530210000000001E-2</v>
      </c>
      <c r="Z107">
        <v>1.318426E-2</v>
      </c>
      <c r="AA107">
        <v>1.262598E-2</v>
      </c>
      <c r="AB107">
        <v>3.5908830000000003E-2</v>
      </c>
      <c r="AC107">
        <v>8.7007400000000002E-3</v>
      </c>
      <c r="AD107">
        <v>9.60657E-3</v>
      </c>
      <c r="AE107">
        <v>2.942467E-2</v>
      </c>
      <c r="AF107">
        <v>7.7509399999999996E-3</v>
      </c>
      <c r="AG107">
        <v>1.015428E-2</v>
      </c>
      <c r="AH107">
        <v>5.4036900000000001E-3</v>
      </c>
      <c r="AI107">
        <v>-3.0901540000000002E-2</v>
      </c>
      <c r="AJ107">
        <v>6.27298E-3</v>
      </c>
      <c r="AK107">
        <v>2.7074270000000001E-2</v>
      </c>
      <c r="AL107">
        <v>3.2829619999999997E-2</v>
      </c>
      <c r="AM107">
        <v>1.5391810000000001E-2</v>
      </c>
      <c r="AN107">
        <v>5.4023929999999998E-2</v>
      </c>
      <c r="AO107">
        <v>1.4713469999999999E-2</v>
      </c>
      <c r="AP107">
        <v>3.9830499999999998E-2</v>
      </c>
      <c r="AQ107">
        <v>-3.3088140000000002E-2</v>
      </c>
      <c r="AR107">
        <v>4.7510080000000003E-2</v>
      </c>
      <c r="AS107">
        <v>1.2387560000000001E-2</v>
      </c>
      <c r="AT107">
        <v>5.6647709999999997E-2</v>
      </c>
      <c r="AU107">
        <v>1.0556080000000001E-2</v>
      </c>
      <c r="AV107">
        <v>1.6365660000000001E-2</v>
      </c>
      <c r="AW107">
        <v>1.215949E-2</v>
      </c>
      <c r="AX107">
        <v>3.123484E-2</v>
      </c>
      <c r="AY107">
        <v>3.8044040000000001E-2</v>
      </c>
      <c r="AZ107">
        <v>4.0347710000000002E-2</v>
      </c>
      <c r="BA107">
        <v>5.1449340000000003E-2</v>
      </c>
      <c r="BB107">
        <v>7.0400009999999999E-2</v>
      </c>
      <c r="BC107">
        <v>1.1624860000000001E-2</v>
      </c>
      <c r="BD107">
        <v>2.0560470000000001E-2</v>
      </c>
      <c r="BE107">
        <v>2.8272829999999999E-2</v>
      </c>
      <c r="BF107">
        <v>2.351425E-2</v>
      </c>
      <c r="BG107">
        <v>3.3245589999999998E-2</v>
      </c>
      <c r="BH107">
        <v>1.341754E-2</v>
      </c>
      <c r="BI107">
        <v>2.2288899999999999E-3</v>
      </c>
      <c r="BJ107">
        <v>-4.9327099999999999E-3</v>
      </c>
      <c r="BK107">
        <v>2.9931059999999999E-2</v>
      </c>
      <c r="BL107">
        <v>4.7707970000000002E-2</v>
      </c>
      <c r="BM107">
        <v>4.1561210000000001E-2</v>
      </c>
      <c r="BN107">
        <v>2.0003340000000001E-2</v>
      </c>
      <c r="BO107">
        <v>5.0888410000000002E-2</v>
      </c>
      <c r="BP107">
        <v>1.98453E-3</v>
      </c>
      <c r="BQ107">
        <v>3.3960039999999997E-2</v>
      </c>
      <c r="BR107">
        <v>4.9797559999999998E-2</v>
      </c>
      <c r="BS107">
        <v>-3.888167E-2</v>
      </c>
      <c r="BT107">
        <v>7.4864050000000001E-2</v>
      </c>
      <c r="BU107">
        <v>2.2336559999999998E-2</v>
      </c>
      <c r="BV107">
        <v>4.2525840000000002E-2</v>
      </c>
      <c r="BW107">
        <v>5.5221200000000002E-3</v>
      </c>
      <c r="BX107">
        <v>2.114489E-2</v>
      </c>
      <c r="BY107">
        <v>6.8537529999999999E-2</v>
      </c>
      <c r="BZ107">
        <v>5.5591330000000001E-2</v>
      </c>
      <c r="CA107">
        <v>1.2399200000000001E-2</v>
      </c>
      <c r="CB107">
        <v>-4.9800699999999996E-3</v>
      </c>
      <c r="CC107">
        <v>2.0470450000000001E-2</v>
      </c>
      <c r="CD107">
        <v>3.5966520000000002E-2</v>
      </c>
      <c r="CE107">
        <v>2.6133569999999998E-2</v>
      </c>
      <c r="CF107">
        <v>-4.7470270000000002E-2</v>
      </c>
      <c r="CG107">
        <v>5.7426970000000001E-2</v>
      </c>
      <c r="CH107">
        <v>5.345486E-2</v>
      </c>
      <c r="CI107">
        <v>-5.0827110000000002E-2</v>
      </c>
      <c r="CJ107">
        <v>4.7564999999999999E-4</v>
      </c>
      <c r="CK107">
        <v>5.0518889999999997E-2</v>
      </c>
      <c r="CL107">
        <v>5.9106850000000002E-2</v>
      </c>
      <c r="CM107">
        <v>3.4371659999999998E-2</v>
      </c>
      <c r="CN107">
        <v>1.112316E-2</v>
      </c>
      <c r="CO107">
        <v>2.444445E-2</v>
      </c>
      <c r="CP107">
        <v>5.9243400000000002E-3</v>
      </c>
      <c r="CQ107">
        <v>0.13787226</v>
      </c>
      <c r="CR107">
        <v>5.8955790000000001E-2</v>
      </c>
      <c r="CS107">
        <v>7.2570979999999993E-2</v>
      </c>
      <c r="CT107">
        <v>5.0443399999999999E-2</v>
      </c>
      <c r="CU107">
        <v>2.747608E-2</v>
      </c>
      <c r="CV107">
        <v>6.0214940000000002E-2</v>
      </c>
      <c r="CW107">
        <v>3.8281000000000003E-2</v>
      </c>
      <c r="CX107">
        <v>5.7278229999999999E-2</v>
      </c>
      <c r="CY107">
        <v>0.19886646999999999</v>
      </c>
      <c r="CZ107">
        <v>1.869875E-2</v>
      </c>
      <c r="DA107">
        <v>2.818654E-2</v>
      </c>
      <c r="DB107">
        <v>5.0646450000000003E-2</v>
      </c>
      <c r="DC107">
        <v>9.6673830000000002E-2</v>
      </c>
      <c r="DD107">
        <v>6.0125400000000002E-2</v>
      </c>
      <c r="DE107">
        <v>7.1575070000000005E-2</v>
      </c>
      <c r="DF107">
        <v>1.1804999999999999E-3</v>
      </c>
      <c r="DG107">
        <v>4.9537530000000003E-2</v>
      </c>
      <c r="DH107">
        <v>4.0278880000000003E-2</v>
      </c>
      <c r="DI107">
        <v>0.15783575</v>
      </c>
      <c r="DJ107">
        <v>0.14738237000000001</v>
      </c>
      <c r="DK107">
        <v>0.16208547000000001</v>
      </c>
      <c r="DL107">
        <v>2.151755E-2</v>
      </c>
      <c r="DM107">
        <v>0.15798134</v>
      </c>
      <c r="DN107">
        <v>5.1525750000000002E-2</v>
      </c>
      <c r="DO107">
        <v>6.8070580000000006E-2</v>
      </c>
      <c r="DP107">
        <v>0.16114814</v>
      </c>
      <c r="DQ107">
        <v>4.5987970000000003E-2</v>
      </c>
      <c r="DR107">
        <v>3.0442940000000002E-2</v>
      </c>
      <c r="DS107">
        <v>1.9896420000000001E-2</v>
      </c>
      <c r="DT107">
        <v>2.7371240000000002E-2</v>
      </c>
      <c r="DU107">
        <v>8.1275589999999995E-2</v>
      </c>
      <c r="DV107">
        <v>3.012625E-2</v>
      </c>
      <c r="DW107">
        <v>7.2108889999999995E-2</v>
      </c>
      <c r="DX107">
        <v>8.7544640000000007E-2</v>
      </c>
      <c r="DY107">
        <v>9.9479049999999999E-2</v>
      </c>
      <c r="DZ107">
        <v>1.029132E-2</v>
      </c>
      <c r="EA107">
        <v>6.7631230000000001E-2</v>
      </c>
      <c r="EB107">
        <v>0.11045795999999999</v>
      </c>
      <c r="EC107">
        <v>1.9131240000000001E-2</v>
      </c>
      <c r="ED107">
        <v>7.0581389999999994E-2</v>
      </c>
      <c r="EE107">
        <v>8.2294619999999999E-2</v>
      </c>
      <c r="EF107">
        <v>7.969511E-2</v>
      </c>
      <c r="EG107">
        <v>9.2682799999999996E-2</v>
      </c>
      <c r="EH107">
        <v>5.4670160000000002E-2</v>
      </c>
      <c r="EI107">
        <v>8.434672E-2</v>
      </c>
      <c r="EJ107">
        <v>0.12330326</v>
      </c>
      <c r="EK107">
        <v>7.8660270000000004E-2</v>
      </c>
      <c r="EL107">
        <v>0.11126319</v>
      </c>
      <c r="EM107">
        <v>5.4097739999999998E-2</v>
      </c>
      <c r="EN107">
        <v>7.3047000000000001E-2</v>
      </c>
      <c r="EO107">
        <v>9.5535659999999994E-2</v>
      </c>
      <c r="EP107">
        <f t="shared" si="3"/>
        <v>0</v>
      </c>
      <c r="EQ107">
        <f>SUMIF('Mi portafolio'!$A$8:$A$19,$A107,'Mi portafolio'!$B$8:$B$19)</f>
        <v>0</v>
      </c>
    </row>
    <row r="108" spans="1:147" x14ac:dyDescent="0.25">
      <c r="A108" s="34" t="s">
        <v>186</v>
      </c>
      <c r="B108">
        <v>7.5981699999999996E-3</v>
      </c>
      <c r="C108">
        <v>-1.084357E-2</v>
      </c>
      <c r="D108">
        <v>1.064417E-2</v>
      </c>
      <c r="E108">
        <v>4.6717900000000003E-3</v>
      </c>
      <c r="F108">
        <v>1.98541E-3</v>
      </c>
      <c r="G108">
        <v>-1.040935E-2</v>
      </c>
      <c r="H108">
        <v>1.009375E-2</v>
      </c>
      <c r="I108">
        <v>8.5189500000000008E-3</v>
      </c>
      <c r="J108">
        <v>4.0612699999999996E-3</v>
      </c>
      <c r="K108">
        <v>8.6876E-4</v>
      </c>
      <c r="L108">
        <v>1.328026E-2</v>
      </c>
      <c r="M108">
        <v>1.0651300000000001E-2</v>
      </c>
      <c r="N108">
        <v>1.9654339999999999E-2</v>
      </c>
      <c r="O108">
        <v>-7.4414999999999995E-4</v>
      </c>
      <c r="P108">
        <v>1.3348759999999999E-2</v>
      </c>
      <c r="Q108">
        <v>4.4996000000000001E-4</v>
      </c>
      <c r="R108">
        <v>1.0752329999999999E-2</v>
      </c>
      <c r="S108">
        <v>1.060143E-2</v>
      </c>
      <c r="T108">
        <v>1.6005990000000001E-2</v>
      </c>
      <c r="U108">
        <v>1.7548810000000001E-2</v>
      </c>
      <c r="V108">
        <v>-3.2407099999999999E-3</v>
      </c>
      <c r="W108">
        <v>-4.0944299999999996E-3</v>
      </c>
      <c r="X108">
        <v>1.4435709999999999E-2</v>
      </c>
      <c r="Y108">
        <v>2.681948E-2</v>
      </c>
      <c r="Z108">
        <v>4.3197299999999999E-3</v>
      </c>
      <c r="AA108">
        <v>9.27096E-3</v>
      </c>
      <c r="AB108">
        <v>2.4798939999999998E-2</v>
      </c>
      <c r="AC108">
        <v>-5.2235399999999996E-3</v>
      </c>
      <c r="AD108">
        <v>-5.4498999999999997E-3</v>
      </c>
      <c r="AE108">
        <v>3.2400599999999999E-3</v>
      </c>
      <c r="AF108">
        <v>1.082137E-2</v>
      </c>
      <c r="AG108">
        <v>7.1427900000000004E-3</v>
      </c>
      <c r="AH108">
        <v>9.7914000000000005E-3</v>
      </c>
      <c r="AI108">
        <v>1.186092E-2</v>
      </c>
      <c r="AJ108">
        <v>4.6434099999999997E-3</v>
      </c>
      <c r="AK108">
        <v>1.3189300000000001E-3</v>
      </c>
      <c r="AL108">
        <v>2.6366500000000001E-2</v>
      </c>
      <c r="AM108">
        <v>2.0304139999999998E-2</v>
      </c>
      <c r="AN108">
        <v>1.7166210000000001E-2</v>
      </c>
      <c r="AO108">
        <v>3.3239799999999998E-3</v>
      </c>
      <c r="AP108">
        <v>1.8286770000000001E-2</v>
      </c>
      <c r="AQ108">
        <v>2.7649599999999999E-3</v>
      </c>
      <c r="AR108">
        <v>2.2958059999999999E-2</v>
      </c>
      <c r="AS108">
        <v>8.8672400000000002E-3</v>
      </c>
      <c r="AT108">
        <v>2.445375E-2</v>
      </c>
      <c r="AU108">
        <v>8.3317400000000007E-3</v>
      </c>
      <c r="AV108">
        <v>2.9045999999999998E-3</v>
      </c>
      <c r="AW108">
        <v>1.6259240000000001E-2</v>
      </c>
      <c r="AX108">
        <v>1.4528009999999999E-2</v>
      </c>
      <c r="AY108">
        <v>1.937703E-2</v>
      </c>
      <c r="AZ108">
        <v>1.608592E-2</v>
      </c>
      <c r="BA108">
        <v>6.3810799999999999E-3</v>
      </c>
      <c r="BB108">
        <v>2.3943610000000001E-2</v>
      </c>
      <c r="BC108">
        <v>1.6104199999999999E-2</v>
      </c>
      <c r="BD108">
        <v>1.987061E-2</v>
      </c>
      <c r="BE108">
        <v>1.6785540000000002E-2</v>
      </c>
      <c r="BF108">
        <v>9.7664399999999995E-3</v>
      </c>
      <c r="BG108">
        <v>2.256969E-2</v>
      </c>
      <c r="BH108">
        <v>4.76707E-3</v>
      </c>
      <c r="BI108">
        <v>1.1147600000000001E-2</v>
      </c>
      <c r="BJ108">
        <v>-2.8837899999999998E-3</v>
      </c>
      <c r="BK108">
        <v>6.9164300000000003E-3</v>
      </c>
      <c r="BL108">
        <v>1.272888E-2</v>
      </c>
      <c r="BM108">
        <v>2.2323969999999999E-2</v>
      </c>
      <c r="BN108">
        <v>-6.0308799999999997E-3</v>
      </c>
      <c r="BO108">
        <v>3.1618979999999998E-2</v>
      </c>
      <c r="BP108">
        <v>6.0357309999999997E-2</v>
      </c>
      <c r="BQ108">
        <v>1.0776529999999999E-2</v>
      </c>
      <c r="BR108">
        <v>2.7946740000000001E-2</v>
      </c>
      <c r="BS108">
        <v>1.203941E-2</v>
      </c>
      <c r="BT108">
        <v>-4.8974000000000001E-4</v>
      </c>
      <c r="BU108">
        <v>2.4967570000000001E-2</v>
      </c>
      <c r="BV108">
        <v>4.4546639999999998E-2</v>
      </c>
      <c r="BW108">
        <v>3.5428429999999997E-2</v>
      </c>
      <c r="BX108">
        <v>2.2769259999999999E-2</v>
      </c>
      <c r="BY108">
        <v>2.6327960000000001E-2</v>
      </c>
      <c r="BZ108">
        <v>2.3983930000000001E-2</v>
      </c>
      <c r="CA108">
        <v>4.3319099999999996E-3</v>
      </c>
      <c r="CB108">
        <v>6.2033599999999998E-3</v>
      </c>
      <c r="CC108">
        <v>1.7627859999999999E-2</v>
      </c>
      <c r="CD108">
        <v>3.7388310000000001E-2</v>
      </c>
      <c r="CE108">
        <v>2.7379000000000001E-2</v>
      </c>
      <c r="CF108">
        <v>1.677294E-2</v>
      </c>
      <c r="CG108">
        <v>5.2728190000000001E-2</v>
      </c>
      <c r="CH108">
        <v>7.7041100000000001E-3</v>
      </c>
      <c r="CI108">
        <v>1.4295830000000001E-2</v>
      </c>
      <c r="CJ108">
        <v>2.3683740000000002E-2</v>
      </c>
      <c r="CK108">
        <v>3.4510819999999998E-2</v>
      </c>
      <c r="CL108">
        <v>2.2653409999999999E-2</v>
      </c>
      <c r="CM108">
        <v>3.1919490000000002E-2</v>
      </c>
      <c r="CN108">
        <v>2.235463E-2</v>
      </c>
      <c r="CO108">
        <v>1.245604E-2</v>
      </c>
      <c r="CP108">
        <v>3.3531329999999998E-2</v>
      </c>
      <c r="CQ108">
        <v>3.1782320000000003E-2</v>
      </c>
      <c r="CR108">
        <v>1.5731040000000002E-2</v>
      </c>
      <c r="CS108">
        <v>1.7846299999999999E-3</v>
      </c>
      <c r="CT108">
        <v>4.7384139999999998E-2</v>
      </c>
      <c r="CU108">
        <v>2.7958529999999999E-2</v>
      </c>
      <c r="CV108">
        <v>3.2182250000000003E-2</v>
      </c>
      <c r="CW108">
        <v>6.3656959999999999E-2</v>
      </c>
      <c r="CX108">
        <v>3.7913019999999999E-2</v>
      </c>
      <c r="CY108">
        <v>1.869875E-2</v>
      </c>
      <c r="CZ108">
        <v>0.20605197</v>
      </c>
      <c r="DA108">
        <v>6.60496E-2</v>
      </c>
      <c r="DB108">
        <v>4.6652529999999998E-2</v>
      </c>
      <c r="DC108">
        <v>2.1948039999999999E-2</v>
      </c>
      <c r="DD108">
        <v>6.8260689999999999E-2</v>
      </c>
      <c r="DE108">
        <v>8.9882799999999995E-3</v>
      </c>
      <c r="DF108">
        <v>0.12326346000000001</v>
      </c>
      <c r="DG108">
        <v>1.2628159999999999E-2</v>
      </c>
      <c r="DH108">
        <v>3.8412549999999997E-2</v>
      </c>
      <c r="DI108">
        <v>3.3645700000000001E-2</v>
      </c>
      <c r="DJ108">
        <v>4.0410050000000003E-2</v>
      </c>
      <c r="DK108">
        <v>2.974454E-2</v>
      </c>
      <c r="DL108">
        <v>1.1809679999999999E-2</v>
      </c>
      <c r="DM108">
        <v>4.0687099999999997E-2</v>
      </c>
      <c r="DN108">
        <v>5.921614E-2</v>
      </c>
      <c r="DO108">
        <v>4.7330909999999997E-2</v>
      </c>
      <c r="DP108">
        <v>3.6954809999999998E-2</v>
      </c>
      <c r="DQ108">
        <v>4.1246640000000001E-2</v>
      </c>
      <c r="DR108">
        <v>2.8354210000000001E-2</v>
      </c>
      <c r="DS108">
        <v>8.2160789999999997E-2</v>
      </c>
      <c r="DT108">
        <v>8.1303749999999994E-2</v>
      </c>
      <c r="DU108">
        <v>6.2912360000000001E-2</v>
      </c>
      <c r="DV108">
        <v>9.2554339999999999E-2</v>
      </c>
      <c r="DW108">
        <v>9.3219529999999995E-2</v>
      </c>
      <c r="DX108">
        <v>8.9974300000000007E-3</v>
      </c>
      <c r="DY108">
        <v>6.7349679999999995E-2</v>
      </c>
      <c r="DZ108">
        <v>0.14346713</v>
      </c>
      <c r="EA108">
        <v>1.8513500000000001E-3</v>
      </c>
      <c r="EB108">
        <v>8.8767810000000003E-2</v>
      </c>
      <c r="EC108">
        <v>-3.1064E-3</v>
      </c>
      <c r="ED108">
        <v>4.4129920000000003E-2</v>
      </c>
      <c r="EE108">
        <v>1.421789E-2</v>
      </c>
      <c r="EF108">
        <v>1.443583E-2</v>
      </c>
      <c r="EG108">
        <v>2.4009329999999999E-2</v>
      </c>
      <c r="EH108">
        <v>0.10410792000000001</v>
      </c>
      <c r="EI108">
        <v>1.0330700000000001E-3</v>
      </c>
      <c r="EJ108">
        <v>7.6575550000000006E-2</v>
      </c>
      <c r="EK108">
        <v>4.9157310000000003E-2</v>
      </c>
      <c r="EL108">
        <v>2.882622E-2</v>
      </c>
      <c r="EM108">
        <v>7.8951590000000002E-2</v>
      </c>
      <c r="EN108">
        <v>6.1721499999999999E-2</v>
      </c>
      <c r="EO108">
        <v>6.4316209999999999E-2</v>
      </c>
      <c r="EP108">
        <f t="shared" si="3"/>
        <v>0</v>
      </c>
      <c r="EQ108">
        <f>SUMIF('Mi portafolio'!$A$8:$A$19,$A108,'Mi portafolio'!$B$8:$B$19)</f>
        <v>0</v>
      </c>
    </row>
    <row r="109" spans="1:147" x14ac:dyDescent="0.25">
      <c r="A109" s="34" t="s">
        <v>187</v>
      </c>
      <c r="B109">
        <v>8.6499200000000002E-3</v>
      </c>
      <c r="C109">
        <v>-1.1513300000000001E-3</v>
      </c>
      <c r="D109">
        <v>1.554343E-2</v>
      </c>
      <c r="E109">
        <v>-2.6258100000000001E-3</v>
      </c>
      <c r="F109">
        <v>5.8132899999999996E-3</v>
      </c>
      <c r="G109">
        <v>-9.0830600000000004E-3</v>
      </c>
      <c r="H109">
        <v>4.8637300000000001E-3</v>
      </c>
      <c r="I109">
        <v>1.116933E-2</v>
      </c>
      <c r="J109">
        <v>5.5546999999999997E-4</v>
      </c>
      <c r="K109">
        <v>1.2200859999999999E-2</v>
      </c>
      <c r="L109">
        <v>1.035284E-2</v>
      </c>
      <c r="M109">
        <v>1.5896250000000001E-2</v>
      </c>
      <c r="N109">
        <v>3.5991710000000003E-2</v>
      </c>
      <c r="O109">
        <v>-1.3926529999999999E-2</v>
      </c>
      <c r="P109">
        <v>1.1001199999999999E-2</v>
      </c>
      <c r="Q109">
        <v>1.4250999999999999E-4</v>
      </c>
      <c r="R109">
        <v>3.0858600000000002E-3</v>
      </c>
      <c r="S109">
        <v>9.8788000000000001E-3</v>
      </c>
      <c r="T109">
        <v>1.434481E-2</v>
      </c>
      <c r="U109">
        <v>1.7062799999999999E-3</v>
      </c>
      <c r="V109">
        <v>-2.7807999999999999E-4</v>
      </c>
      <c r="W109">
        <v>-1.280918E-2</v>
      </c>
      <c r="X109">
        <v>1.4804039999999999E-2</v>
      </c>
      <c r="Y109">
        <v>3.5567960000000003E-2</v>
      </c>
      <c r="Z109">
        <v>5.4025999999999998E-4</v>
      </c>
      <c r="AA109">
        <v>-5.2063999999999999E-3</v>
      </c>
      <c r="AB109">
        <v>3.3443359999999998E-2</v>
      </c>
      <c r="AC109">
        <v>-1.110153E-2</v>
      </c>
      <c r="AD109">
        <v>-2.3225899999999998E-3</v>
      </c>
      <c r="AE109">
        <v>7.4810999999999996E-4</v>
      </c>
      <c r="AF109">
        <v>-1.543045E-2</v>
      </c>
      <c r="AG109">
        <v>1.047786E-2</v>
      </c>
      <c r="AH109">
        <v>5.4298799999999998E-3</v>
      </c>
      <c r="AI109">
        <v>1.4023499999999999E-3</v>
      </c>
      <c r="AJ109">
        <v>6.6631999999999998E-4</v>
      </c>
      <c r="AK109">
        <v>-1.1618679999999999E-2</v>
      </c>
      <c r="AL109">
        <v>3.1399490000000002E-2</v>
      </c>
      <c r="AM109">
        <v>1.182215E-2</v>
      </c>
      <c r="AN109">
        <v>2.539887E-2</v>
      </c>
      <c r="AO109">
        <v>2.2329990000000001E-2</v>
      </c>
      <c r="AP109">
        <v>3.682763E-2</v>
      </c>
      <c r="AQ109">
        <v>-7.273E-3</v>
      </c>
      <c r="AR109">
        <v>1.8930900000000001E-2</v>
      </c>
      <c r="AS109">
        <v>7.9285899999999992E-3</v>
      </c>
      <c r="AT109">
        <v>3.6892389999999997E-2</v>
      </c>
      <c r="AU109">
        <v>-1.8336699999999999E-3</v>
      </c>
      <c r="AV109">
        <v>3.4349699999999999E-3</v>
      </c>
      <c r="AW109">
        <v>3.4790799999999998E-3</v>
      </c>
      <c r="AX109">
        <v>2.5974460000000001E-2</v>
      </c>
      <c r="AY109">
        <v>2.1593810000000001E-2</v>
      </c>
      <c r="AZ109">
        <v>1.148032E-2</v>
      </c>
      <c r="BA109">
        <v>7.6352099999999999E-3</v>
      </c>
      <c r="BB109">
        <v>2.1538910000000001E-2</v>
      </c>
      <c r="BC109">
        <v>4.1929899999999997E-3</v>
      </c>
      <c r="BD109">
        <v>1.1453690000000001E-2</v>
      </c>
      <c r="BE109">
        <v>1.8491469999999999E-2</v>
      </c>
      <c r="BF109">
        <v>1.244819E-2</v>
      </c>
      <c r="BG109">
        <v>4.8641759999999999E-2</v>
      </c>
      <c r="BH109">
        <v>1.7259469999999999E-2</v>
      </c>
      <c r="BI109">
        <v>-5.3450999999999998E-4</v>
      </c>
      <c r="BJ109">
        <v>-1.486116E-2</v>
      </c>
      <c r="BK109">
        <v>6.0435000000000003E-4</v>
      </c>
      <c r="BL109">
        <v>1.332915E-2</v>
      </c>
      <c r="BM109">
        <v>3.2559589999999999E-2</v>
      </c>
      <c r="BN109">
        <v>1.1100799999999999E-2</v>
      </c>
      <c r="BO109">
        <v>2.68509E-2</v>
      </c>
      <c r="BP109">
        <v>4.7894319999999997E-2</v>
      </c>
      <c r="BQ109">
        <v>1.4119420000000001E-2</v>
      </c>
      <c r="BR109">
        <v>2.3283120000000001E-2</v>
      </c>
      <c r="BS109">
        <v>1.5343900000000001E-3</v>
      </c>
      <c r="BT109">
        <v>1.99253E-2</v>
      </c>
      <c r="BU109">
        <v>-3.5367699999999998E-3</v>
      </c>
      <c r="BV109">
        <v>4.1880939999999998E-2</v>
      </c>
      <c r="BW109">
        <v>1.8619859999999998E-2</v>
      </c>
      <c r="BX109">
        <v>2.6240719999999999E-2</v>
      </c>
      <c r="BY109">
        <v>2.905926E-2</v>
      </c>
      <c r="BZ109">
        <v>3.5255599999999998E-2</v>
      </c>
      <c r="CA109">
        <v>9.9148699999999992E-3</v>
      </c>
      <c r="CB109">
        <v>-2.9957299999999998E-3</v>
      </c>
      <c r="CC109">
        <v>2.3359540000000002E-2</v>
      </c>
      <c r="CD109">
        <v>5.26574E-2</v>
      </c>
      <c r="CE109">
        <v>4.0695999999999996E-3</v>
      </c>
      <c r="CF109">
        <v>-5.1519199999999999E-3</v>
      </c>
      <c r="CG109">
        <v>6.1144280000000002E-2</v>
      </c>
      <c r="CH109">
        <v>-6.3471600000000001E-3</v>
      </c>
      <c r="CI109">
        <v>-1.3176100000000001E-3</v>
      </c>
      <c r="CJ109">
        <v>4.8486130000000002E-2</v>
      </c>
      <c r="CK109">
        <v>3.9070540000000001E-2</v>
      </c>
      <c r="CL109">
        <v>3.0469260000000001E-2</v>
      </c>
      <c r="CM109">
        <v>4.0991430000000002E-2</v>
      </c>
      <c r="CN109">
        <v>-2.4396000000000001E-3</v>
      </c>
      <c r="CO109">
        <v>3.010094E-2</v>
      </c>
      <c r="CP109">
        <v>3.5306549999999999E-2</v>
      </c>
      <c r="CQ109">
        <v>3.3172819999999999E-2</v>
      </c>
      <c r="CR109">
        <v>2.5731790000000001E-2</v>
      </c>
      <c r="CS109">
        <v>-2.8583999999999999E-4</v>
      </c>
      <c r="CT109">
        <v>5.9537680000000003E-2</v>
      </c>
      <c r="CU109">
        <v>3.6022539999999999E-2</v>
      </c>
      <c r="CV109">
        <v>4.1991380000000002E-2</v>
      </c>
      <c r="CW109">
        <v>5.3480720000000002E-2</v>
      </c>
      <c r="CX109">
        <v>5.1326259999999999E-2</v>
      </c>
      <c r="CY109">
        <v>2.818654E-2</v>
      </c>
      <c r="CZ109">
        <v>6.60496E-2</v>
      </c>
      <c r="DA109">
        <v>0.20472679999999999</v>
      </c>
      <c r="DB109">
        <v>3.6970540000000003E-2</v>
      </c>
      <c r="DC109">
        <v>1.42621E-2</v>
      </c>
      <c r="DD109">
        <v>9.495257E-2</v>
      </c>
      <c r="DE109">
        <v>8.6346900000000004E-3</v>
      </c>
      <c r="DF109">
        <v>6.6540349999999998E-2</v>
      </c>
      <c r="DG109">
        <v>2.6610720000000001E-2</v>
      </c>
      <c r="DH109">
        <v>2.4403310000000001E-2</v>
      </c>
      <c r="DI109">
        <v>3.0148790000000002E-2</v>
      </c>
      <c r="DJ109">
        <v>5.0343949999999998E-2</v>
      </c>
      <c r="DK109">
        <v>3.524774E-2</v>
      </c>
      <c r="DL109">
        <v>3.2799600000000002E-3</v>
      </c>
      <c r="DM109">
        <v>5.1316809999999997E-2</v>
      </c>
      <c r="DN109">
        <v>8.2844899999999999E-2</v>
      </c>
      <c r="DO109">
        <v>3.5342680000000001E-2</v>
      </c>
      <c r="DP109">
        <v>6.1622370000000003E-2</v>
      </c>
      <c r="DQ109">
        <v>2.19601E-2</v>
      </c>
      <c r="DR109">
        <v>1.2678750000000001E-2</v>
      </c>
      <c r="DS109">
        <v>5.1656489999999999E-2</v>
      </c>
      <c r="DT109">
        <v>5.1849989999999999E-2</v>
      </c>
      <c r="DU109">
        <v>8.0070260000000004E-2</v>
      </c>
      <c r="DV109">
        <v>4.8648480000000001E-2</v>
      </c>
      <c r="DW109">
        <v>0.11252939000000001</v>
      </c>
      <c r="DX109">
        <v>9.4585499999999996E-3</v>
      </c>
      <c r="DY109">
        <v>8.9429560000000005E-2</v>
      </c>
      <c r="DZ109">
        <v>6.1903850000000003E-2</v>
      </c>
      <c r="EA109">
        <v>3.9870379999999997E-2</v>
      </c>
      <c r="EB109">
        <v>9.4381140000000002E-2</v>
      </c>
      <c r="EC109">
        <v>-4.7724200000000003E-3</v>
      </c>
      <c r="ED109">
        <v>6.6323289999999993E-2</v>
      </c>
      <c r="EE109">
        <v>2.8627699999999999E-2</v>
      </c>
      <c r="EF109">
        <v>3.1207550000000001E-2</v>
      </c>
      <c r="EG109">
        <v>1.1239900000000001E-3</v>
      </c>
      <c r="EH109">
        <v>0.13803890999999999</v>
      </c>
      <c r="EI109">
        <v>-5.1089100000000004E-3</v>
      </c>
      <c r="EJ109">
        <v>0.1220212</v>
      </c>
      <c r="EK109">
        <v>9.1585100000000003E-2</v>
      </c>
      <c r="EL109">
        <v>5.7045430000000001E-2</v>
      </c>
      <c r="EM109">
        <v>5.5119139999999997E-2</v>
      </c>
      <c r="EN109">
        <v>7.1780189999999994E-2</v>
      </c>
      <c r="EO109">
        <v>9.3865069999999995E-2</v>
      </c>
      <c r="EP109">
        <f t="shared" si="3"/>
        <v>0</v>
      </c>
      <c r="EQ109">
        <f>SUMIF('Mi portafolio'!$A$8:$A$19,$A109,'Mi portafolio'!$B$8:$B$19)</f>
        <v>0</v>
      </c>
    </row>
    <row r="110" spans="1:147" x14ac:dyDescent="0.25">
      <c r="A110" s="34" t="s">
        <v>188</v>
      </c>
      <c r="B110">
        <v>-7.5519999999999995E-5</v>
      </c>
      <c r="C110">
        <v>3.7139E-3</v>
      </c>
      <c r="D110">
        <v>8.7203599999999999E-3</v>
      </c>
      <c r="E110">
        <v>1.7844800000000001E-2</v>
      </c>
      <c r="F110">
        <v>-7.3662600000000003E-3</v>
      </c>
      <c r="G110">
        <v>7.4929200000000001E-3</v>
      </c>
      <c r="H110">
        <v>1.201632E-2</v>
      </c>
      <c r="I110">
        <v>-3.0704E-3</v>
      </c>
      <c r="J110">
        <v>-8.4036400000000004E-3</v>
      </c>
      <c r="K110">
        <v>-2.0833399999999999E-3</v>
      </c>
      <c r="L110">
        <v>1.2443330000000001E-2</v>
      </c>
      <c r="M110">
        <v>3.058433E-2</v>
      </c>
      <c r="N110">
        <v>1.38079E-2</v>
      </c>
      <c r="O110">
        <v>1.2731360000000001E-2</v>
      </c>
      <c r="P110">
        <v>-7.1626499999999996E-3</v>
      </c>
      <c r="Q110">
        <v>7.7903E-3</v>
      </c>
      <c r="R110">
        <v>-3.8120599999999999E-3</v>
      </c>
      <c r="S110">
        <v>2.9979E-3</v>
      </c>
      <c r="T110">
        <v>1.977069E-2</v>
      </c>
      <c r="U110">
        <v>2.8189889999999999E-2</v>
      </c>
      <c r="V110">
        <v>1.4162900000000001E-2</v>
      </c>
      <c r="W110">
        <v>1.7524830000000002E-2</v>
      </c>
      <c r="X110">
        <v>1.9734890000000001E-2</v>
      </c>
      <c r="Y110">
        <v>3.4796599999999999E-3</v>
      </c>
      <c r="Z110">
        <v>1.553596E-2</v>
      </c>
      <c r="AA110">
        <v>6.2076800000000001E-3</v>
      </c>
      <c r="AB110">
        <v>1.8130799999999999E-3</v>
      </c>
      <c r="AC110">
        <v>1.76417E-2</v>
      </c>
      <c r="AD110">
        <v>1.355614E-2</v>
      </c>
      <c r="AE110">
        <v>1.4891980000000001E-2</v>
      </c>
      <c r="AF110">
        <v>3.0649559999999999E-2</v>
      </c>
      <c r="AG110">
        <v>-9.8406799999999992E-3</v>
      </c>
      <c r="AH110">
        <v>-3.00556E-3</v>
      </c>
      <c r="AI110">
        <v>-9.1770399999999992E-3</v>
      </c>
      <c r="AJ110">
        <v>1.174241E-2</v>
      </c>
      <c r="AK110">
        <v>2.2229140000000001E-2</v>
      </c>
      <c r="AL110">
        <v>2.5681470000000001E-2</v>
      </c>
      <c r="AM110">
        <v>2.0242050000000001E-2</v>
      </c>
      <c r="AN110">
        <v>2.218026E-2</v>
      </c>
      <c r="AO110">
        <v>-5.4530500000000001E-3</v>
      </c>
      <c r="AP110">
        <v>2.4279019999999998E-2</v>
      </c>
      <c r="AQ110">
        <v>-1.534805E-2</v>
      </c>
      <c r="AR110">
        <v>1.6580770000000002E-2</v>
      </c>
      <c r="AS110">
        <v>2.6114519999999999E-2</v>
      </c>
      <c r="AT110">
        <v>3.89539E-2</v>
      </c>
      <c r="AU110">
        <v>-2.3565399999999999E-3</v>
      </c>
      <c r="AV110">
        <v>3.0647629999999999E-2</v>
      </c>
      <c r="AW110">
        <v>3.3657409999999999E-2</v>
      </c>
      <c r="AX110">
        <v>1.2244929999999999E-2</v>
      </c>
      <c r="AY110">
        <v>1.347747E-2</v>
      </c>
      <c r="AZ110">
        <v>2.4540269999999999E-2</v>
      </c>
      <c r="BA110">
        <v>2.2400090000000001E-2</v>
      </c>
      <c r="BB110">
        <v>5.0013599999999998E-2</v>
      </c>
      <c r="BC110">
        <v>2.2688030000000001E-2</v>
      </c>
      <c r="BD110">
        <v>2.2933350000000002E-2</v>
      </c>
      <c r="BE110">
        <v>4.5761500000000002E-3</v>
      </c>
      <c r="BF110">
        <v>3.3099829999999997E-2</v>
      </c>
      <c r="BG110">
        <v>7.7546799999999999E-3</v>
      </c>
      <c r="BH110">
        <v>3.963676E-2</v>
      </c>
      <c r="BI110">
        <v>2.1204580000000001E-2</v>
      </c>
      <c r="BJ110">
        <v>6.5811799999999998E-3</v>
      </c>
      <c r="BK110">
        <v>2.865034E-2</v>
      </c>
      <c r="BL110">
        <v>3.8053339999999998E-2</v>
      </c>
      <c r="BM110">
        <v>1.0224789999999999E-2</v>
      </c>
      <c r="BN110">
        <v>7.4208599999999996E-3</v>
      </c>
      <c r="BO110">
        <v>6.4582059999999997E-2</v>
      </c>
      <c r="BP110">
        <v>3.8956820000000003E-2</v>
      </c>
      <c r="BQ110">
        <v>5.140434E-2</v>
      </c>
      <c r="BR110">
        <v>2.279084E-2</v>
      </c>
      <c r="BS110">
        <v>-7.3489200000000001E-3</v>
      </c>
      <c r="BT110">
        <v>3.8771559999999997E-2</v>
      </c>
      <c r="BU110">
        <v>1.9270869999999999E-2</v>
      </c>
      <c r="BV110">
        <v>6.1696580000000001E-2</v>
      </c>
      <c r="BW110">
        <v>2.6601440000000001E-2</v>
      </c>
      <c r="BX110">
        <v>9.4434199999999992E-3</v>
      </c>
      <c r="BY110">
        <v>4.3557499999999999E-2</v>
      </c>
      <c r="BZ110">
        <v>4.8000519999999998E-2</v>
      </c>
      <c r="CA110">
        <v>2.7411359999999999E-2</v>
      </c>
      <c r="CB110">
        <v>-9.3143999999999996E-4</v>
      </c>
      <c r="CC110">
        <v>1.9450289999999999E-2</v>
      </c>
      <c r="CD110">
        <v>2.8013739999999999E-2</v>
      </c>
      <c r="CE110">
        <v>4.1569389999999998E-2</v>
      </c>
      <c r="CF110">
        <v>-1.8263740000000001E-2</v>
      </c>
      <c r="CG110">
        <v>3.9708E-2</v>
      </c>
      <c r="CH110">
        <v>6.3515459999999996E-2</v>
      </c>
      <c r="CI110">
        <v>-2.2163430000000001E-2</v>
      </c>
      <c r="CJ110">
        <v>1.329617E-2</v>
      </c>
      <c r="CK110">
        <v>2.7800930000000001E-2</v>
      </c>
      <c r="CL110">
        <v>4.882102E-2</v>
      </c>
      <c r="CM110">
        <v>7.9126779999999994E-2</v>
      </c>
      <c r="CN110">
        <v>1.8185880000000001E-2</v>
      </c>
      <c r="CO110">
        <v>3.8797129999999999E-2</v>
      </c>
      <c r="CP110">
        <v>3.8000310000000002E-2</v>
      </c>
      <c r="CQ110">
        <v>6.2086229999999999E-2</v>
      </c>
      <c r="CR110">
        <v>8.7282230000000002E-2</v>
      </c>
      <c r="CS110">
        <v>7.1324120000000005E-2</v>
      </c>
      <c r="CT110">
        <v>6.8364510000000003E-2</v>
      </c>
      <c r="CU110">
        <v>4.7304150000000003E-2</v>
      </c>
      <c r="CV110">
        <v>7.1047310000000002E-2</v>
      </c>
      <c r="CW110">
        <v>4.1688450000000002E-2</v>
      </c>
      <c r="CX110">
        <v>7.0850850000000007E-2</v>
      </c>
      <c r="CY110">
        <v>5.0646450000000003E-2</v>
      </c>
      <c r="CZ110">
        <v>4.6652529999999998E-2</v>
      </c>
      <c r="DA110">
        <v>3.6970540000000003E-2</v>
      </c>
      <c r="DB110">
        <v>0.21646030999999999</v>
      </c>
      <c r="DC110">
        <v>6.3897839999999997E-2</v>
      </c>
      <c r="DD110">
        <v>7.6679289999999997E-2</v>
      </c>
      <c r="DE110">
        <v>8.9099419999999999E-2</v>
      </c>
      <c r="DF110">
        <v>2.8291090000000001E-2</v>
      </c>
      <c r="DG110">
        <v>7.0934010000000006E-2</v>
      </c>
      <c r="DH110">
        <v>8.3381899999999995E-2</v>
      </c>
      <c r="DI110">
        <v>8.3991410000000002E-2</v>
      </c>
      <c r="DJ110">
        <v>4.0090819999999999E-2</v>
      </c>
      <c r="DK110">
        <v>7.6744930000000003E-2</v>
      </c>
      <c r="DL110">
        <v>5.1954489999999999E-2</v>
      </c>
      <c r="DM110">
        <v>6.4546249999999999E-2</v>
      </c>
      <c r="DN110">
        <v>2.32074E-2</v>
      </c>
      <c r="DO110">
        <v>0.11555126</v>
      </c>
      <c r="DP110">
        <v>6.6454760000000002E-2</v>
      </c>
      <c r="DQ110">
        <v>9.4355930000000005E-2</v>
      </c>
      <c r="DR110">
        <v>8.8650660000000006E-2</v>
      </c>
      <c r="DS110">
        <v>2.73855E-2</v>
      </c>
      <c r="DT110">
        <v>0.10250972999999999</v>
      </c>
      <c r="DU110">
        <v>0.12916158</v>
      </c>
      <c r="DV110">
        <v>0.1053235</v>
      </c>
      <c r="DW110">
        <v>8.1157359999999998E-2</v>
      </c>
      <c r="DX110">
        <v>0.11303497</v>
      </c>
      <c r="DY110">
        <v>0.11592693</v>
      </c>
      <c r="DZ110">
        <v>6.466007E-2</v>
      </c>
      <c r="EA110">
        <v>6.9055859999999997E-2</v>
      </c>
      <c r="EB110">
        <v>0.12609999999999999</v>
      </c>
      <c r="EC110">
        <v>2.1130510000000002E-2</v>
      </c>
      <c r="ED110">
        <v>0.13667252999999999</v>
      </c>
      <c r="EE110">
        <v>0.14795422999999999</v>
      </c>
      <c r="EF110">
        <v>4.9202570000000001E-2</v>
      </c>
      <c r="EG110">
        <v>0.13715421</v>
      </c>
      <c r="EH110">
        <v>4.7233989999999997E-2</v>
      </c>
      <c r="EI110">
        <v>0.1289893</v>
      </c>
      <c r="EJ110">
        <v>0.12396151</v>
      </c>
      <c r="EK110">
        <v>0.15447163</v>
      </c>
      <c r="EL110">
        <v>0.14468745999999999</v>
      </c>
      <c r="EM110">
        <v>7.4284269999999999E-2</v>
      </c>
      <c r="EN110">
        <v>0.11819554</v>
      </c>
      <c r="EO110">
        <v>0.1309467</v>
      </c>
      <c r="EP110">
        <f t="shared" si="3"/>
        <v>0</v>
      </c>
      <c r="EQ110">
        <f>SUMIF('Mi portafolio'!$A$8:$A$19,$A110,'Mi portafolio'!$B$8:$B$19)</f>
        <v>0</v>
      </c>
    </row>
    <row r="111" spans="1:147" x14ac:dyDescent="0.25">
      <c r="A111" s="34" t="s">
        <v>189</v>
      </c>
      <c r="B111">
        <v>-1.4991E-3</v>
      </c>
      <c r="C111">
        <v>3.4574800000000002E-3</v>
      </c>
      <c r="D111">
        <v>1.6575960000000001E-2</v>
      </c>
      <c r="E111">
        <v>1.641426E-2</v>
      </c>
      <c r="F111">
        <v>-9.08898E-3</v>
      </c>
      <c r="G111">
        <v>9.6285699999999995E-3</v>
      </c>
      <c r="H111">
        <v>1.6180119999999999E-2</v>
      </c>
      <c r="I111">
        <v>3.1468500000000001E-3</v>
      </c>
      <c r="J111">
        <v>-6.2157599999999999E-3</v>
      </c>
      <c r="K111">
        <v>1.309189E-2</v>
      </c>
      <c r="L111">
        <v>1.4388980000000001E-2</v>
      </c>
      <c r="M111">
        <v>3.417738E-2</v>
      </c>
      <c r="N111">
        <v>1.127507E-2</v>
      </c>
      <c r="O111">
        <v>2.2213989999999999E-2</v>
      </c>
      <c r="P111">
        <v>-1.0215760000000001E-2</v>
      </c>
      <c r="Q111">
        <v>9.0828200000000001E-3</v>
      </c>
      <c r="R111">
        <v>-2.93064E-3</v>
      </c>
      <c r="S111">
        <v>9.8772500000000006E-3</v>
      </c>
      <c r="T111">
        <v>3.3704650000000003E-2</v>
      </c>
      <c r="U111">
        <v>2.185235E-2</v>
      </c>
      <c r="V111">
        <v>2.376663E-2</v>
      </c>
      <c r="W111">
        <v>1.5355769999999999E-2</v>
      </c>
      <c r="X111">
        <v>2.9060240000000001E-2</v>
      </c>
      <c r="Y111">
        <v>5.4091699999999996E-3</v>
      </c>
      <c r="Z111">
        <v>2.610285E-2</v>
      </c>
      <c r="AA111">
        <v>3.1872270000000001E-2</v>
      </c>
      <c r="AB111">
        <v>7.00148E-3</v>
      </c>
      <c r="AC111">
        <v>1.3460700000000001E-2</v>
      </c>
      <c r="AD111">
        <v>5.6706899999999999E-3</v>
      </c>
      <c r="AE111">
        <v>4.9201990000000001E-2</v>
      </c>
      <c r="AF111">
        <v>3.3755640000000003E-2</v>
      </c>
      <c r="AG111">
        <v>-1.5462760000000001E-2</v>
      </c>
      <c r="AH111">
        <v>-1.2585809999999999E-2</v>
      </c>
      <c r="AI111">
        <v>-4.5597699999999998E-2</v>
      </c>
      <c r="AJ111">
        <v>3.3904289999999997E-2</v>
      </c>
      <c r="AK111">
        <v>4.2029869999999997E-2</v>
      </c>
      <c r="AL111">
        <v>1.073371E-2</v>
      </c>
      <c r="AM111">
        <v>4.2580680000000003E-2</v>
      </c>
      <c r="AN111">
        <v>3.8266969999999997E-2</v>
      </c>
      <c r="AO111">
        <v>-6.1538999999999995E-4</v>
      </c>
      <c r="AP111">
        <v>2.3338069999999999E-2</v>
      </c>
      <c r="AQ111">
        <v>-4.8428810000000003E-2</v>
      </c>
      <c r="AR111">
        <v>3.0020930000000001E-2</v>
      </c>
      <c r="AS111">
        <v>3.6564029999999997E-2</v>
      </c>
      <c r="AT111">
        <v>3.7511900000000001E-2</v>
      </c>
      <c r="AU111">
        <v>-1.45404E-3</v>
      </c>
      <c r="AV111">
        <v>2.7854480000000001E-2</v>
      </c>
      <c r="AW111">
        <v>2.7016510000000001E-2</v>
      </c>
      <c r="AX111">
        <v>1.530891E-2</v>
      </c>
      <c r="AY111">
        <v>1.678149E-2</v>
      </c>
      <c r="AZ111">
        <v>5.7650840000000002E-2</v>
      </c>
      <c r="BA111">
        <v>3.1444260000000002E-2</v>
      </c>
      <c r="BB111">
        <v>5.7336159999999997E-2</v>
      </c>
      <c r="BC111">
        <v>1.8312419999999999E-2</v>
      </c>
      <c r="BD111">
        <v>5.2700429999999999E-2</v>
      </c>
      <c r="BE111">
        <v>1.2115580000000001E-2</v>
      </c>
      <c r="BF111">
        <v>3.8581560000000001E-2</v>
      </c>
      <c r="BG111">
        <v>2.030297E-2</v>
      </c>
      <c r="BH111">
        <v>3.077421E-2</v>
      </c>
      <c r="BI111">
        <v>2.3191489999999999E-2</v>
      </c>
      <c r="BJ111">
        <v>1.8161440000000001E-2</v>
      </c>
      <c r="BK111">
        <v>5.3505549999999999E-2</v>
      </c>
      <c r="BL111">
        <v>3.5862570000000003E-2</v>
      </c>
      <c r="BM111">
        <v>1.8108610000000001E-2</v>
      </c>
      <c r="BN111">
        <v>-6.14505E-3</v>
      </c>
      <c r="BO111">
        <v>3.0179379999999999E-2</v>
      </c>
      <c r="BP111">
        <v>8.72443E-3</v>
      </c>
      <c r="BQ111">
        <v>5.0202400000000001E-2</v>
      </c>
      <c r="BR111">
        <v>4.3610599999999999E-2</v>
      </c>
      <c r="BS111">
        <v>-4.5816000000000003E-2</v>
      </c>
      <c r="BT111">
        <v>5.156993E-2</v>
      </c>
      <c r="BU111">
        <v>3.8309219999999998E-2</v>
      </c>
      <c r="BV111">
        <v>3.081648E-2</v>
      </c>
      <c r="BW111">
        <v>2.425356E-2</v>
      </c>
      <c r="BX111">
        <v>1.344851E-2</v>
      </c>
      <c r="BY111">
        <v>4.3104209999999997E-2</v>
      </c>
      <c r="BZ111">
        <v>5.281653E-2</v>
      </c>
      <c r="CA111">
        <v>4.0459090000000003E-2</v>
      </c>
      <c r="CB111">
        <v>-1.0928810000000001E-2</v>
      </c>
      <c r="CC111">
        <v>3.4198800000000001E-3</v>
      </c>
      <c r="CD111">
        <v>1.512616E-2</v>
      </c>
      <c r="CE111">
        <v>1.263763E-2</v>
      </c>
      <c r="CF111">
        <v>-5.477398E-2</v>
      </c>
      <c r="CG111">
        <v>4.1778179999999998E-2</v>
      </c>
      <c r="CH111">
        <v>5.4740280000000002E-2</v>
      </c>
      <c r="CI111">
        <v>-6.0341800000000001E-2</v>
      </c>
      <c r="CJ111">
        <v>-2.462493E-2</v>
      </c>
      <c r="CK111">
        <v>1.742981E-2</v>
      </c>
      <c r="CL111">
        <v>3.651273E-2</v>
      </c>
      <c r="CM111">
        <v>1.503296E-2</v>
      </c>
      <c r="CN111">
        <v>3.6160030000000003E-2</v>
      </c>
      <c r="CO111">
        <v>2.116699E-2</v>
      </c>
      <c r="CP111">
        <v>1.3857100000000001E-2</v>
      </c>
      <c r="CQ111">
        <v>8.1279970000000007E-2</v>
      </c>
      <c r="CR111">
        <v>5.2504259999999997E-2</v>
      </c>
      <c r="CS111">
        <v>5.5421480000000002E-2</v>
      </c>
      <c r="CT111">
        <v>3.7602740000000003E-2</v>
      </c>
      <c r="CU111">
        <v>2.929052E-2</v>
      </c>
      <c r="CV111">
        <v>4.1386279999999998E-2</v>
      </c>
      <c r="CW111">
        <v>4.2640079999999997E-2</v>
      </c>
      <c r="CX111">
        <v>6.1124789999999998E-2</v>
      </c>
      <c r="CY111">
        <v>9.6673830000000002E-2</v>
      </c>
      <c r="CZ111">
        <v>2.1948039999999999E-2</v>
      </c>
      <c r="DA111">
        <v>1.42621E-2</v>
      </c>
      <c r="DB111">
        <v>6.3897839999999997E-2</v>
      </c>
      <c r="DC111">
        <v>0.22563403000000001</v>
      </c>
      <c r="DD111">
        <v>5.2373889999999999E-2</v>
      </c>
      <c r="DE111">
        <v>7.6045619999999994E-2</v>
      </c>
      <c r="DF111">
        <v>-2.1823160000000001E-2</v>
      </c>
      <c r="DG111">
        <v>5.414414E-2</v>
      </c>
      <c r="DH111">
        <v>3.4685199999999999E-2</v>
      </c>
      <c r="DI111">
        <v>9.8150669999999995E-2</v>
      </c>
      <c r="DJ111">
        <v>9.7187449999999995E-2</v>
      </c>
      <c r="DK111">
        <v>0.10971292000000001</v>
      </c>
      <c r="DL111">
        <v>7.4195200000000003E-2</v>
      </c>
      <c r="DM111">
        <v>0.12275171999999999</v>
      </c>
      <c r="DN111">
        <v>3.6907509999999998E-2</v>
      </c>
      <c r="DO111">
        <v>7.6796050000000005E-2</v>
      </c>
      <c r="DP111">
        <v>0.11312939</v>
      </c>
      <c r="DQ111">
        <v>7.305246E-2</v>
      </c>
      <c r="DR111">
        <v>3.853239E-2</v>
      </c>
      <c r="DS111">
        <v>7.2221000000000004E-3</v>
      </c>
      <c r="DT111">
        <v>5.1337819999999999E-2</v>
      </c>
      <c r="DU111">
        <v>6.8324129999999997E-2</v>
      </c>
      <c r="DV111">
        <v>2.8685400000000002E-3</v>
      </c>
      <c r="DW111">
        <v>5.1830630000000003E-2</v>
      </c>
      <c r="DX111">
        <v>8.1649009999999994E-2</v>
      </c>
      <c r="DY111">
        <v>8.4576970000000001E-2</v>
      </c>
      <c r="DZ111">
        <v>1.010573E-2</v>
      </c>
      <c r="EA111">
        <v>6.3684610000000003E-2</v>
      </c>
      <c r="EB111">
        <v>8.2052589999999995E-2</v>
      </c>
      <c r="EC111">
        <v>7.1504200000000002E-3</v>
      </c>
      <c r="ED111">
        <v>0.10640572</v>
      </c>
      <c r="EE111">
        <v>8.2658969999999998E-2</v>
      </c>
      <c r="EF111">
        <v>4.8492100000000003E-2</v>
      </c>
      <c r="EG111">
        <v>9.973514E-2</v>
      </c>
      <c r="EH111">
        <v>5.5942000000000003E-4</v>
      </c>
      <c r="EI111">
        <v>9.9705210000000002E-2</v>
      </c>
      <c r="EJ111">
        <v>0.10679919</v>
      </c>
      <c r="EK111">
        <v>7.3286400000000002E-2</v>
      </c>
      <c r="EL111">
        <v>0.12807117000000001</v>
      </c>
      <c r="EM111">
        <v>3.9800849999999999E-2</v>
      </c>
      <c r="EN111">
        <v>6.2374209999999999E-2</v>
      </c>
      <c r="EO111">
        <v>7.9804949999999999E-2</v>
      </c>
      <c r="EP111">
        <f t="shared" si="3"/>
        <v>0</v>
      </c>
      <c r="EQ111">
        <f>SUMIF('Mi portafolio'!$A$8:$A$19,$A111,'Mi portafolio'!$B$8:$B$19)</f>
        <v>0</v>
      </c>
    </row>
    <row r="112" spans="1:147" x14ac:dyDescent="0.25">
      <c r="A112" s="34" t="s">
        <v>190</v>
      </c>
      <c r="B112">
        <v>1.1052599999999999E-2</v>
      </c>
      <c r="C112">
        <v>-3.57027E-3</v>
      </c>
      <c r="D112">
        <v>1.7590430000000001E-2</v>
      </c>
      <c r="E112">
        <v>1.1776419999999999E-2</v>
      </c>
      <c r="F112">
        <v>2.6983699999999998E-3</v>
      </c>
      <c r="G112">
        <v>5.0228399999999998E-3</v>
      </c>
      <c r="H112">
        <v>6.2940599999999998E-3</v>
      </c>
      <c r="I112">
        <v>1.6509639999999999E-2</v>
      </c>
      <c r="J112">
        <v>1.1140499999999999E-3</v>
      </c>
      <c r="K112">
        <v>1.1366029999999999E-2</v>
      </c>
      <c r="L112">
        <v>5.7472199999999999E-3</v>
      </c>
      <c r="M112">
        <v>3.2451769999999998E-2</v>
      </c>
      <c r="N112">
        <v>2.6188639999999999E-2</v>
      </c>
      <c r="O112">
        <v>2.3525099999999999E-3</v>
      </c>
      <c r="P112">
        <v>8.7010200000000003E-3</v>
      </c>
      <c r="Q112">
        <v>6.4264200000000004E-3</v>
      </c>
      <c r="R112">
        <v>6.6857399999999999E-3</v>
      </c>
      <c r="S112">
        <v>1.371257E-2</v>
      </c>
      <c r="T112">
        <v>2.78727E-2</v>
      </c>
      <c r="U112">
        <v>1.7059689999999999E-2</v>
      </c>
      <c r="V112">
        <v>1.73262E-2</v>
      </c>
      <c r="W112">
        <v>-4.9377600000000002E-3</v>
      </c>
      <c r="X112">
        <v>3.6314560000000003E-2</v>
      </c>
      <c r="Y112">
        <v>4.5576459999999999E-2</v>
      </c>
      <c r="Z112">
        <v>8.3163200000000003E-3</v>
      </c>
      <c r="AA112">
        <v>5.3921300000000002E-3</v>
      </c>
      <c r="AB112">
        <v>4.3455550000000003E-2</v>
      </c>
      <c r="AC112">
        <v>8.1190199999999994E-3</v>
      </c>
      <c r="AD112">
        <v>4.1022599999999999E-3</v>
      </c>
      <c r="AE112">
        <v>2.2052120000000001E-2</v>
      </c>
      <c r="AF112">
        <v>8.3909299999999996E-3</v>
      </c>
      <c r="AG112">
        <v>-3.9419999999999999E-5</v>
      </c>
      <c r="AH112">
        <v>1.36962E-3</v>
      </c>
      <c r="AI112">
        <v>-1.305007E-2</v>
      </c>
      <c r="AJ112">
        <v>4.7000899999999997E-3</v>
      </c>
      <c r="AK112">
        <v>4.4234299999999999E-3</v>
      </c>
      <c r="AL112">
        <v>3.170597E-2</v>
      </c>
      <c r="AM112">
        <v>3.503299E-2</v>
      </c>
      <c r="AN112">
        <v>4.3133100000000001E-2</v>
      </c>
      <c r="AO112">
        <v>1.273057E-2</v>
      </c>
      <c r="AP112">
        <v>4.862213E-2</v>
      </c>
      <c r="AQ112">
        <v>-2.0788350000000001E-2</v>
      </c>
      <c r="AR112">
        <v>2.7885699999999999E-2</v>
      </c>
      <c r="AS112">
        <v>1.995802E-2</v>
      </c>
      <c r="AT112">
        <v>5.0881900000000001E-2</v>
      </c>
      <c r="AU112">
        <v>5.7413000000000004E-3</v>
      </c>
      <c r="AV112">
        <v>1.0148860000000001E-2</v>
      </c>
      <c r="AW112">
        <v>2.2954120000000001E-2</v>
      </c>
      <c r="AX112">
        <v>2.2440669999999999E-2</v>
      </c>
      <c r="AY112">
        <v>3.9263430000000002E-2</v>
      </c>
      <c r="AZ112">
        <v>3.2264250000000001E-2</v>
      </c>
      <c r="BA112">
        <v>2.5871640000000001E-2</v>
      </c>
      <c r="BB112">
        <v>5.4085870000000001E-2</v>
      </c>
      <c r="BC112">
        <v>1.9697699999999999E-2</v>
      </c>
      <c r="BD112">
        <v>1.9091489999999999E-2</v>
      </c>
      <c r="BE112">
        <v>1.411423E-2</v>
      </c>
      <c r="BF112">
        <v>1.7323149999999999E-2</v>
      </c>
      <c r="BG112">
        <v>5.550215E-2</v>
      </c>
      <c r="BH112">
        <v>2.8286390000000002E-2</v>
      </c>
      <c r="BI112">
        <v>2.3897560000000002E-2</v>
      </c>
      <c r="BJ112">
        <v>-3.5603000000000002E-4</v>
      </c>
      <c r="BK112">
        <v>2.2529770000000001E-2</v>
      </c>
      <c r="BL112">
        <v>3.3269939999999998E-2</v>
      </c>
      <c r="BM112">
        <v>3.1668580000000002E-2</v>
      </c>
      <c r="BN112">
        <v>1.495311E-2</v>
      </c>
      <c r="BO112">
        <v>5.0108350000000003E-2</v>
      </c>
      <c r="BP112">
        <v>5.4390750000000002E-2</v>
      </c>
      <c r="BQ112">
        <v>3.2770300000000002E-2</v>
      </c>
      <c r="BR112">
        <v>4.3563829999999998E-2</v>
      </c>
      <c r="BS112">
        <v>-9.7456000000000001E-3</v>
      </c>
      <c r="BT112">
        <v>4.8370009999999998E-2</v>
      </c>
      <c r="BU112">
        <v>2.2976819999999998E-2</v>
      </c>
      <c r="BV112">
        <v>6.3801860000000002E-2</v>
      </c>
      <c r="BW112">
        <v>4.2878909999999999E-2</v>
      </c>
      <c r="BX112">
        <v>3.4330979999999997E-2</v>
      </c>
      <c r="BY112">
        <v>5.01249E-2</v>
      </c>
      <c r="BZ112">
        <v>5.3558359999999999E-2</v>
      </c>
      <c r="CA112">
        <v>2.1911569999999998E-2</v>
      </c>
      <c r="CB112">
        <v>-4.3924999999999997E-3</v>
      </c>
      <c r="CC112">
        <v>3.6211559999999997E-2</v>
      </c>
      <c r="CD112">
        <v>5.6504749999999999E-2</v>
      </c>
      <c r="CE112">
        <v>3.8487670000000002E-2</v>
      </c>
      <c r="CF112">
        <v>-1.959178E-2</v>
      </c>
      <c r="CG112">
        <v>8.2222719999999999E-2</v>
      </c>
      <c r="CH112">
        <v>3.038751E-2</v>
      </c>
      <c r="CI112">
        <v>-1.8957419999999999E-2</v>
      </c>
      <c r="CJ112">
        <v>6.9263560000000002E-2</v>
      </c>
      <c r="CK112">
        <v>5.237261E-2</v>
      </c>
      <c r="CL112">
        <v>3.8858120000000003E-2</v>
      </c>
      <c r="CM112">
        <v>4.5961929999999998E-2</v>
      </c>
      <c r="CN112">
        <v>1.169271E-2</v>
      </c>
      <c r="CO112">
        <v>1.313979E-2</v>
      </c>
      <c r="CP112">
        <v>4.1219810000000003E-2</v>
      </c>
      <c r="CQ112">
        <v>6.3662919999999998E-2</v>
      </c>
      <c r="CR112">
        <v>5.3003830000000002E-2</v>
      </c>
      <c r="CS112">
        <v>2.6939399999999999E-2</v>
      </c>
      <c r="CT112">
        <v>9.3462370000000003E-2</v>
      </c>
      <c r="CU112">
        <v>2.637517E-2</v>
      </c>
      <c r="CV112">
        <v>5.4587740000000003E-2</v>
      </c>
      <c r="CW112">
        <v>6.9816080000000003E-2</v>
      </c>
      <c r="CX112">
        <v>8.0066399999999996E-2</v>
      </c>
      <c r="CY112">
        <v>6.0125400000000002E-2</v>
      </c>
      <c r="CZ112">
        <v>6.8260689999999999E-2</v>
      </c>
      <c r="DA112">
        <v>9.495257E-2</v>
      </c>
      <c r="DB112">
        <v>7.6679289999999997E-2</v>
      </c>
      <c r="DC112">
        <v>5.2373889999999999E-2</v>
      </c>
      <c r="DD112">
        <v>0.22569828</v>
      </c>
      <c r="DE112">
        <v>5.3367020000000001E-2</v>
      </c>
      <c r="DF112">
        <v>8.0255320000000005E-2</v>
      </c>
      <c r="DG112">
        <v>6.047744E-2</v>
      </c>
      <c r="DH112">
        <v>6.5066150000000003E-2</v>
      </c>
      <c r="DI112">
        <v>8.0693769999999998E-2</v>
      </c>
      <c r="DJ112">
        <v>7.9706319999999997E-2</v>
      </c>
      <c r="DK112">
        <v>8.2091789999999998E-2</v>
      </c>
      <c r="DL112">
        <v>3.5011130000000001E-2</v>
      </c>
      <c r="DM112">
        <v>9.4925229999999999E-2</v>
      </c>
      <c r="DN112">
        <v>8.8774439999999996E-2</v>
      </c>
      <c r="DO112">
        <v>6.7593650000000005E-2</v>
      </c>
      <c r="DP112">
        <v>9.814697E-2</v>
      </c>
      <c r="DQ112">
        <v>4.5453779999999999E-2</v>
      </c>
      <c r="DR112">
        <v>3.4544180000000001E-2</v>
      </c>
      <c r="DS112">
        <v>7.8276369999999998E-2</v>
      </c>
      <c r="DT112">
        <v>9.3381279999999997E-2</v>
      </c>
      <c r="DU112">
        <v>0.12721800999999999</v>
      </c>
      <c r="DV112">
        <v>0.1092619</v>
      </c>
      <c r="DW112">
        <v>0.15068978999999999</v>
      </c>
      <c r="DX112">
        <v>5.2558550000000002E-2</v>
      </c>
      <c r="DY112">
        <v>0.16280328999999999</v>
      </c>
      <c r="DZ112">
        <v>9.227581E-2</v>
      </c>
      <c r="EA112">
        <v>7.2403099999999998E-2</v>
      </c>
      <c r="EB112">
        <v>0.17170600999999999</v>
      </c>
      <c r="EC112">
        <v>2.0297610000000001E-2</v>
      </c>
      <c r="ED112">
        <v>0.11260535000000001</v>
      </c>
      <c r="EE112">
        <v>7.2698990000000005E-2</v>
      </c>
      <c r="EF112">
        <v>7.3967889999999994E-2</v>
      </c>
      <c r="EG112">
        <v>6.4205490000000004E-2</v>
      </c>
      <c r="EH112">
        <v>0.13365044000000001</v>
      </c>
      <c r="EI112">
        <v>6.375219E-2</v>
      </c>
      <c r="EJ112">
        <v>0.12121723</v>
      </c>
      <c r="EK112">
        <v>0.14297051999999999</v>
      </c>
      <c r="EL112">
        <v>0.1172497</v>
      </c>
      <c r="EM112">
        <v>0.11433321</v>
      </c>
      <c r="EN112">
        <v>0.12602042999999999</v>
      </c>
      <c r="EO112">
        <v>0.17129331</v>
      </c>
      <c r="EP112">
        <f t="shared" si="3"/>
        <v>0</v>
      </c>
      <c r="EQ112">
        <f>SUMIF('Mi portafolio'!$A$8:$A$19,$A112,'Mi portafolio'!$B$8:$B$19)</f>
        <v>0</v>
      </c>
    </row>
    <row r="113" spans="1:147" x14ac:dyDescent="0.25">
      <c r="A113" s="34" t="s">
        <v>191</v>
      </c>
      <c r="B113">
        <v>-7.01858E-3</v>
      </c>
      <c r="C113">
        <v>5.79657E-3</v>
      </c>
      <c r="D113">
        <v>4.4292000000000003E-3</v>
      </c>
      <c r="E113">
        <v>1.3903499999999999E-2</v>
      </c>
      <c r="F113">
        <v>-1.1037699999999999E-2</v>
      </c>
      <c r="G113">
        <v>2.94371E-3</v>
      </c>
      <c r="H113">
        <v>1.035165E-2</v>
      </c>
      <c r="I113">
        <v>-1.2254E-3</v>
      </c>
      <c r="J113">
        <v>-3.33527E-3</v>
      </c>
      <c r="K113">
        <v>-1.6109799999999999E-3</v>
      </c>
      <c r="L113">
        <v>9.2914299999999998E-3</v>
      </c>
      <c r="M113">
        <v>3.5953850000000002E-2</v>
      </c>
      <c r="N113">
        <v>1.058448E-2</v>
      </c>
      <c r="O113">
        <v>1.1528480000000001E-2</v>
      </c>
      <c r="P113">
        <v>-9.9593500000000005E-3</v>
      </c>
      <c r="Q113">
        <v>5.9590499999999996E-3</v>
      </c>
      <c r="R113">
        <v>-6.1191600000000002E-3</v>
      </c>
      <c r="S113">
        <v>-4.0146100000000001E-3</v>
      </c>
      <c r="T113">
        <v>2.459892E-2</v>
      </c>
      <c r="U113">
        <v>2.424521E-2</v>
      </c>
      <c r="V113">
        <v>1.695108E-2</v>
      </c>
      <c r="W113">
        <v>1.484854E-2</v>
      </c>
      <c r="X113">
        <v>3.1286359999999999E-2</v>
      </c>
      <c r="Y113">
        <v>2.7128999999999999E-4</v>
      </c>
      <c r="Z113">
        <v>2.292845E-2</v>
      </c>
      <c r="AA113">
        <v>1.024314E-2</v>
      </c>
      <c r="AB113">
        <v>-2.4946E-3</v>
      </c>
      <c r="AC113">
        <v>8.7239399999999995E-3</v>
      </c>
      <c r="AD113">
        <v>1.9760920000000001E-2</v>
      </c>
      <c r="AE113">
        <v>3.5448300000000002E-2</v>
      </c>
      <c r="AF113">
        <v>3.879142E-2</v>
      </c>
      <c r="AG113">
        <v>-1.8140860000000002E-2</v>
      </c>
      <c r="AH113">
        <v>-1.722895E-2</v>
      </c>
      <c r="AI113">
        <v>-1.731912E-2</v>
      </c>
      <c r="AJ113">
        <v>1.4598450000000001E-2</v>
      </c>
      <c r="AK113">
        <v>4.1676860000000003E-2</v>
      </c>
      <c r="AL113">
        <v>1.8554620000000001E-2</v>
      </c>
      <c r="AM113">
        <v>1.7941289999999999E-2</v>
      </c>
      <c r="AN113">
        <v>2.8081189999999999E-2</v>
      </c>
      <c r="AO113">
        <v>-4.2692000000000001E-4</v>
      </c>
      <c r="AP113">
        <v>1.8572459999999999E-2</v>
      </c>
      <c r="AQ113">
        <v>-1.296374E-2</v>
      </c>
      <c r="AR113">
        <v>2.5377070000000002E-2</v>
      </c>
      <c r="AS113">
        <v>3.499816E-2</v>
      </c>
      <c r="AT113">
        <v>2.9616920000000001E-2</v>
      </c>
      <c r="AU113">
        <v>-6.9170500000000001E-3</v>
      </c>
      <c r="AV113">
        <v>2.3981559999999999E-2</v>
      </c>
      <c r="AW113">
        <v>4.1237169999999997E-2</v>
      </c>
      <c r="AX113">
        <v>7.4068299999999997E-3</v>
      </c>
      <c r="AY113">
        <v>1.9885590000000002E-2</v>
      </c>
      <c r="AZ113">
        <v>4.3691359999999999E-2</v>
      </c>
      <c r="BA113">
        <v>3.1823579999999997E-2</v>
      </c>
      <c r="BB113">
        <v>4.9389599999999999E-2</v>
      </c>
      <c r="BC113">
        <v>1.8670099999999999E-3</v>
      </c>
      <c r="BD113">
        <v>3.4300509999999999E-2</v>
      </c>
      <c r="BE113">
        <v>1.7749729999999998E-2</v>
      </c>
      <c r="BF113">
        <v>3.0464339999999999E-2</v>
      </c>
      <c r="BG113">
        <v>4.1382919999999997E-2</v>
      </c>
      <c r="BH113">
        <v>3.1474950000000002E-2</v>
      </c>
      <c r="BI113">
        <v>1.1584819999999999E-2</v>
      </c>
      <c r="BJ113">
        <v>2.4706099999999998E-3</v>
      </c>
      <c r="BK113">
        <v>2.6036299999999998E-2</v>
      </c>
      <c r="BL113">
        <v>8.0575610000000006E-2</v>
      </c>
      <c r="BM113">
        <v>1.2593419999999999E-2</v>
      </c>
      <c r="BN113">
        <v>-4.5710000000000004E-3</v>
      </c>
      <c r="BO113">
        <v>3.2078790000000003E-2</v>
      </c>
      <c r="BP113">
        <v>1.3882540000000001E-2</v>
      </c>
      <c r="BQ113">
        <v>6.2550980000000006E-2</v>
      </c>
      <c r="BR113">
        <v>3.1677200000000003E-2</v>
      </c>
      <c r="BS113">
        <v>-1.5827870000000001E-2</v>
      </c>
      <c r="BT113">
        <v>5.1197149999999997E-2</v>
      </c>
      <c r="BU113">
        <v>3.9972349999999997E-2</v>
      </c>
      <c r="BV113">
        <v>3.201702E-2</v>
      </c>
      <c r="BW113">
        <v>3.0635889999999999E-2</v>
      </c>
      <c r="BX113">
        <v>6.27328E-3</v>
      </c>
      <c r="BY113">
        <v>4.1903559999999999E-2</v>
      </c>
      <c r="BZ113">
        <v>4.1898919999999999E-2</v>
      </c>
      <c r="CA113">
        <v>2.759501E-2</v>
      </c>
      <c r="CB113">
        <v>-2.580791E-2</v>
      </c>
      <c r="CC113">
        <v>9.4348100000000001E-3</v>
      </c>
      <c r="CD113">
        <v>1.8929729999999999E-2</v>
      </c>
      <c r="CE113">
        <v>5.5138930000000003E-2</v>
      </c>
      <c r="CF113">
        <v>-2.3888920000000001E-2</v>
      </c>
      <c r="CG113">
        <v>2.58772E-2</v>
      </c>
      <c r="CH113">
        <v>0.12822912</v>
      </c>
      <c r="CI113">
        <v>-1.7131779999999999E-2</v>
      </c>
      <c r="CJ113">
        <v>-3.35338E-3</v>
      </c>
      <c r="CK113">
        <v>8.1855899999999995E-3</v>
      </c>
      <c r="CL113">
        <v>4.6509769999999999E-2</v>
      </c>
      <c r="CM113">
        <v>7.4949390000000005E-2</v>
      </c>
      <c r="CN113">
        <v>2.9930999999999999E-2</v>
      </c>
      <c r="CO113">
        <v>3.2982690000000002E-2</v>
      </c>
      <c r="CP113">
        <v>1.2103849999999999E-2</v>
      </c>
      <c r="CQ113">
        <v>6.5828280000000003E-2</v>
      </c>
      <c r="CR113">
        <v>0.10253213999999999</v>
      </c>
      <c r="CS113">
        <v>0.10284702</v>
      </c>
      <c r="CT113">
        <v>5.6030589999999998E-2</v>
      </c>
      <c r="CU113">
        <v>4.7959189999999999E-2</v>
      </c>
      <c r="CV113">
        <v>3.6901919999999998E-2</v>
      </c>
      <c r="CW113">
        <v>3.4945700000000003E-2</v>
      </c>
      <c r="CX113">
        <v>6.6385009999999994E-2</v>
      </c>
      <c r="CY113">
        <v>7.1575070000000005E-2</v>
      </c>
      <c r="CZ113">
        <v>8.9882799999999995E-3</v>
      </c>
      <c r="DA113">
        <v>8.6346900000000004E-3</v>
      </c>
      <c r="DB113">
        <v>8.9099419999999999E-2</v>
      </c>
      <c r="DC113">
        <v>7.6045619999999994E-2</v>
      </c>
      <c r="DD113">
        <v>5.3367020000000001E-2</v>
      </c>
      <c r="DE113">
        <v>0.22575862999999999</v>
      </c>
      <c r="DF113">
        <v>-1.7602550000000002E-2</v>
      </c>
      <c r="DG113">
        <v>0.15703750999999999</v>
      </c>
      <c r="DH113">
        <v>9.2556260000000001E-2</v>
      </c>
      <c r="DI113">
        <v>6.5567760000000003E-2</v>
      </c>
      <c r="DJ113">
        <v>7.1388419999999994E-2</v>
      </c>
      <c r="DK113">
        <v>8.8632420000000003E-2</v>
      </c>
      <c r="DL113">
        <v>0.12064859</v>
      </c>
      <c r="DM113">
        <v>9.3500109999999997E-2</v>
      </c>
      <c r="DN113">
        <v>2.0464159999999999E-2</v>
      </c>
      <c r="DO113">
        <v>9.1072470000000003E-2</v>
      </c>
      <c r="DP113">
        <v>8.0008629999999997E-2</v>
      </c>
      <c r="DQ113">
        <v>8.828896E-2</v>
      </c>
      <c r="DR113">
        <v>0.15260201000000001</v>
      </c>
      <c r="DS113">
        <v>-3.0120500000000001E-3</v>
      </c>
      <c r="DT113">
        <v>9.1477089999999997E-2</v>
      </c>
      <c r="DU113">
        <v>0.10357711999999999</v>
      </c>
      <c r="DV113">
        <v>7.5621560000000004E-2</v>
      </c>
      <c r="DW113">
        <v>5.2842390000000003E-2</v>
      </c>
      <c r="DX113">
        <v>0.16034952999999999</v>
      </c>
      <c r="DY113">
        <v>8.6676089999999997E-2</v>
      </c>
      <c r="DZ113">
        <v>1.2290779999999999E-2</v>
      </c>
      <c r="EA113">
        <v>8.6465749999999994E-2</v>
      </c>
      <c r="EB113">
        <v>9.7814010000000007E-2</v>
      </c>
      <c r="EC113">
        <v>8.8001350000000006E-2</v>
      </c>
      <c r="ED113">
        <v>0.11580430999999999</v>
      </c>
      <c r="EE113">
        <v>0.16637191000000001</v>
      </c>
      <c r="EF113">
        <v>0.13702792</v>
      </c>
      <c r="EG113">
        <v>0.14248377000000001</v>
      </c>
      <c r="EH113">
        <v>6.6254299999999999E-3</v>
      </c>
      <c r="EI113">
        <v>0.18748113</v>
      </c>
      <c r="EJ113">
        <v>7.6059860000000007E-2</v>
      </c>
      <c r="EK113">
        <v>0.18494657</v>
      </c>
      <c r="EL113">
        <v>0.21629324999999999</v>
      </c>
      <c r="EM113">
        <v>8.4589520000000001E-2</v>
      </c>
      <c r="EN113">
        <v>0.13615313000000001</v>
      </c>
      <c r="EO113">
        <v>0.12792799999999999</v>
      </c>
      <c r="EP113">
        <f t="shared" si="3"/>
        <v>0</v>
      </c>
      <c r="EQ113">
        <f>SUMIF('Mi portafolio'!$A$8:$A$19,$A113,'Mi portafolio'!$B$8:$B$19)</f>
        <v>0</v>
      </c>
    </row>
    <row r="114" spans="1:147" x14ac:dyDescent="0.25">
      <c r="A114" s="34" t="s">
        <v>192</v>
      </c>
      <c r="B114">
        <v>1.3469450000000001E-2</v>
      </c>
      <c r="C114">
        <v>-7.2314600000000003E-3</v>
      </c>
      <c r="D114">
        <v>7.6394699999999998E-3</v>
      </c>
      <c r="E114">
        <v>3.76027E-3</v>
      </c>
      <c r="F114">
        <v>7.1811399999999999E-3</v>
      </c>
      <c r="G114">
        <v>7.0898000000000001E-4</v>
      </c>
      <c r="H114">
        <v>2.7122100000000001E-3</v>
      </c>
      <c r="I114">
        <v>1.1848900000000001E-2</v>
      </c>
      <c r="J114">
        <v>-1.3672000000000001E-4</v>
      </c>
      <c r="K114">
        <v>-3.11765E-3</v>
      </c>
      <c r="L114">
        <v>6.5850199999999996E-3</v>
      </c>
      <c r="M114">
        <v>1.079915E-2</v>
      </c>
      <c r="N114">
        <v>2.0127760000000001E-2</v>
      </c>
      <c r="O114">
        <v>-4.8801199999999999E-3</v>
      </c>
      <c r="P114">
        <v>9.8057800000000001E-3</v>
      </c>
      <c r="Q114">
        <v>-6.6652500000000002E-3</v>
      </c>
      <c r="R114">
        <v>6.3311000000000001E-3</v>
      </c>
      <c r="S114">
        <v>-3.8200299999999999E-3</v>
      </c>
      <c r="T114">
        <v>8.2019599999999995E-3</v>
      </c>
      <c r="U114">
        <v>6.0915500000000003E-3</v>
      </c>
      <c r="V114">
        <v>-6.0631499999999998E-3</v>
      </c>
      <c r="W114">
        <v>-1.4232669999999999E-2</v>
      </c>
      <c r="X114">
        <v>1.035151E-2</v>
      </c>
      <c r="Y114">
        <v>3.4513629999999997E-2</v>
      </c>
      <c r="Z114">
        <v>-4.3292999999999999E-4</v>
      </c>
      <c r="AA114">
        <v>2.38551E-3</v>
      </c>
      <c r="AB114">
        <v>3.6546509999999997E-2</v>
      </c>
      <c r="AC114">
        <v>-3.4287900000000001E-3</v>
      </c>
      <c r="AD114">
        <v>-2.3713060000000001E-2</v>
      </c>
      <c r="AE114">
        <v>-1.6163770000000001E-2</v>
      </c>
      <c r="AF114">
        <v>-7.90918E-3</v>
      </c>
      <c r="AG114">
        <v>8.7132800000000003E-3</v>
      </c>
      <c r="AH114">
        <v>1.400505E-2</v>
      </c>
      <c r="AI114">
        <v>1.5869729999999999E-2</v>
      </c>
      <c r="AJ114">
        <v>1.2085500000000001E-3</v>
      </c>
      <c r="AK114">
        <v>-2.112669E-2</v>
      </c>
      <c r="AL114">
        <v>2.3099140000000001E-2</v>
      </c>
      <c r="AM114">
        <v>8.2403700000000003E-3</v>
      </c>
      <c r="AN114">
        <v>8.2352899999999993E-3</v>
      </c>
      <c r="AO114">
        <v>8.1087699999999995E-3</v>
      </c>
      <c r="AP114">
        <v>2.4375330000000001E-2</v>
      </c>
      <c r="AQ114">
        <v>3.53024E-3</v>
      </c>
      <c r="AR114">
        <v>1.8833639999999999E-2</v>
      </c>
      <c r="AS114">
        <v>1.3208999999999999E-4</v>
      </c>
      <c r="AT114">
        <v>2.9816510000000001E-2</v>
      </c>
      <c r="AU114">
        <v>-1.0122E-3</v>
      </c>
      <c r="AV114">
        <v>2.3083999999999999E-3</v>
      </c>
      <c r="AW114">
        <v>-5.6455200000000002E-3</v>
      </c>
      <c r="AX114">
        <v>1.669781E-2</v>
      </c>
      <c r="AY114">
        <v>1.168042E-2</v>
      </c>
      <c r="AZ114">
        <v>-1.1057559999999999E-2</v>
      </c>
      <c r="BA114">
        <v>2.40748E-3</v>
      </c>
      <c r="BB114">
        <v>1.516732E-2</v>
      </c>
      <c r="BC114">
        <v>9.7281399999999997E-3</v>
      </c>
      <c r="BD114">
        <v>-1.1243799999999999E-3</v>
      </c>
      <c r="BE114">
        <v>-1.97269E-3</v>
      </c>
      <c r="BF114">
        <v>-8.1323699999999999E-3</v>
      </c>
      <c r="BG114">
        <v>3.3596010000000003E-2</v>
      </c>
      <c r="BH114">
        <v>1.309249E-2</v>
      </c>
      <c r="BI114">
        <v>7.5226399999999997E-3</v>
      </c>
      <c r="BJ114">
        <v>-8.9097800000000008E-3</v>
      </c>
      <c r="BK114">
        <v>-2.0047789999999999E-2</v>
      </c>
      <c r="BL114">
        <v>2.1040999999999998E-3</v>
      </c>
      <c r="BM114">
        <v>2.250752E-2</v>
      </c>
      <c r="BN114">
        <v>-1.31986E-2</v>
      </c>
      <c r="BO114">
        <v>1.8660960000000001E-2</v>
      </c>
      <c r="BP114">
        <v>7.7178819999999995E-2</v>
      </c>
      <c r="BQ114">
        <v>-1.9725099999999999E-2</v>
      </c>
      <c r="BR114">
        <v>1.8859770000000001E-2</v>
      </c>
      <c r="BS114">
        <v>8.7055699999999993E-3</v>
      </c>
      <c r="BT114">
        <v>-2.2405540000000002E-2</v>
      </c>
      <c r="BU114">
        <v>2.9709900000000002E-3</v>
      </c>
      <c r="BV114">
        <v>2.8340799999999999E-2</v>
      </c>
      <c r="BW114">
        <v>3.0962279999999998E-2</v>
      </c>
      <c r="BX114">
        <v>1.6095519999999999E-2</v>
      </c>
      <c r="BY114">
        <v>2.2078710000000001E-2</v>
      </c>
      <c r="BZ114">
        <v>1.1836009999999999E-2</v>
      </c>
      <c r="CA114">
        <v>-5.6755399999999998E-3</v>
      </c>
      <c r="CB114">
        <v>8.8466800000000009E-3</v>
      </c>
      <c r="CC114">
        <v>1.17739E-2</v>
      </c>
      <c r="CD114">
        <v>4.3088969999999997E-2</v>
      </c>
      <c r="CE114">
        <v>2.0507500000000001E-3</v>
      </c>
      <c r="CF114">
        <v>1.8980819999999999E-2</v>
      </c>
      <c r="CG114">
        <v>6.6288570000000005E-2</v>
      </c>
      <c r="CH114">
        <v>-1.9770320000000001E-2</v>
      </c>
      <c r="CI114">
        <v>2.3874159999999998E-2</v>
      </c>
      <c r="CJ114">
        <v>4.0417839999999997E-2</v>
      </c>
      <c r="CK114">
        <v>3.8296459999999997E-2</v>
      </c>
      <c r="CL114">
        <v>1.6820120000000001E-2</v>
      </c>
      <c r="CM114">
        <v>1.9940409999999999E-2</v>
      </c>
      <c r="CN114">
        <v>4.84404E-3</v>
      </c>
      <c r="CO114">
        <v>-6.9382699999999999E-3</v>
      </c>
      <c r="CP114">
        <v>3.4253619999999999E-2</v>
      </c>
      <c r="CQ114">
        <v>1.55403E-2</v>
      </c>
      <c r="CR114">
        <v>-1.594054E-2</v>
      </c>
      <c r="CS114">
        <v>-4.3303790000000002E-2</v>
      </c>
      <c r="CT114">
        <v>4.7510490000000002E-2</v>
      </c>
      <c r="CU114">
        <v>-1.9624299999999998E-3</v>
      </c>
      <c r="CV114">
        <v>2.1627980000000002E-2</v>
      </c>
      <c r="CW114">
        <v>6.0103759999999999E-2</v>
      </c>
      <c r="CX114">
        <v>1.410634E-2</v>
      </c>
      <c r="CY114">
        <v>1.1804999999999999E-3</v>
      </c>
      <c r="CZ114">
        <v>0.12326346000000001</v>
      </c>
      <c r="DA114">
        <v>6.6540349999999998E-2</v>
      </c>
      <c r="DB114">
        <v>2.8291090000000001E-2</v>
      </c>
      <c r="DC114">
        <v>-2.1823160000000001E-2</v>
      </c>
      <c r="DD114">
        <v>8.0255320000000005E-2</v>
      </c>
      <c r="DE114">
        <v>-1.7602550000000002E-2</v>
      </c>
      <c r="DF114">
        <v>0.23034626999999999</v>
      </c>
      <c r="DG114">
        <v>6.9680000000000002E-4</v>
      </c>
      <c r="DH114">
        <v>8.7837000000000002E-3</v>
      </c>
      <c r="DI114">
        <v>2.6216300000000001E-2</v>
      </c>
      <c r="DJ114">
        <v>2.247472E-2</v>
      </c>
      <c r="DK114">
        <v>1.3689399999999999E-2</v>
      </c>
      <c r="DL114">
        <v>-1.1948230000000001E-2</v>
      </c>
      <c r="DM114">
        <v>2.0167600000000001E-2</v>
      </c>
      <c r="DN114">
        <v>8.2178570000000006E-2</v>
      </c>
      <c r="DO114">
        <v>2.267429E-2</v>
      </c>
      <c r="DP114">
        <v>3.3411419999999997E-2</v>
      </c>
      <c r="DQ114">
        <v>-1.4163210000000001E-2</v>
      </c>
      <c r="DR114">
        <v>1.9596200000000001E-2</v>
      </c>
      <c r="DS114">
        <v>7.7646409999999999E-2</v>
      </c>
      <c r="DT114">
        <v>7.6911010000000002E-2</v>
      </c>
      <c r="DU114">
        <v>6.5159250000000002E-2</v>
      </c>
      <c r="DV114">
        <v>0.12888115</v>
      </c>
      <c r="DW114">
        <v>0.12255523</v>
      </c>
      <c r="DX114">
        <v>-6.2311510000000001E-2</v>
      </c>
      <c r="DY114">
        <v>8.6463189999999995E-2</v>
      </c>
      <c r="DZ114">
        <v>0.15040938000000001</v>
      </c>
      <c r="EA114">
        <v>1.8367720000000001E-2</v>
      </c>
      <c r="EB114">
        <v>9.537321E-2</v>
      </c>
      <c r="EC114">
        <v>-3.382897E-2</v>
      </c>
      <c r="ED114">
        <v>5.0850989999999999E-2</v>
      </c>
      <c r="EE114">
        <v>-4.7732259999999999E-2</v>
      </c>
      <c r="EF114">
        <v>6.8665000000000002E-3</v>
      </c>
      <c r="EG114">
        <v>-3.8388180000000001E-2</v>
      </c>
      <c r="EH114">
        <v>0.1207994</v>
      </c>
      <c r="EI114">
        <v>-5.621893E-2</v>
      </c>
      <c r="EJ114">
        <v>6.2349109999999999E-2</v>
      </c>
      <c r="EK114">
        <v>2.2141350000000001E-2</v>
      </c>
      <c r="EL114">
        <v>-2.556866E-2</v>
      </c>
      <c r="EM114">
        <v>0.10034574</v>
      </c>
      <c r="EN114">
        <v>5.5153500000000001E-2</v>
      </c>
      <c r="EO114">
        <v>0.11935447</v>
      </c>
      <c r="EP114">
        <f t="shared" si="3"/>
        <v>0</v>
      </c>
      <c r="EQ114">
        <f>SUMIF('Mi portafolio'!$A$8:$A$19,$A114,'Mi portafolio'!$B$8:$B$19)</f>
        <v>0</v>
      </c>
    </row>
    <row r="115" spans="1:147" x14ac:dyDescent="0.25">
      <c r="A115" s="34" t="s">
        <v>193</v>
      </c>
      <c r="B115">
        <v>6.9811000000000005E-4</v>
      </c>
      <c r="C115">
        <v>5.3980399999999998E-3</v>
      </c>
      <c r="D115">
        <v>8.0432500000000001E-3</v>
      </c>
      <c r="E115">
        <v>8.5527799999999994E-3</v>
      </c>
      <c r="F115">
        <v>-7.2301500000000003E-3</v>
      </c>
      <c r="G115">
        <v>3.68666E-3</v>
      </c>
      <c r="H115">
        <v>1.1216520000000001E-2</v>
      </c>
      <c r="I115">
        <v>6.7822200000000003E-3</v>
      </c>
      <c r="J115">
        <v>9.7026999999999999E-3</v>
      </c>
      <c r="K115">
        <v>3.9476199999999998E-3</v>
      </c>
      <c r="L115">
        <v>1.219659E-2</v>
      </c>
      <c r="M115">
        <v>3.7663620000000002E-2</v>
      </c>
      <c r="N115">
        <v>2.1561839999999999E-2</v>
      </c>
      <c r="O115">
        <v>2.2174429999999998E-2</v>
      </c>
      <c r="P115">
        <v>-5.99388E-3</v>
      </c>
      <c r="Q115">
        <v>7.9487700000000008E-3</v>
      </c>
      <c r="R115">
        <v>2.3599699999999999E-3</v>
      </c>
      <c r="S115">
        <v>1.5057859999999999E-2</v>
      </c>
      <c r="T115">
        <v>1.834032E-2</v>
      </c>
      <c r="U115">
        <v>2.226566E-2</v>
      </c>
      <c r="V115">
        <v>2.6411629999999998E-2</v>
      </c>
      <c r="W115">
        <v>1.486494E-2</v>
      </c>
      <c r="X115">
        <v>2.5919930000000001E-2</v>
      </c>
      <c r="Y115">
        <v>5.6811700000000001E-3</v>
      </c>
      <c r="Z115">
        <v>2.700141E-2</v>
      </c>
      <c r="AA115">
        <v>7.5711900000000002E-3</v>
      </c>
      <c r="AB115">
        <v>-1.6731999999999999E-3</v>
      </c>
      <c r="AC115">
        <v>1.4533040000000001E-2</v>
      </c>
      <c r="AD115">
        <v>1.3226979999999999E-2</v>
      </c>
      <c r="AE115">
        <v>2.6687900000000001E-2</v>
      </c>
      <c r="AF115">
        <v>3.2371129999999998E-2</v>
      </c>
      <c r="AG115">
        <v>-1.471305E-2</v>
      </c>
      <c r="AH115">
        <v>-1.9912820000000001E-2</v>
      </c>
      <c r="AI115">
        <v>-1.8613379999999999E-2</v>
      </c>
      <c r="AJ115">
        <v>2.675541E-2</v>
      </c>
      <c r="AK115">
        <v>2.974572E-2</v>
      </c>
      <c r="AL115">
        <v>1.9934899999999998E-2</v>
      </c>
      <c r="AM115">
        <v>1.6368440000000001E-2</v>
      </c>
      <c r="AN115">
        <v>2.4322320000000001E-2</v>
      </c>
      <c r="AO115">
        <v>4.81745E-3</v>
      </c>
      <c r="AP115">
        <v>2.4647349999999998E-2</v>
      </c>
      <c r="AQ115">
        <v>-1.384288E-2</v>
      </c>
      <c r="AR115">
        <v>2.003075E-2</v>
      </c>
      <c r="AS115">
        <v>3.0468539999999999E-2</v>
      </c>
      <c r="AT115">
        <v>1.394593E-2</v>
      </c>
      <c r="AU115">
        <v>-5.6733699999999996E-3</v>
      </c>
      <c r="AV115">
        <v>1.6822520000000001E-2</v>
      </c>
      <c r="AW115">
        <v>3.5501980000000002E-2</v>
      </c>
      <c r="AX115">
        <v>1.791736E-2</v>
      </c>
      <c r="AY115">
        <v>1.325284E-2</v>
      </c>
      <c r="AZ115">
        <v>3.559793E-2</v>
      </c>
      <c r="BA115">
        <v>2.582953E-2</v>
      </c>
      <c r="BB115">
        <v>3.5361240000000002E-2</v>
      </c>
      <c r="BC115">
        <v>1.617965E-2</v>
      </c>
      <c r="BD115">
        <v>3.6482140000000003E-2</v>
      </c>
      <c r="BE115">
        <v>2.4640019999999999E-2</v>
      </c>
      <c r="BF115">
        <v>3.4634360000000003E-2</v>
      </c>
      <c r="BG115">
        <v>2.9767419999999999E-2</v>
      </c>
      <c r="BH115">
        <v>2.7141430000000001E-2</v>
      </c>
      <c r="BI115">
        <v>1.8450729999999999E-2</v>
      </c>
      <c r="BJ115">
        <v>2.0283639999999999E-2</v>
      </c>
      <c r="BK115">
        <v>2.8720639999999999E-2</v>
      </c>
      <c r="BL115">
        <v>7.0223889999999997E-2</v>
      </c>
      <c r="BM115">
        <v>1.4831899999999999E-3</v>
      </c>
      <c r="BN115">
        <v>4.0816400000000001E-3</v>
      </c>
      <c r="BO115">
        <v>3.0004550000000001E-2</v>
      </c>
      <c r="BP115">
        <v>2.1209660000000002E-2</v>
      </c>
      <c r="BQ115">
        <v>6.464686E-2</v>
      </c>
      <c r="BR115">
        <v>3.1158149999999999E-2</v>
      </c>
      <c r="BS115">
        <v>-1.3751849999999999E-2</v>
      </c>
      <c r="BT115">
        <v>4.7598719999999997E-2</v>
      </c>
      <c r="BU115">
        <v>3.3470750000000001E-2</v>
      </c>
      <c r="BV115">
        <v>2.6683829999999999E-2</v>
      </c>
      <c r="BW115">
        <v>2.9307090000000001E-2</v>
      </c>
      <c r="BX115">
        <v>2.9469430000000001E-2</v>
      </c>
      <c r="BY115">
        <v>2.3625239999999999E-2</v>
      </c>
      <c r="BZ115">
        <v>4.7229859999999999E-2</v>
      </c>
      <c r="CA115">
        <v>2.989766E-2</v>
      </c>
      <c r="CB115">
        <v>-2.2540230000000001E-2</v>
      </c>
      <c r="CC115">
        <v>9.4028700000000007E-3</v>
      </c>
      <c r="CD115">
        <v>2.4062650000000001E-2</v>
      </c>
      <c r="CE115">
        <v>2.6907239999999999E-2</v>
      </c>
      <c r="CF115">
        <v>-1.9030559999999998E-2</v>
      </c>
      <c r="CG115">
        <v>3.3493149999999999E-2</v>
      </c>
      <c r="CH115">
        <v>0.10820703</v>
      </c>
      <c r="CI115">
        <v>-1.193838E-2</v>
      </c>
      <c r="CJ115">
        <v>1.9881969999999999E-2</v>
      </c>
      <c r="CK115">
        <v>1.416193E-2</v>
      </c>
      <c r="CL115">
        <v>3.7083820000000003E-2</v>
      </c>
      <c r="CM115">
        <v>6.0968969999999997E-2</v>
      </c>
      <c r="CN115">
        <v>2.7687989999999999E-2</v>
      </c>
      <c r="CO115">
        <v>1.549909E-2</v>
      </c>
      <c r="CP115">
        <v>1.9546600000000001E-2</v>
      </c>
      <c r="CQ115">
        <v>5.2711769999999998E-2</v>
      </c>
      <c r="CR115">
        <v>7.1338970000000002E-2</v>
      </c>
      <c r="CS115">
        <v>7.7481910000000001E-2</v>
      </c>
      <c r="CT115">
        <v>6.9560380000000005E-2</v>
      </c>
      <c r="CU115">
        <v>4.5382859999999997E-2</v>
      </c>
      <c r="CV115">
        <v>1.864114E-2</v>
      </c>
      <c r="CW115">
        <v>3.4754729999999998E-2</v>
      </c>
      <c r="CX115">
        <v>6.8757979999999996E-2</v>
      </c>
      <c r="CY115">
        <v>4.9537530000000003E-2</v>
      </c>
      <c r="CZ115">
        <v>1.2628159999999999E-2</v>
      </c>
      <c r="DA115">
        <v>2.6610720000000001E-2</v>
      </c>
      <c r="DB115">
        <v>7.0934010000000006E-2</v>
      </c>
      <c r="DC115">
        <v>5.414414E-2</v>
      </c>
      <c r="DD115">
        <v>6.047744E-2</v>
      </c>
      <c r="DE115">
        <v>0.15703750999999999</v>
      </c>
      <c r="DF115">
        <v>6.9680000000000002E-4</v>
      </c>
      <c r="DG115">
        <v>0.23114541</v>
      </c>
      <c r="DH115">
        <v>5.650703E-2</v>
      </c>
      <c r="DI115">
        <v>5.829413E-2</v>
      </c>
      <c r="DJ115">
        <v>5.2716159999999998E-2</v>
      </c>
      <c r="DK115">
        <v>7.4078050000000006E-2</v>
      </c>
      <c r="DL115">
        <v>0.14184197000000001</v>
      </c>
      <c r="DM115">
        <v>7.5601409999999994E-2</v>
      </c>
      <c r="DN115">
        <v>2.4606079999999999E-2</v>
      </c>
      <c r="DO115">
        <v>9.4727599999999995E-2</v>
      </c>
      <c r="DP115">
        <v>6.3449259999999993E-2</v>
      </c>
      <c r="DQ115">
        <v>8.9474940000000003E-2</v>
      </c>
      <c r="DR115">
        <v>0.12751525</v>
      </c>
      <c r="DS115">
        <v>-2.9378789999999998E-2</v>
      </c>
      <c r="DT115">
        <v>6.8978579999999998E-2</v>
      </c>
      <c r="DU115">
        <v>0.10215667</v>
      </c>
      <c r="DV115">
        <v>7.2295109999999996E-2</v>
      </c>
      <c r="DW115">
        <v>6.6744929999999994E-2</v>
      </c>
      <c r="DX115">
        <v>0.10469517</v>
      </c>
      <c r="DY115">
        <v>7.6095159999999995E-2</v>
      </c>
      <c r="DZ115">
        <v>1.869852E-2</v>
      </c>
      <c r="EA115">
        <v>8.6092740000000001E-2</v>
      </c>
      <c r="EB115">
        <v>7.8047030000000003E-2</v>
      </c>
      <c r="EC115">
        <v>9.6665340000000002E-2</v>
      </c>
      <c r="ED115">
        <v>0.10844031</v>
      </c>
      <c r="EE115">
        <v>0.12917987</v>
      </c>
      <c r="EF115">
        <v>0.12705647</v>
      </c>
      <c r="EG115">
        <v>9.8323789999999994E-2</v>
      </c>
      <c r="EH115">
        <v>2.6417599999999999E-3</v>
      </c>
      <c r="EI115">
        <v>0.14939844999999999</v>
      </c>
      <c r="EJ115">
        <v>5.2228160000000003E-2</v>
      </c>
      <c r="EK115">
        <v>0.16761989999999999</v>
      </c>
      <c r="EL115">
        <v>0.19847970000000001</v>
      </c>
      <c r="EM115">
        <v>7.7155440000000006E-2</v>
      </c>
      <c r="EN115">
        <v>0.17700083999999999</v>
      </c>
      <c r="EO115">
        <v>3.3189280000000002E-2</v>
      </c>
      <c r="EP115">
        <f t="shared" si="3"/>
        <v>0</v>
      </c>
      <c r="EQ115">
        <f>SUMIF('Mi portafolio'!$A$8:$A$19,$A115,'Mi portafolio'!$B$8:$B$19)</f>
        <v>0</v>
      </c>
    </row>
    <row r="116" spans="1:147" x14ac:dyDescent="0.25">
      <c r="A116" s="34" t="s">
        <v>194</v>
      </c>
      <c r="B116">
        <v>-3.7674700000000002E-3</v>
      </c>
      <c r="C116">
        <v>4.6065999999999998E-3</v>
      </c>
      <c r="D116">
        <v>4.4453699999999997E-3</v>
      </c>
      <c r="E116">
        <v>9.2258700000000006E-3</v>
      </c>
      <c r="F116">
        <v>-1.556222E-2</v>
      </c>
      <c r="G116">
        <v>-2.4841899999999998E-3</v>
      </c>
      <c r="H116">
        <v>9.1354299999999999E-3</v>
      </c>
      <c r="I116">
        <v>-6.4743500000000002E-3</v>
      </c>
      <c r="J116">
        <v>-1.499759E-2</v>
      </c>
      <c r="K116">
        <v>-1.533487E-2</v>
      </c>
      <c r="L116">
        <v>8.1264900000000001E-3</v>
      </c>
      <c r="M116">
        <v>1.820335E-2</v>
      </c>
      <c r="N116">
        <v>-2.2473100000000002E-3</v>
      </c>
      <c r="O116">
        <v>2.36944E-3</v>
      </c>
      <c r="P116">
        <v>-1.2182760000000001E-2</v>
      </c>
      <c r="Q116">
        <v>1.225389E-2</v>
      </c>
      <c r="R116">
        <v>-1.4589090000000001E-2</v>
      </c>
      <c r="S116">
        <v>-6.1435999999999999E-4</v>
      </c>
      <c r="T116">
        <v>1.8326439999999999E-2</v>
      </c>
      <c r="U116">
        <v>1.248608E-2</v>
      </c>
      <c r="V116">
        <v>-4.2555000000000002E-4</v>
      </c>
      <c r="W116">
        <v>-2.48788E-3</v>
      </c>
      <c r="X116">
        <v>2.1267370000000001E-2</v>
      </c>
      <c r="Y116">
        <v>-2.5036199999999998E-3</v>
      </c>
      <c r="Z116">
        <v>1.1238150000000001E-2</v>
      </c>
      <c r="AA116">
        <v>1.8125800000000001E-3</v>
      </c>
      <c r="AB116">
        <v>-9.4575800000000002E-3</v>
      </c>
      <c r="AC116">
        <v>1.219371E-2</v>
      </c>
      <c r="AD116">
        <v>1.377539E-2</v>
      </c>
      <c r="AE116">
        <v>1.934891E-2</v>
      </c>
      <c r="AF116">
        <v>1.5320240000000001E-2</v>
      </c>
      <c r="AG116">
        <v>-1.715442E-2</v>
      </c>
      <c r="AH116">
        <v>-1.6764680000000001E-2</v>
      </c>
      <c r="AI116">
        <v>-1.01659E-2</v>
      </c>
      <c r="AJ116">
        <v>6.5981099999999999E-3</v>
      </c>
      <c r="AK116">
        <v>1.0287289999999999E-2</v>
      </c>
      <c r="AL116">
        <v>2.4359510000000001E-2</v>
      </c>
      <c r="AM116">
        <v>1.696576E-2</v>
      </c>
      <c r="AN116">
        <v>7.40984E-3</v>
      </c>
      <c r="AO116">
        <v>-1.633623E-2</v>
      </c>
      <c r="AP116">
        <v>5.1942999999999998E-3</v>
      </c>
      <c r="AQ116">
        <v>-1.474432E-2</v>
      </c>
      <c r="AR116">
        <v>1.5697780000000001E-2</v>
      </c>
      <c r="AS116">
        <v>7.8270500000000003E-3</v>
      </c>
      <c r="AT116">
        <v>2.0402469999999999E-2</v>
      </c>
      <c r="AU116">
        <v>-9.1610700000000003E-3</v>
      </c>
      <c r="AV116">
        <v>2.375114E-2</v>
      </c>
      <c r="AW116">
        <v>1.53898E-2</v>
      </c>
      <c r="AX116">
        <v>-9.2624000000000005E-3</v>
      </c>
      <c r="AY116">
        <v>1.8675649999999999E-2</v>
      </c>
      <c r="AZ116">
        <v>3.426092E-2</v>
      </c>
      <c r="BA116">
        <v>1.8095839999999998E-2</v>
      </c>
      <c r="BB116">
        <v>4.4656689999999999E-2</v>
      </c>
      <c r="BC116">
        <v>2.9874120000000001E-2</v>
      </c>
      <c r="BD116">
        <v>1.198639E-2</v>
      </c>
      <c r="BE116">
        <v>-1.670141E-2</v>
      </c>
      <c r="BF116">
        <v>5.5595200000000001E-3</v>
      </c>
      <c r="BG116">
        <v>1.2919720000000001E-2</v>
      </c>
      <c r="BH116">
        <v>3.0683120000000001E-2</v>
      </c>
      <c r="BI116">
        <v>3.5342099999999999E-3</v>
      </c>
      <c r="BJ116">
        <v>8.3990899999999997E-3</v>
      </c>
      <c r="BK116">
        <v>3.0368409999999998E-2</v>
      </c>
      <c r="BL116">
        <v>3.4566960000000001E-2</v>
      </c>
      <c r="BM116">
        <v>4.2531799999999996E-3</v>
      </c>
      <c r="BN116">
        <v>-6.4756400000000004E-3</v>
      </c>
      <c r="BO116">
        <v>5.1037029999999997E-2</v>
      </c>
      <c r="BP116">
        <v>3.7249560000000001E-2</v>
      </c>
      <c r="BQ116">
        <v>3.5208549999999998E-2</v>
      </c>
      <c r="BR116">
        <v>2.9734670000000001E-2</v>
      </c>
      <c r="BS116">
        <v>1.9716400000000002E-3</v>
      </c>
      <c r="BT116">
        <v>3.7279720000000002E-2</v>
      </c>
      <c r="BU116">
        <v>1.8144779999999999E-2</v>
      </c>
      <c r="BV116">
        <v>4.3118530000000002E-2</v>
      </c>
      <c r="BW116">
        <v>1.6851629999999999E-2</v>
      </c>
      <c r="BX116">
        <v>-6.58816E-3</v>
      </c>
      <c r="BY116">
        <v>2.529315E-2</v>
      </c>
      <c r="BZ116">
        <v>2.917668E-2</v>
      </c>
      <c r="CA116">
        <v>2.6589419999999999E-2</v>
      </c>
      <c r="CB116">
        <v>-9.1680000000000008E-3</v>
      </c>
      <c r="CC116">
        <v>-5.3509600000000001E-3</v>
      </c>
      <c r="CD116">
        <v>2.1147450000000002E-2</v>
      </c>
      <c r="CE116">
        <v>6.5474329999999997E-2</v>
      </c>
      <c r="CF116">
        <v>-1.053518E-2</v>
      </c>
      <c r="CG116">
        <v>2.7390390000000001E-2</v>
      </c>
      <c r="CH116">
        <v>5.1226279999999999E-2</v>
      </c>
      <c r="CI116">
        <v>-1.0801979999999999E-2</v>
      </c>
      <c r="CJ116">
        <v>2.5782999999999999E-3</v>
      </c>
      <c r="CK116">
        <v>-2.8082900000000002E-3</v>
      </c>
      <c r="CL116">
        <v>3.073857E-2</v>
      </c>
      <c r="CM116">
        <v>9.7837519999999997E-2</v>
      </c>
      <c r="CN116">
        <v>1.9782379999999999E-2</v>
      </c>
      <c r="CO116">
        <v>2.4066400000000002E-2</v>
      </c>
      <c r="CP116">
        <v>3.454161E-2</v>
      </c>
      <c r="CQ116">
        <v>5.2180730000000002E-2</v>
      </c>
      <c r="CR116">
        <v>0.11551366</v>
      </c>
      <c r="CS116">
        <v>9.9105429999999994E-2</v>
      </c>
      <c r="CT116">
        <v>3.7374600000000001E-2</v>
      </c>
      <c r="CU116">
        <v>5.1405649999999997E-2</v>
      </c>
      <c r="CV116">
        <v>4.017577E-2</v>
      </c>
      <c r="CW116">
        <v>2.9403780000000001E-2</v>
      </c>
      <c r="CX116">
        <v>3.3983319999999997E-2</v>
      </c>
      <c r="CY116">
        <v>4.0278880000000003E-2</v>
      </c>
      <c r="CZ116">
        <v>3.8412549999999997E-2</v>
      </c>
      <c r="DA116">
        <v>2.4403310000000001E-2</v>
      </c>
      <c r="DB116">
        <v>8.3381899999999995E-2</v>
      </c>
      <c r="DC116">
        <v>3.4685199999999999E-2</v>
      </c>
      <c r="DD116">
        <v>6.5066150000000003E-2</v>
      </c>
      <c r="DE116">
        <v>9.2556260000000001E-2</v>
      </c>
      <c r="DF116">
        <v>8.7837000000000002E-3</v>
      </c>
      <c r="DG116">
        <v>5.650703E-2</v>
      </c>
      <c r="DH116">
        <v>0.22363901999999999</v>
      </c>
      <c r="DI116">
        <v>5.8492219999999998E-2</v>
      </c>
      <c r="DJ116">
        <v>4.4158410000000002E-2</v>
      </c>
      <c r="DK116">
        <v>7.2864709999999999E-2</v>
      </c>
      <c r="DL116">
        <v>4.1952740000000002E-2</v>
      </c>
      <c r="DM116">
        <v>5.2132669999999999E-2</v>
      </c>
      <c r="DN116">
        <v>3.6114540000000001E-2</v>
      </c>
      <c r="DO116">
        <v>9.1822280000000006E-2</v>
      </c>
      <c r="DP116">
        <v>5.2749619999999997E-2</v>
      </c>
      <c r="DQ116">
        <v>8.6716559999999998E-2</v>
      </c>
      <c r="DR116">
        <v>8.566907E-2</v>
      </c>
      <c r="DS116">
        <v>2.233798E-2</v>
      </c>
      <c r="DT116">
        <v>0.12222651</v>
      </c>
      <c r="DU116">
        <v>9.8452629999999999E-2</v>
      </c>
      <c r="DV116">
        <v>9.1527860000000003E-2</v>
      </c>
      <c r="DW116">
        <v>7.2309639999999994E-2</v>
      </c>
      <c r="DX116">
        <v>0.15572108000000001</v>
      </c>
      <c r="DY116">
        <v>7.5486540000000005E-2</v>
      </c>
      <c r="DZ116">
        <v>4.9614520000000002E-2</v>
      </c>
      <c r="EA116">
        <v>5.7257809999999999E-2</v>
      </c>
      <c r="EB116">
        <v>9.3696580000000002E-2</v>
      </c>
      <c r="EC116">
        <v>1.4846710000000001E-2</v>
      </c>
      <c r="ED116">
        <v>9.0498980000000007E-2</v>
      </c>
      <c r="EE116">
        <v>0.17288339999999999</v>
      </c>
      <c r="EF116">
        <v>9.2806369999999999E-2</v>
      </c>
      <c r="EG116">
        <v>0.16180407999999999</v>
      </c>
      <c r="EH116">
        <v>4.271871E-2</v>
      </c>
      <c r="EI116">
        <v>0.19041384</v>
      </c>
      <c r="EJ116">
        <v>8.3647159999999998E-2</v>
      </c>
      <c r="EK116">
        <v>0.16459773</v>
      </c>
      <c r="EL116">
        <v>0.17676799000000001</v>
      </c>
      <c r="EM116">
        <v>9.6644389999999997E-2</v>
      </c>
      <c r="EN116">
        <v>1.268973E-2</v>
      </c>
      <c r="EO116">
        <v>5.242728E-2</v>
      </c>
      <c r="EP116">
        <f t="shared" si="3"/>
        <v>0</v>
      </c>
      <c r="EQ116">
        <f>SUMIF('Mi portafolio'!$A$8:$A$19,$A116,'Mi portafolio'!$B$8:$B$19)</f>
        <v>0</v>
      </c>
    </row>
    <row r="117" spans="1:147" x14ac:dyDescent="0.25">
      <c r="A117" s="34" t="s">
        <v>195</v>
      </c>
      <c r="B117">
        <v>2.1661320000000001E-2</v>
      </c>
      <c r="C117">
        <v>-2.93393E-3</v>
      </c>
      <c r="D117">
        <v>2.7113699999999998E-3</v>
      </c>
      <c r="E117">
        <v>1.9747279999999999E-2</v>
      </c>
      <c r="F117">
        <v>1.033509E-2</v>
      </c>
      <c r="G117">
        <v>-3.4220000000000002E-4</v>
      </c>
      <c r="H117">
        <v>1.094207E-2</v>
      </c>
      <c r="I117">
        <v>2.3105290000000001E-2</v>
      </c>
      <c r="J117">
        <v>3.7940999999999999E-3</v>
      </c>
      <c r="K117">
        <v>2.3431259999999999E-2</v>
      </c>
      <c r="L117">
        <v>1.379848E-2</v>
      </c>
      <c r="M117">
        <v>4.3493249999999997E-2</v>
      </c>
      <c r="N117">
        <v>2.3512269999999998E-2</v>
      </c>
      <c r="O117">
        <v>2.1131859999999999E-2</v>
      </c>
      <c r="P117">
        <v>4.9159499999999997E-3</v>
      </c>
      <c r="Q117">
        <v>7.3280899999999998E-3</v>
      </c>
      <c r="R117">
        <v>1.247127E-2</v>
      </c>
      <c r="S117">
        <v>1.155752E-2</v>
      </c>
      <c r="T117">
        <v>4.2865180000000003E-2</v>
      </c>
      <c r="U117">
        <v>1.665461E-2</v>
      </c>
      <c r="V117">
        <v>1.1801020000000001E-2</v>
      </c>
      <c r="W117">
        <v>1.297953E-2</v>
      </c>
      <c r="X117">
        <v>4.6240299999999998E-2</v>
      </c>
      <c r="Y117">
        <v>2.826849E-2</v>
      </c>
      <c r="Z117">
        <v>1.1051109999999999E-2</v>
      </c>
      <c r="AA117">
        <v>2.1546289999999999E-2</v>
      </c>
      <c r="AB117">
        <v>3.176876E-2</v>
      </c>
      <c r="AC117">
        <v>1.4533010000000001E-2</v>
      </c>
      <c r="AD117">
        <v>7.4635300000000003E-3</v>
      </c>
      <c r="AE117">
        <v>2.9173109999999999E-2</v>
      </c>
      <c r="AF117">
        <v>1.3693520000000001E-2</v>
      </c>
      <c r="AG117">
        <v>3.6135899999999999E-3</v>
      </c>
      <c r="AH117">
        <v>6.28569E-3</v>
      </c>
      <c r="AI117">
        <v>-3.8805050000000001E-2</v>
      </c>
      <c r="AJ117">
        <v>5.1156800000000001E-3</v>
      </c>
      <c r="AK117">
        <v>2.329724E-2</v>
      </c>
      <c r="AL117">
        <v>3.7144759999999999E-2</v>
      </c>
      <c r="AM117">
        <v>2.2626839999999999E-2</v>
      </c>
      <c r="AN117">
        <v>6.0211830000000001E-2</v>
      </c>
      <c r="AO117">
        <v>7.9745600000000003E-3</v>
      </c>
      <c r="AP117">
        <v>4.5805699999999998E-2</v>
      </c>
      <c r="AQ117">
        <v>-4.7844659999999997E-2</v>
      </c>
      <c r="AR117">
        <v>4.5234959999999998E-2</v>
      </c>
      <c r="AS117">
        <v>9.8908899999999994E-3</v>
      </c>
      <c r="AT117">
        <v>6.1879030000000002E-2</v>
      </c>
      <c r="AU117">
        <v>8.0855000000000007E-3</v>
      </c>
      <c r="AV117">
        <v>1.8849459999999998E-2</v>
      </c>
      <c r="AW117">
        <v>1.7194339999999999E-2</v>
      </c>
      <c r="AX117">
        <v>3.6194530000000003E-2</v>
      </c>
      <c r="AY117">
        <v>4.698132E-2</v>
      </c>
      <c r="AZ117">
        <v>4.0193239999999998E-2</v>
      </c>
      <c r="BA117">
        <v>4.8626509999999998E-2</v>
      </c>
      <c r="BB117">
        <v>7.743506E-2</v>
      </c>
      <c r="BC117">
        <v>2.7989259999999998E-2</v>
      </c>
      <c r="BD117">
        <v>2.3683280000000001E-2</v>
      </c>
      <c r="BE117">
        <v>2.2113089999999998E-2</v>
      </c>
      <c r="BF117">
        <v>1.591969E-2</v>
      </c>
      <c r="BG117">
        <v>3.4455640000000003E-2</v>
      </c>
      <c r="BH117">
        <v>2.3204369999999998E-2</v>
      </c>
      <c r="BI117">
        <v>3.1718040000000003E-2</v>
      </c>
      <c r="BJ117">
        <v>-8.6372500000000008E-3</v>
      </c>
      <c r="BK117">
        <v>3.7411769999999997E-2</v>
      </c>
      <c r="BL117">
        <v>4.2254079999999999E-2</v>
      </c>
      <c r="BM117">
        <v>4.4026200000000001E-2</v>
      </c>
      <c r="BN117">
        <v>3.0681070000000001E-2</v>
      </c>
      <c r="BO117">
        <v>5.966482E-2</v>
      </c>
      <c r="BP117">
        <v>2.890177E-2</v>
      </c>
      <c r="BQ117">
        <v>4.2327579999999997E-2</v>
      </c>
      <c r="BR117">
        <v>7.4747309999999997E-2</v>
      </c>
      <c r="BS117">
        <v>-5.283707E-2</v>
      </c>
      <c r="BT117">
        <v>8.0616889999999997E-2</v>
      </c>
      <c r="BU117">
        <v>2.2988080000000001E-2</v>
      </c>
      <c r="BV117">
        <v>5.2069039999999997E-2</v>
      </c>
      <c r="BW117">
        <v>5.0382919999999998E-2</v>
      </c>
      <c r="BX117">
        <v>2.7610389999999999E-2</v>
      </c>
      <c r="BY117">
        <v>7.614079E-2</v>
      </c>
      <c r="BZ117">
        <v>7.1286100000000005E-2</v>
      </c>
      <c r="CA117">
        <v>1.3199560000000001E-2</v>
      </c>
      <c r="CB117">
        <v>-7.7309199999999996E-3</v>
      </c>
      <c r="CC117">
        <v>3.2740850000000002E-2</v>
      </c>
      <c r="CD117">
        <v>4.1202639999999999E-2</v>
      </c>
      <c r="CE117">
        <v>2.4817559999999999E-2</v>
      </c>
      <c r="CF117">
        <v>-5.7922590000000003E-2</v>
      </c>
      <c r="CG117">
        <v>6.9372210000000004E-2</v>
      </c>
      <c r="CH117">
        <v>4.4950530000000002E-2</v>
      </c>
      <c r="CI117">
        <v>-6.0074540000000003E-2</v>
      </c>
      <c r="CJ117">
        <v>1.7194870000000001E-2</v>
      </c>
      <c r="CK117">
        <v>5.3485089999999999E-2</v>
      </c>
      <c r="CL117">
        <v>7.696422E-2</v>
      </c>
      <c r="CM117">
        <v>4.1499510000000003E-2</v>
      </c>
      <c r="CN117">
        <v>4.2490200000000001E-3</v>
      </c>
      <c r="CO117">
        <v>2.5987909999999999E-2</v>
      </c>
      <c r="CP117">
        <v>2.8635609999999999E-2</v>
      </c>
      <c r="CQ117">
        <v>0.16576816</v>
      </c>
      <c r="CR117">
        <v>6.7882159999999997E-2</v>
      </c>
      <c r="CS117">
        <v>7.7814320000000006E-2</v>
      </c>
      <c r="CT117">
        <v>5.9050940000000003E-2</v>
      </c>
      <c r="CU117">
        <v>3.1939049999999997E-2</v>
      </c>
      <c r="CV117">
        <v>5.300204E-2</v>
      </c>
      <c r="CW117">
        <v>4.945513E-2</v>
      </c>
      <c r="CX117">
        <v>6.8925899999999998E-2</v>
      </c>
      <c r="CY117">
        <v>0.15783575</v>
      </c>
      <c r="CZ117">
        <v>3.3645700000000001E-2</v>
      </c>
      <c r="DA117">
        <v>3.0148790000000002E-2</v>
      </c>
      <c r="DB117">
        <v>8.3991410000000002E-2</v>
      </c>
      <c r="DC117">
        <v>9.8150669999999995E-2</v>
      </c>
      <c r="DD117">
        <v>8.0693769999999998E-2</v>
      </c>
      <c r="DE117">
        <v>6.5567760000000003E-2</v>
      </c>
      <c r="DF117">
        <v>2.6216300000000001E-2</v>
      </c>
      <c r="DG117">
        <v>5.829413E-2</v>
      </c>
      <c r="DH117">
        <v>5.8492219999999998E-2</v>
      </c>
      <c r="DI117">
        <v>0.23811108</v>
      </c>
      <c r="DJ117">
        <v>0.12507966000000001</v>
      </c>
      <c r="DK117">
        <v>0.20247483999999999</v>
      </c>
      <c r="DL117">
        <v>2.2342959999999999E-2</v>
      </c>
      <c r="DM117">
        <v>0.16056107</v>
      </c>
      <c r="DN117">
        <v>6.7924349999999994E-2</v>
      </c>
      <c r="DO117">
        <v>8.7760019999999994E-2</v>
      </c>
      <c r="DP117">
        <v>0.16362097</v>
      </c>
      <c r="DQ117">
        <v>8.0997650000000004E-2</v>
      </c>
      <c r="DR117">
        <v>5.4841519999999998E-2</v>
      </c>
      <c r="DS117">
        <v>4.7563689999999999E-2</v>
      </c>
      <c r="DT117">
        <v>5.1519759999999998E-2</v>
      </c>
      <c r="DU117">
        <v>0.11162065</v>
      </c>
      <c r="DV117">
        <v>5.5487990000000001E-2</v>
      </c>
      <c r="DW117">
        <v>9.0310909999999994E-2</v>
      </c>
      <c r="DX117">
        <v>9.0660130000000005E-2</v>
      </c>
      <c r="DY117">
        <v>0.13693184</v>
      </c>
      <c r="DZ117">
        <v>3.9009849999999999E-2</v>
      </c>
      <c r="EA117">
        <v>8.5785040000000007E-2</v>
      </c>
      <c r="EB117">
        <v>0.14482821000000001</v>
      </c>
      <c r="EC117">
        <v>-2.0652499999999998E-3</v>
      </c>
      <c r="ED117">
        <v>9.3731540000000002E-2</v>
      </c>
      <c r="EE117">
        <v>0.11573007</v>
      </c>
      <c r="EF117">
        <v>7.1896879999999996E-2</v>
      </c>
      <c r="EG117">
        <v>0.1147425</v>
      </c>
      <c r="EH117">
        <v>6.071124E-2</v>
      </c>
      <c r="EI117">
        <v>0.10424837000000001</v>
      </c>
      <c r="EJ117">
        <v>0.13254121999999999</v>
      </c>
      <c r="EK117">
        <v>0.12346303</v>
      </c>
      <c r="EL117">
        <v>0.13884292000000001</v>
      </c>
      <c r="EM117">
        <v>8.802567E-2</v>
      </c>
      <c r="EN117">
        <v>8.2589529999999994E-2</v>
      </c>
      <c r="EO117">
        <v>8.7628170000000005E-2</v>
      </c>
      <c r="EP117">
        <f t="shared" si="3"/>
        <v>0</v>
      </c>
      <c r="EQ117">
        <f>SUMIF('Mi portafolio'!$A$8:$A$19,$A117,'Mi portafolio'!$B$8:$B$19)</f>
        <v>0</v>
      </c>
    </row>
    <row r="118" spans="1:147" x14ac:dyDescent="0.25">
      <c r="A118" s="34" t="s">
        <v>196</v>
      </c>
      <c r="B118">
        <v>1.8050630000000002E-2</v>
      </c>
      <c r="C118">
        <v>-5.1743199999999996E-3</v>
      </c>
      <c r="D118">
        <v>1.9447E-4</v>
      </c>
      <c r="E118">
        <v>7.5652599999999999E-3</v>
      </c>
      <c r="F118">
        <v>1.446685E-2</v>
      </c>
      <c r="G118">
        <v>-4.2122499999999998E-3</v>
      </c>
      <c r="H118">
        <v>6.38194E-3</v>
      </c>
      <c r="I118">
        <v>2.6517329999999999E-2</v>
      </c>
      <c r="J118">
        <v>1.424279E-2</v>
      </c>
      <c r="K118">
        <v>2.826861E-2</v>
      </c>
      <c r="L118">
        <v>8.5208300000000001E-3</v>
      </c>
      <c r="M118">
        <v>3.9573909999999997E-2</v>
      </c>
      <c r="N118">
        <v>3.1377210000000003E-2</v>
      </c>
      <c r="O118">
        <v>6.7939300000000001E-3</v>
      </c>
      <c r="P118">
        <v>9.00602E-3</v>
      </c>
      <c r="Q118">
        <v>-1.02053E-3</v>
      </c>
      <c r="R118">
        <v>1.5832869999999999E-2</v>
      </c>
      <c r="S118">
        <v>7.0187299999999999E-3</v>
      </c>
      <c r="T118">
        <v>4.3572779999999998E-2</v>
      </c>
      <c r="U118">
        <v>7.9029500000000006E-3</v>
      </c>
      <c r="V118">
        <v>1.1290909999999999E-2</v>
      </c>
      <c r="W118">
        <v>-3.76728E-3</v>
      </c>
      <c r="X118">
        <v>4.5063119999999998E-2</v>
      </c>
      <c r="Y118">
        <v>3.8900669999999998E-2</v>
      </c>
      <c r="Z118">
        <v>1.3100550000000001E-2</v>
      </c>
      <c r="AA118">
        <v>1.1289189999999999E-2</v>
      </c>
      <c r="AB118">
        <v>4.3028900000000002E-2</v>
      </c>
      <c r="AC118">
        <v>-8.2633999999999995E-4</v>
      </c>
      <c r="AD118">
        <v>6.5200099999999997E-3</v>
      </c>
      <c r="AE118">
        <v>2.178486E-2</v>
      </c>
      <c r="AF118">
        <v>-8.3272999999999995E-4</v>
      </c>
      <c r="AG118">
        <v>4.3980199999999999E-3</v>
      </c>
      <c r="AH118">
        <v>-4.3651999999999997E-4</v>
      </c>
      <c r="AI118">
        <v>-2.6369529999999999E-2</v>
      </c>
      <c r="AJ118">
        <v>1.9748500000000002E-3</v>
      </c>
      <c r="AK118">
        <v>2.453586E-2</v>
      </c>
      <c r="AL118">
        <v>3.4793879999999999E-2</v>
      </c>
      <c r="AM118">
        <v>1.652638E-2</v>
      </c>
      <c r="AN118">
        <v>5.6686470000000003E-2</v>
      </c>
      <c r="AO118">
        <v>2.0133459999999999E-2</v>
      </c>
      <c r="AP118">
        <v>5.2124419999999998E-2</v>
      </c>
      <c r="AQ118">
        <v>-2.8289539999999998E-2</v>
      </c>
      <c r="AR118">
        <v>4.6085470000000003E-2</v>
      </c>
      <c r="AS118">
        <v>1.3880699999999999E-2</v>
      </c>
      <c r="AT118">
        <v>6.0573689999999999E-2</v>
      </c>
      <c r="AU118">
        <v>1.606728E-2</v>
      </c>
      <c r="AV118">
        <v>2.7217600000000002E-3</v>
      </c>
      <c r="AW118">
        <v>6.4246499999999996E-3</v>
      </c>
      <c r="AX118">
        <v>3.7304959999999998E-2</v>
      </c>
      <c r="AY118">
        <v>4.7003000000000003E-2</v>
      </c>
      <c r="AZ118">
        <v>2.6046260000000002E-2</v>
      </c>
      <c r="BA118">
        <v>4.5499989999999997E-2</v>
      </c>
      <c r="BB118">
        <v>6.0472959999999999E-2</v>
      </c>
      <c r="BC118">
        <v>-1.62126E-3</v>
      </c>
      <c r="BD118">
        <v>1.31874E-2</v>
      </c>
      <c r="BE118">
        <v>3.2912499999999997E-2</v>
      </c>
      <c r="BF118">
        <v>1.862867E-2</v>
      </c>
      <c r="BG118">
        <v>4.5960599999999997E-2</v>
      </c>
      <c r="BH118">
        <v>1.2695349999999999E-2</v>
      </c>
      <c r="BI118">
        <v>1.425886E-2</v>
      </c>
      <c r="BJ118">
        <v>-1.0637600000000001E-2</v>
      </c>
      <c r="BK118">
        <v>2.1983039999999999E-2</v>
      </c>
      <c r="BL118">
        <v>5.7972049999999997E-2</v>
      </c>
      <c r="BM118">
        <v>5.0903200000000003E-2</v>
      </c>
      <c r="BN118">
        <v>1.765419E-2</v>
      </c>
      <c r="BO118">
        <v>5.3824370000000003E-2</v>
      </c>
      <c r="BP118">
        <v>5.5342500000000001E-3</v>
      </c>
      <c r="BQ118">
        <v>3.1808059999999999E-2</v>
      </c>
      <c r="BR118">
        <v>5.4882880000000002E-2</v>
      </c>
      <c r="BS118">
        <v>-2.3019149999999999E-2</v>
      </c>
      <c r="BT118">
        <v>7.338538E-2</v>
      </c>
      <c r="BU118">
        <v>2.4521790000000002E-2</v>
      </c>
      <c r="BV118">
        <v>4.263579E-2</v>
      </c>
      <c r="BW118">
        <v>1.2901920000000001E-2</v>
      </c>
      <c r="BX118">
        <v>4.4326579999999997E-2</v>
      </c>
      <c r="BY118">
        <v>7.1019550000000001E-2</v>
      </c>
      <c r="BZ118">
        <v>5.4322500000000003E-2</v>
      </c>
      <c r="CA118">
        <v>8.2076700000000002E-3</v>
      </c>
      <c r="CB118">
        <v>-1.3292730000000001E-2</v>
      </c>
      <c r="CC118">
        <v>2.3188750000000001E-2</v>
      </c>
      <c r="CD118">
        <v>6.335027E-2</v>
      </c>
      <c r="CE118">
        <v>2.9172389999999999E-2</v>
      </c>
      <c r="CF118">
        <v>-3.2897549999999998E-2</v>
      </c>
      <c r="CG118">
        <v>7.1751529999999994E-2</v>
      </c>
      <c r="CH118">
        <v>4.6198910000000003E-2</v>
      </c>
      <c r="CI118">
        <v>-3.0871240000000001E-2</v>
      </c>
      <c r="CJ118">
        <v>8.0934600000000002E-3</v>
      </c>
      <c r="CK118">
        <v>5.284614E-2</v>
      </c>
      <c r="CL118">
        <v>6.5832909999999994E-2</v>
      </c>
      <c r="CM118">
        <v>3.898211E-2</v>
      </c>
      <c r="CN118">
        <v>2.092014E-2</v>
      </c>
      <c r="CO118">
        <v>1.4419609999999999E-2</v>
      </c>
      <c r="CP118">
        <v>1.7902459999999999E-2</v>
      </c>
      <c r="CQ118">
        <v>0.11568168</v>
      </c>
      <c r="CR118">
        <v>6.7094180000000003E-2</v>
      </c>
      <c r="CS118">
        <v>6.7422620000000003E-2</v>
      </c>
      <c r="CT118">
        <v>5.2087059999999998E-2</v>
      </c>
      <c r="CU118">
        <v>3.1073409999999999E-2</v>
      </c>
      <c r="CV118">
        <v>6.3502139999999999E-2</v>
      </c>
      <c r="CW118">
        <v>5.5669370000000003E-2</v>
      </c>
      <c r="CX118">
        <v>6.5778530000000002E-2</v>
      </c>
      <c r="CY118">
        <v>0.14738237000000001</v>
      </c>
      <c r="CZ118">
        <v>4.0410050000000003E-2</v>
      </c>
      <c r="DA118">
        <v>5.0343949999999998E-2</v>
      </c>
      <c r="DB118">
        <v>4.0090819999999999E-2</v>
      </c>
      <c r="DC118">
        <v>9.7187449999999995E-2</v>
      </c>
      <c r="DD118">
        <v>7.9706319999999997E-2</v>
      </c>
      <c r="DE118">
        <v>7.1388419999999994E-2</v>
      </c>
      <c r="DF118">
        <v>2.247472E-2</v>
      </c>
      <c r="DG118">
        <v>5.2716159999999998E-2</v>
      </c>
      <c r="DH118">
        <v>4.4158410000000002E-2</v>
      </c>
      <c r="DI118">
        <v>0.12507966000000001</v>
      </c>
      <c r="DJ118">
        <v>0.24292591999999999</v>
      </c>
      <c r="DK118">
        <v>0.13921032999999999</v>
      </c>
      <c r="DL118">
        <v>2.7599499999999999E-2</v>
      </c>
      <c r="DM118">
        <v>0.20185337</v>
      </c>
      <c r="DN118">
        <v>7.4835990000000005E-2</v>
      </c>
      <c r="DO118">
        <v>7.267245E-2</v>
      </c>
      <c r="DP118">
        <v>0.21083114999999999</v>
      </c>
      <c r="DQ118">
        <v>4.1047889999999997E-2</v>
      </c>
      <c r="DR118">
        <v>4.3429450000000001E-2</v>
      </c>
      <c r="DS118">
        <v>6.8279210000000007E-2</v>
      </c>
      <c r="DT118">
        <v>4.5864580000000002E-2</v>
      </c>
      <c r="DU118">
        <v>6.9645399999999996E-2</v>
      </c>
      <c r="DV118">
        <v>3.004799E-2</v>
      </c>
      <c r="DW118">
        <v>8.9894500000000002E-2</v>
      </c>
      <c r="DX118">
        <v>8.1143030000000005E-2</v>
      </c>
      <c r="DY118">
        <v>9.8657739999999994E-2</v>
      </c>
      <c r="DZ118">
        <v>3.8935659999999997E-2</v>
      </c>
      <c r="EA118">
        <v>7.4282310000000004E-2</v>
      </c>
      <c r="EB118">
        <v>0.11998103</v>
      </c>
      <c r="EC118">
        <v>2.42197E-2</v>
      </c>
      <c r="ED118">
        <v>7.2185330000000006E-2</v>
      </c>
      <c r="EE118">
        <v>7.271176E-2</v>
      </c>
      <c r="EF118">
        <v>6.3922240000000005E-2</v>
      </c>
      <c r="EG118">
        <v>7.1660249999999995E-2</v>
      </c>
      <c r="EH118">
        <v>4.1047960000000001E-2</v>
      </c>
      <c r="EI118">
        <v>6.7905569999999998E-2</v>
      </c>
      <c r="EJ118">
        <v>0.14764300999999999</v>
      </c>
      <c r="EK118">
        <v>5.4496820000000001E-2</v>
      </c>
      <c r="EL118">
        <v>9.2983369999999996E-2</v>
      </c>
      <c r="EM118">
        <v>6.8331199999999995E-2</v>
      </c>
      <c r="EN118">
        <v>9.2213050000000005E-2</v>
      </c>
      <c r="EO118">
        <v>0.14113543000000001</v>
      </c>
      <c r="EP118">
        <f t="shared" si="3"/>
        <v>0</v>
      </c>
      <c r="EQ118">
        <f>SUMIF('Mi portafolio'!$A$8:$A$19,$A118,'Mi portafolio'!$B$8:$B$19)</f>
        <v>0</v>
      </c>
    </row>
    <row r="119" spans="1:147" x14ac:dyDescent="0.25">
      <c r="A119" s="34" t="s">
        <v>197</v>
      </c>
      <c r="B119">
        <v>1.90478E-2</v>
      </c>
      <c r="C119">
        <v>-1.148E-4</v>
      </c>
      <c r="D119">
        <v>2.0727100000000002E-3</v>
      </c>
      <c r="E119">
        <v>1.314835E-2</v>
      </c>
      <c r="F119">
        <v>7.1360499999999997E-3</v>
      </c>
      <c r="G119">
        <v>-5.6020699999999998E-3</v>
      </c>
      <c r="H119">
        <v>8.9886700000000007E-3</v>
      </c>
      <c r="I119">
        <v>1.879838E-2</v>
      </c>
      <c r="J119">
        <v>6.9981899999999996E-3</v>
      </c>
      <c r="K119">
        <v>2.0823789999999998E-2</v>
      </c>
      <c r="L119">
        <v>1.514883E-2</v>
      </c>
      <c r="M119">
        <v>4.6895869999999999E-2</v>
      </c>
      <c r="N119">
        <v>2.5546550000000001E-2</v>
      </c>
      <c r="O119">
        <v>1.4910980000000001E-2</v>
      </c>
      <c r="P119">
        <v>5.0851400000000001E-3</v>
      </c>
      <c r="Q119">
        <v>4.4523799999999997E-3</v>
      </c>
      <c r="R119">
        <v>1.0848150000000001E-2</v>
      </c>
      <c r="S119">
        <v>1.200241E-2</v>
      </c>
      <c r="T119">
        <v>4.8104899999999999E-2</v>
      </c>
      <c r="U119">
        <v>1.596349E-2</v>
      </c>
      <c r="V119">
        <v>1.258541E-2</v>
      </c>
      <c r="W119">
        <v>8.5774000000000006E-3</v>
      </c>
      <c r="X119">
        <v>5.445473E-2</v>
      </c>
      <c r="Y119">
        <v>2.6617439999999999E-2</v>
      </c>
      <c r="Z119">
        <v>1.0364709999999999E-2</v>
      </c>
      <c r="AA119">
        <v>1.9531219999999998E-2</v>
      </c>
      <c r="AB119">
        <v>2.894677E-2</v>
      </c>
      <c r="AC119">
        <v>4.4146599999999999E-3</v>
      </c>
      <c r="AD119">
        <v>1.0491800000000001E-2</v>
      </c>
      <c r="AE119">
        <v>3.3162949999999997E-2</v>
      </c>
      <c r="AF119">
        <v>1.6202589999999999E-2</v>
      </c>
      <c r="AG119">
        <v>4.5716000000000002E-4</v>
      </c>
      <c r="AH119">
        <v>2.5158899999999998E-3</v>
      </c>
      <c r="AI119">
        <v>-3.963991E-2</v>
      </c>
      <c r="AJ119">
        <v>9.0871500000000004E-3</v>
      </c>
      <c r="AK119">
        <v>2.4103989999999999E-2</v>
      </c>
      <c r="AL119">
        <v>3.8096850000000002E-2</v>
      </c>
      <c r="AM119">
        <v>2.418905E-2</v>
      </c>
      <c r="AN119">
        <v>6.2510659999999996E-2</v>
      </c>
      <c r="AO119">
        <v>1.1312849999999999E-2</v>
      </c>
      <c r="AP119">
        <v>4.4636189999999999E-2</v>
      </c>
      <c r="AQ119">
        <v>-4.7032650000000002E-2</v>
      </c>
      <c r="AR119">
        <v>5.6719289999999999E-2</v>
      </c>
      <c r="AS119">
        <v>1.9389239999999999E-2</v>
      </c>
      <c r="AT119">
        <v>6.8790589999999999E-2</v>
      </c>
      <c r="AU119">
        <v>1.154109E-2</v>
      </c>
      <c r="AV119">
        <v>1.6945399999999999E-2</v>
      </c>
      <c r="AW119">
        <v>2.3284760000000002E-2</v>
      </c>
      <c r="AX119">
        <v>3.3861830000000002E-2</v>
      </c>
      <c r="AY119">
        <v>5.2295479999999998E-2</v>
      </c>
      <c r="AZ119">
        <v>4.8403099999999998E-2</v>
      </c>
      <c r="BA119">
        <v>6.2370450000000001E-2</v>
      </c>
      <c r="BB119">
        <v>8.6768109999999996E-2</v>
      </c>
      <c r="BC119">
        <v>2.5718669999999999E-2</v>
      </c>
      <c r="BD119">
        <v>2.477209E-2</v>
      </c>
      <c r="BE119">
        <v>2.9045560000000002E-2</v>
      </c>
      <c r="BF119">
        <v>2.3224539999999998E-2</v>
      </c>
      <c r="BG119">
        <v>4.777054E-2</v>
      </c>
      <c r="BH119">
        <v>2.885279E-2</v>
      </c>
      <c r="BI119">
        <v>2.6010579999999998E-2</v>
      </c>
      <c r="BJ119">
        <v>-2.1852E-3</v>
      </c>
      <c r="BK119">
        <v>3.735666E-2</v>
      </c>
      <c r="BL119">
        <v>5.6874429999999997E-2</v>
      </c>
      <c r="BM119">
        <v>4.811874E-2</v>
      </c>
      <c r="BN119">
        <v>2.8262240000000001E-2</v>
      </c>
      <c r="BO119">
        <v>5.5063630000000002E-2</v>
      </c>
      <c r="BP119">
        <v>3.0234199999999999E-2</v>
      </c>
      <c r="BQ119">
        <v>5.7115810000000003E-2</v>
      </c>
      <c r="BR119">
        <v>8.3333480000000001E-2</v>
      </c>
      <c r="BS119">
        <v>-5.060485E-2</v>
      </c>
      <c r="BT119">
        <v>9.241394E-2</v>
      </c>
      <c r="BU119">
        <v>2.363968E-2</v>
      </c>
      <c r="BV119">
        <v>5.3099109999999998E-2</v>
      </c>
      <c r="BW119">
        <v>5.2197529999999999E-2</v>
      </c>
      <c r="BX119">
        <v>2.4657910000000002E-2</v>
      </c>
      <c r="BY119">
        <v>7.9968999999999998E-2</v>
      </c>
      <c r="BZ119">
        <v>8.3139610000000003E-2</v>
      </c>
      <c r="CA119">
        <v>9.1442799999999994E-3</v>
      </c>
      <c r="CB119">
        <v>-1.023493E-2</v>
      </c>
      <c r="CC119">
        <v>3.0294209999999999E-2</v>
      </c>
      <c r="CD119">
        <v>4.876022E-2</v>
      </c>
      <c r="CE119">
        <v>3.898687E-2</v>
      </c>
      <c r="CF119">
        <v>-5.7658309999999997E-2</v>
      </c>
      <c r="CG119">
        <v>7.1122199999999997E-2</v>
      </c>
      <c r="CH119">
        <v>5.1938419999999999E-2</v>
      </c>
      <c r="CI119">
        <v>-5.9922660000000003E-2</v>
      </c>
      <c r="CJ119">
        <v>1.103694E-2</v>
      </c>
      <c r="CK119">
        <v>5.4757790000000001E-2</v>
      </c>
      <c r="CL119">
        <v>8.0019599999999996E-2</v>
      </c>
      <c r="CM119">
        <v>5.8508169999999998E-2</v>
      </c>
      <c r="CN119">
        <v>9.5323000000000005E-3</v>
      </c>
      <c r="CO119">
        <v>3.33747E-2</v>
      </c>
      <c r="CP119">
        <v>2.553915E-2</v>
      </c>
      <c r="CQ119">
        <v>0.17915785000000001</v>
      </c>
      <c r="CR119">
        <v>8.696632E-2</v>
      </c>
      <c r="CS119">
        <v>9.6996739999999998E-2</v>
      </c>
      <c r="CT119">
        <v>6.2003910000000002E-2</v>
      </c>
      <c r="CU119">
        <v>3.7606430000000003E-2</v>
      </c>
      <c r="CV119">
        <v>5.7043209999999997E-2</v>
      </c>
      <c r="CW119">
        <v>5.8764829999999997E-2</v>
      </c>
      <c r="CX119">
        <v>8.3461850000000004E-2</v>
      </c>
      <c r="CY119">
        <v>0.16208547000000001</v>
      </c>
      <c r="CZ119">
        <v>2.974454E-2</v>
      </c>
      <c r="DA119">
        <v>3.524774E-2</v>
      </c>
      <c r="DB119">
        <v>7.6744930000000003E-2</v>
      </c>
      <c r="DC119">
        <v>0.10971292000000001</v>
      </c>
      <c r="DD119">
        <v>8.2091789999999998E-2</v>
      </c>
      <c r="DE119">
        <v>8.8632420000000003E-2</v>
      </c>
      <c r="DF119">
        <v>1.3689399999999999E-2</v>
      </c>
      <c r="DG119">
        <v>7.4078050000000006E-2</v>
      </c>
      <c r="DH119">
        <v>7.2864709999999999E-2</v>
      </c>
      <c r="DI119">
        <v>0.20247483999999999</v>
      </c>
      <c r="DJ119">
        <v>0.13921032999999999</v>
      </c>
      <c r="DK119">
        <v>0.24213488999999999</v>
      </c>
      <c r="DL119">
        <v>3.012099E-2</v>
      </c>
      <c r="DM119">
        <v>0.17211299999999999</v>
      </c>
      <c r="DN119">
        <v>7.7498360000000002E-2</v>
      </c>
      <c r="DO119">
        <v>9.1222399999999995E-2</v>
      </c>
      <c r="DP119">
        <v>0.17471120000000001</v>
      </c>
      <c r="DQ119">
        <v>9.8917939999999996E-2</v>
      </c>
      <c r="DR119">
        <v>6.8068210000000004E-2</v>
      </c>
      <c r="DS119">
        <v>4.4326659999999997E-2</v>
      </c>
      <c r="DT119">
        <v>5.8357930000000002E-2</v>
      </c>
      <c r="DU119">
        <v>0.12435063</v>
      </c>
      <c r="DV119">
        <v>5.8535619999999997E-2</v>
      </c>
      <c r="DW119">
        <v>9.9714979999999995E-2</v>
      </c>
      <c r="DX119">
        <v>0.11601503000000001</v>
      </c>
      <c r="DY119">
        <v>0.14051194</v>
      </c>
      <c r="DZ119">
        <v>3.6769570000000001E-2</v>
      </c>
      <c r="EA119">
        <v>9.2845220000000006E-2</v>
      </c>
      <c r="EB119">
        <v>0.15114696999999999</v>
      </c>
      <c r="EC119">
        <v>1.6083469999999999E-2</v>
      </c>
      <c r="ED119">
        <v>0.10510878</v>
      </c>
      <c r="EE119">
        <v>0.13880855</v>
      </c>
      <c r="EF119">
        <v>0.11123914999999999</v>
      </c>
      <c r="EG119">
        <v>0.13703837999999999</v>
      </c>
      <c r="EH119">
        <v>5.621636E-2</v>
      </c>
      <c r="EI119">
        <v>0.12920938000000001</v>
      </c>
      <c r="EJ119">
        <v>0.14968577</v>
      </c>
      <c r="EK119">
        <v>0.14578874999999999</v>
      </c>
      <c r="EL119">
        <v>0.18310683</v>
      </c>
      <c r="EM119">
        <v>0.11319293</v>
      </c>
      <c r="EN119">
        <v>7.4615849999999997E-2</v>
      </c>
      <c r="EO119">
        <v>8.8743169999999996E-2</v>
      </c>
      <c r="EP119">
        <f t="shared" si="3"/>
        <v>0</v>
      </c>
      <c r="EQ119">
        <f>SUMIF('Mi portafolio'!$A$8:$A$19,$A119,'Mi portafolio'!$B$8:$B$19)</f>
        <v>0</v>
      </c>
    </row>
    <row r="120" spans="1:147" x14ac:dyDescent="0.25">
      <c r="A120" s="34" t="s">
        <v>198</v>
      </c>
      <c r="B120">
        <v>-1.004149E-2</v>
      </c>
      <c r="C120">
        <v>1.5403979999999999E-2</v>
      </c>
      <c r="D120">
        <v>1.968375E-2</v>
      </c>
      <c r="E120">
        <v>1.0743020000000001E-2</v>
      </c>
      <c r="F120">
        <v>-1.1848040000000001E-2</v>
      </c>
      <c r="G120">
        <v>1.6996799999999999E-2</v>
      </c>
      <c r="H120">
        <v>2.2779170000000001E-2</v>
      </c>
      <c r="I120">
        <v>-4.24537E-3</v>
      </c>
      <c r="J120">
        <v>-5.4626999999999996E-4</v>
      </c>
      <c r="K120">
        <v>1.67786E-3</v>
      </c>
      <c r="L120">
        <v>1.598397E-2</v>
      </c>
      <c r="M120">
        <v>2.0886499999999999E-2</v>
      </c>
      <c r="N120">
        <v>4.35243E-3</v>
      </c>
      <c r="O120">
        <v>2.9639349999999998E-2</v>
      </c>
      <c r="P120">
        <v>-4.0852099999999997E-3</v>
      </c>
      <c r="Q120">
        <v>4.9019399999999996E-3</v>
      </c>
      <c r="R120">
        <v>-5.0400000000000002E-3</v>
      </c>
      <c r="S120">
        <v>1.882495E-2</v>
      </c>
      <c r="T120">
        <v>2.6231399999999999E-3</v>
      </c>
      <c r="U120">
        <v>3.5204489999999998E-2</v>
      </c>
      <c r="V120">
        <v>3.7266720000000003E-2</v>
      </c>
      <c r="W120">
        <v>9.7476699999999999E-3</v>
      </c>
      <c r="X120">
        <v>7.9498099999999999E-3</v>
      </c>
      <c r="Y120">
        <v>-7.7496099999999997E-3</v>
      </c>
      <c r="Z120">
        <v>3.9795959999999998E-2</v>
      </c>
      <c r="AA120">
        <v>1.5129719999999999E-2</v>
      </c>
      <c r="AB120">
        <v>-1.560626E-2</v>
      </c>
      <c r="AC120">
        <v>2.7029379999999999E-2</v>
      </c>
      <c r="AD120">
        <v>1.4698589999999999E-2</v>
      </c>
      <c r="AE120">
        <v>3.6790299999999998E-2</v>
      </c>
      <c r="AF120">
        <v>4.6354270000000003E-2</v>
      </c>
      <c r="AG120">
        <v>-2.059124E-2</v>
      </c>
      <c r="AH120">
        <v>-2.8735779999999999E-2</v>
      </c>
      <c r="AI120">
        <v>-3.2535149999999999E-2</v>
      </c>
      <c r="AJ120">
        <v>3.7366240000000002E-2</v>
      </c>
      <c r="AK120">
        <v>4.3923370000000003E-2</v>
      </c>
      <c r="AL120">
        <v>-1.29401E-3</v>
      </c>
      <c r="AM120">
        <v>1.685965E-2</v>
      </c>
      <c r="AN120">
        <v>1.044936E-2</v>
      </c>
      <c r="AO120">
        <v>-1.107879E-2</v>
      </c>
      <c r="AP120">
        <v>1.288682E-2</v>
      </c>
      <c r="AQ120">
        <v>-3.0405970000000001E-2</v>
      </c>
      <c r="AR120">
        <v>-1.59465E-3</v>
      </c>
      <c r="AS120">
        <v>4.3408870000000002E-2</v>
      </c>
      <c r="AT120">
        <v>-6.63636E-3</v>
      </c>
      <c r="AU120">
        <v>-4.7180299999999998E-3</v>
      </c>
      <c r="AV120">
        <v>2.4336460000000001E-2</v>
      </c>
      <c r="AW120">
        <v>4.8083960000000002E-2</v>
      </c>
      <c r="AX120">
        <v>4.89428E-3</v>
      </c>
      <c r="AY120">
        <v>-1.97554E-3</v>
      </c>
      <c r="AZ120">
        <v>3.3844739999999998E-2</v>
      </c>
      <c r="BA120">
        <v>1.654241E-2</v>
      </c>
      <c r="BB120">
        <v>1.2645089999999999E-2</v>
      </c>
      <c r="BC120">
        <v>2.554712E-2</v>
      </c>
      <c r="BD120">
        <v>4.901871E-2</v>
      </c>
      <c r="BE120">
        <v>7.9096199999999992E-3</v>
      </c>
      <c r="BF120">
        <v>3.6184750000000002E-2</v>
      </c>
      <c r="BG120">
        <v>1.040088E-2</v>
      </c>
      <c r="BH120">
        <v>3.4573850000000003E-2</v>
      </c>
      <c r="BI120">
        <v>1.4522530000000001E-2</v>
      </c>
      <c r="BJ120">
        <v>2.6186210000000001E-2</v>
      </c>
      <c r="BK120">
        <v>2.80883E-2</v>
      </c>
      <c r="BL120">
        <v>4.543523E-2</v>
      </c>
      <c r="BM120">
        <v>-1.297119E-2</v>
      </c>
      <c r="BN120">
        <v>-3.7916199999999999E-3</v>
      </c>
      <c r="BO120">
        <v>1.35692E-2</v>
      </c>
      <c r="BP120">
        <v>5.1295200000000003E-3</v>
      </c>
      <c r="BQ120">
        <v>5.4323740000000002E-2</v>
      </c>
      <c r="BR120">
        <v>4.5767000000000004E-3</v>
      </c>
      <c r="BS120">
        <v>-3.3932940000000002E-2</v>
      </c>
      <c r="BT120">
        <v>2.9459849999999999E-2</v>
      </c>
      <c r="BU120">
        <v>4.7059589999999998E-2</v>
      </c>
      <c r="BV120">
        <v>1.2602E-2</v>
      </c>
      <c r="BW120">
        <v>1.132271E-2</v>
      </c>
      <c r="BX120">
        <v>1.0005180000000001E-2</v>
      </c>
      <c r="BY120">
        <v>1.664214E-2</v>
      </c>
      <c r="BZ120">
        <v>2.0237160000000001E-2</v>
      </c>
      <c r="CA120">
        <v>5.3546499999999997E-2</v>
      </c>
      <c r="CB120">
        <v>-2.1404490000000002E-2</v>
      </c>
      <c r="CC120">
        <v>4.75466E-3</v>
      </c>
      <c r="CD120">
        <v>-2.4806300000000002E-3</v>
      </c>
      <c r="CE120">
        <v>1.122505E-2</v>
      </c>
      <c r="CF120">
        <v>-4.4497139999999998E-2</v>
      </c>
      <c r="CG120">
        <v>1.073358E-2</v>
      </c>
      <c r="CH120">
        <v>0.11113215999999999</v>
      </c>
      <c r="CI120">
        <v>-3.3885110000000003E-2</v>
      </c>
      <c r="CJ120">
        <v>4.8662E-4</v>
      </c>
      <c r="CK120">
        <v>-1.326105E-2</v>
      </c>
      <c r="CL120">
        <v>2.8328809999999999E-2</v>
      </c>
      <c r="CM120">
        <v>3.4109269999999997E-2</v>
      </c>
      <c r="CN120">
        <v>4.1335999999999998E-2</v>
      </c>
      <c r="CO120">
        <v>4.16973E-3</v>
      </c>
      <c r="CP120">
        <v>-1.4787130000000001E-2</v>
      </c>
      <c r="CQ120">
        <v>1.265813E-2</v>
      </c>
      <c r="CR120">
        <v>3.9220339999999999E-2</v>
      </c>
      <c r="CS120">
        <v>4.8295400000000002E-2</v>
      </c>
      <c r="CT120">
        <v>3.4782260000000002E-2</v>
      </c>
      <c r="CU120">
        <v>4.934438E-2</v>
      </c>
      <c r="CV120">
        <v>2.0548819999999999E-2</v>
      </c>
      <c r="CW120">
        <v>1.9617389999999998E-2</v>
      </c>
      <c r="CX120">
        <v>3.3039970000000002E-2</v>
      </c>
      <c r="CY120">
        <v>2.151755E-2</v>
      </c>
      <c r="CZ120">
        <v>1.1809679999999999E-2</v>
      </c>
      <c r="DA120">
        <v>3.2799600000000002E-3</v>
      </c>
      <c r="DB120">
        <v>5.1954489999999999E-2</v>
      </c>
      <c r="DC120">
        <v>7.4195200000000003E-2</v>
      </c>
      <c r="DD120">
        <v>3.5011130000000001E-2</v>
      </c>
      <c r="DE120">
        <v>0.12064859</v>
      </c>
      <c r="DF120">
        <v>-1.1948230000000001E-2</v>
      </c>
      <c r="DG120">
        <v>0.14184197000000001</v>
      </c>
      <c r="DH120">
        <v>4.1952740000000002E-2</v>
      </c>
      <c r="DI120">
        <v>2.2342959999999999E-2</v>
      </c>
      <c r="DJ120">
        <v>2.7599499999999999E-2</v>
      </c>
      <c r="DK120">
        <v>3.012099E-2</v>
      </c>
      <c r="DL120">
        <v>0.24761417999999999</v>
      </c>
      <c r="DM120">
        <v>4.9038329999999998E-2</v>
      </c>
      <c r="DN120">
        <v>-1.14547E-3</v>
      </c>
      <c r="DO120">
        <v>4.1609350000000003E-2</v>
      </c>
      <c r="DP120">
        <v>3.6716150000000003E-2</v>
      </c>
      <c r="DQ120">
        <v>3.6112070000000003E-2</v>
      </c>
      <c r="DR120">
        <v>9.5834619999999995E-2</v>
      </c>
      <c r="DS120">
        <v>-4.5945550000000002E-2</v>
      </c>
      <c r="DT120">
        <v>4.1500000000000002E-2</v>
      </c>
      <c r="DU120">
        <v>4.4078539999999999E-2</v>
      </c>
      <c r="DV120">
        <v>1.1257939999999999E-2</v>
      </c>
      <c r="DW120">
        <v>1.873126E-2</v>
      </c>
      <c r="DX120">
        <v>7.7963130000000005E-2</v>
      </c>
      <c r="DY120">
        <v>1.7124199999999999E-2</v>
      </c>
      <c r="DZ120">
        <v>1.1078869999999999E-2</v>
      </c>
      <c r="EA120">
        <v>7.2880009999999995E-2</v>
      </c>
      <c r="EB120">
        <v>7.9736800000000004E-3</v>
      </c>
      <c r="EC120">
        <v>0.10552350000000001</v>
      </c>
      <c r="ED120">
        <v>7.5000040000000004E-2</v>
      </c>
      <c r="EE120">
        <v>7.8123020000000001E-2</v>
      </c>
      <c r="EF120">
        <v>7.7279020000000004E-2</v>
      </c>
      <c r="EG120">
        <v>7.1745970000000006E-2</v>
      </c>
      <c r="EH120">
        <v>-4.1839220000000003E-2</v>
      </c>
      <c r="EI120">
        <v>0.11076914</v>
      </c>
      <c r="EJ120">
        <v>2.393282E-2</v>
      </c>
      <c r="EK120">
        <v>0.11289196</v>
      </c>
      <c r="EL120">
        <v>0.15831281999999999</v>
      </c>
      <c r="EM120">
        <v>1.73938E-3</v>
      </c>
      <c r="EN120">
        <v>7.7650949999999996E-2</v>
      </c>
      <c r="EO120">
        <v>2.033983E-2</v>
      </c>
      <c r="EP120">
        <f t="shared" si="3"/>
        <v>0</v>
      </c>
      <c r="EQ120">
        <f>SUMIF('Mi portafolio'!$A$8:$A$19,$A120,'Mi portafolio'!$B$8:$B$19)</f>
        <v>0</v>
      </c>
    </row>
    <row r="121" spans="1:147" x14ac:dyDescent="0.25">
      <c r="A121" s="34" t="s">
        <v>199</v>
      </c>
      <c r="B121">
        <v>2.2453569999999999E-2</v>
      </c>
      <c r="C121">
        <v>-1.1851100000000001E-3</v>
      </c>
      <c r="D121">
        <v>2.1439499999999999E-3</v>
      </c>
      <c r="E121">
        <v>1.263659E-2</v>
      </c>
      <c r="F121">
        <v>1.62758E-2</v>
      </c>
      <c r="G121">
        <v>4.37931E-3</v>
      </c>
      <c r="H121">
        <v>1.50002E-2</v>
      </c>
      <c r="I121">
        <v>2.9281709999999999E-2</v>
      </c>
      <c r="J121">
        <v>1.2802529999999999E-2</v>
      </c>
      <c r="K121">
        <v>3.5714129999999997E-2</v>
      </c>
      <c r="L121">
        <v>1.5975909999999999E-2</v>
      </c>
      <c r="M121">
        <v>4.9769819999999999E-2</v>
      </c>
      <c r="N121">
        <v>3.8929030000000003E-2</v>
      </c>
      <c r="O121">
        <v>1.9588609999999999E-2</v>
      </c>
      <c r="P121">
        <v>1.10393E-2</v>
      </c>
      <c r="Q121">
        <v>-1.05046E-3</v>
      </c>
      <c r="R121">
        <v>2.0791609999999999E-2</v>
      </c>
      <c r="S121">
        <v>1.0231260000000001E-2</v>
      </c>
      <c r="T121">
        <v>5.1026290000000002E-2</v>
      </c>
      <c r="U121">
        <v>1.8408689999999998E-2</v>
      </c>
      <c r="V121">
        <v>2.290847E-2</v>
      </c>
      <c r="W121">
        <v>9.7050499999999998E-3</v>
      </c>
      <c r="X121">
        <v>5.5426919999999998E-2</v>
      </c>
      <c r="Y121">
        <v>4.2471870000000002E-2</v>
      </c>
      <c r="Z121">
        <v>2.355809E-2</v>
      </c>
      <c r="AA121">
        <v>2.9526320000000002E-2</v>
      </c>
      <c r="AB121">
        <v>4.3439510000000001E-2</v>
      </c>
      <c r="AC121">
        <v>1.3640040000000001E-2</v>
      </c>
      <c r="AD121">
        <v>1.511087E-2</v>
      </c>
      <c r="AE121">
        <v>3.8645329999999999E-2</v>
      </c>
      <c r="AF121">
        <v>1.214491E-2</v>
      </c>
      <c r="AG121">
        <v>2.44809E-3</v>
      </c>
      <c r="AH121">
        <v>2.2552900000000001E-3</v>
      </c>
      <c r="AI121">
        <v>-3.485999E-2</v>
      </c>
      <c r="AJ121">
        <v>1.5310499999999999E-2</v>
      </c>
      <c r="AK121">
        <v>3.6276839999999998E-2</v>
      </c>
      <c r="AL121">
        <v>4.1216330000000002E-2</v>
      </c>
      <c r="AM121">
        <v>3.2451090000000002E-2</v>
      </c>
      <c r="AN121">
        <v>6.8535600000000002E-2</v>
      </c>
      <c r="AO121">
        <v>2.0418470000000001E-2</v>
      </c>
      <c r="AP121">
        <v>5.6697900000000002E-2</v>
      </c>
      <c r="AQ121">
        <v>-3.9784409999999999E-2</v>
      </c>
      <c r="AR121">
        <v>5.169721E-2</v>
      </c>
      <c r="AS121">
        <v>1.975683E-2</v>
      </c>
      <c r="AT121">
        <v>6.5645289999999995E-2</v>
      </c>
      <c r="AU121">
        <v>2.1209289999999999E-2</v>
      </c>
      <c r="AV121">
        <v>1.235609E-2</v>
      </c>
      <c r="AW121">
        <v>1.6986569999999999E-2</v>
      </c>
      <c r="AX121">
        <v>4.1434550000000001E-2</v>
      </c>
      <c r="AY121">
        <v>5.3651280000000003E-2</v>
      </c>
      <c r="AZ121">
        <v>4.1421010000000001E-2</v>
      </c>
      <c r="BA121">
        <v>6.3276910000000006E-2</v>
      </c>
      <c r="BB121">
        <v>7.5149569999999999E-2</v>
      </c>
      <c r="BC121">
        <v>1.488424E-2</v>
      </c>
      <c r="BD121">
        <v>3.1435600000000001E-2</v>
      </c>
      <c r="BE121">
        <v>3.5200420000000003E-2</v>
      </c>
      <c r="BF121">
        <v>3.0606009999999999E-2</v>
      </c>
      <c r="BG121">
        <v>4.7691650000000002E-2</v>
      </c>
      <c r="BH121">
        <v>1.9204280000000001E-2</v>
      </c>
      <c r="BI121">
        <v>1.45714E-2</v>
      </c>
      <c r="BJ121">
        <v>-1.0360619999999999E-2</v>
      </c>
      <c r="BK121">
        <v>3.4652189999999999E-2</v>
      </c>
      <c r="BL121">
        <v>6.0770909999999997E-2</v>
      </c>
      <c r="BM121">
        <v>4.872783E-2</v>
      </c>
      <c r="BN121">
        <v>1.6704409999999999E-2</v>
      </c>
      <c r="BO121">
        <v>5.9330029999999999E-2</v>
      </c>
      <c r="BP121">
        <v>1.5994040000000001E-2</v>
      </c>
      <c r="BQ121">
        <v>5.6737410000000002E-2</v>
      </c>
      <c r="BR121">
        <v>7.2710120000000003E-2</v>
      </c>
      <c r="BS121">
        <v>-4.2120390000000001E-2</v>
      </c>
      <c r="BT121">
        <v>9.2657749999999997E-2</v>
      </c>
      <c r="BU121">
        <v>3.7797980000000002E-2</v>
      </c>
      <c r="BV121">
        <v>5.6745209999999997E-2</v>
      </c>
      <c r="BW121">
        <v>3.3464149999999998E-2</v>
      </c>
      <c r="BX121">
        <v>4.1168759999999999E-2</v>
      </c>
      <c r="BY121">
        <v>8.8315179999999993E-2</v>
      </c>
      <c r="BZ121">
        <v>7.3277809999999999E-2</v>
      </c>
      <c r="CA121">
        <v>2.1697999999999999E-2</v>
      </c>
      <c r="CB121">
        <v>-3.0918930000000001E-2</v>
      </c>
      <c r="CC121">
        <v>1.7854419999999999E-2</v>
      </c>
      <c r="CD121">
        <v>6.2408699999999998E-2</v>
      </c>
      <c r="CE121">
        <v>3.7661600000000003E-2</v>
      </c>
      <c r="CF121">
        <v>-4.712587E-2</v>
      </c>
      <c r="CG121">
        <v>8.6411260000000004E-2</v>
      </c>
      <c r="CH121">
        <v>6.0345030000000001E-2</v>
      </c>
      <c r="CI121">
        <v>-5.6229229999999998E-2</v>
      </c>
      <c r="CJ121">
        <v>1.730632E-2</v>
      </c>
      <c r="CK121">
        <v>5.4854939999999998E-2</v>
      </c>
      <c r="CL121">
        <v>7.9892060000000001E-2</v>
      </c>
      <c r="CM121">
        <v>4.9850409999999998E-2</v>
      </c>
      <c r="CN121">
        <v>2.278092E-2</v>
      </c>
      <c r="CO121">
        <v>1.8728129999999999E-2</v>
      </c>
      <c r="CP121">
        <v>2.4195459999999998E-2</v>
      </c>
      <c r="CQ121">
        <v>0.14325504</v>
      </c>
      <c r="CR121">
        <v>8.2223130000000005E-2</v>
      </c>
      <c r="CS121">
        <v>8.8149149999999996E-2</v>
      </c>
      <c r="CT121">
        <v>7.32463E-2</v>
      </c>
      <c r="CU121">
        <v>3.321723E-2</v>
      </c>
      <c r="CV121">
        <v>6.7179530000000001E-2</v>
      </c>
      <c r="CW121">
        <v>6.7586530000000006E-2</v>
      </c>
      <c r="CX121">
        <v>8.6212339999999998E-2</v>
      </c>
      <c r="CY121">
        <v>0.15798134</v>
      </c>
      <c r="CZ121">
        <v>4.0687099999999997E-2</v>
      </c>
      <c r="DA121">
        <v>5.1316809999999997E-2</v>
      </c>
      <c r="DB121">
        <v>6.4546249999999999E-2</v>
      </c>
      <c r="DC121">
        <v>0.12275171999999999</v>
      </c>
      <c r="DD121">
        <v>9.4925229999999999E-2</v>
      </c>
      <c r="DE121">
        <v>9.3500109999999997E-2</v>
      </c>
      <c r="DF121">
        <v>2.0167600000000001E-2</v>
      </c>
      <c r="DG121">
        <v>7.5601409999999994E-2</v>
      </c>
      <c r="DH121">
        <v>5.2132669999999999E-2</v>
      </c>
      <c r="DI121">
        <v>0.16056107</v>
      </c>
      <c r="DJ121">
        <v>0.20185337</v>
      </c>
      <c r="DK121">
        <v>0.17211299999999999</v>
      </c>
      <c r="DL121">
        <v>4.9038329999999998E-2</v>
      </c>
      <c r="DM121">
        <v>0.25899707</v>
      </c>
      <c r="DN121">
        <v>7.2810609999999998E-2</v>
      </c>
      <c r="DO121">
        <v>8.6558700000000002E-2</v>
      </c>
      <c r="DP121">
        <v>0.23555580000000001</v>
      </c>
      <c r="DQ121">
        <v>7.1013699999999999E-2</v>
      </c>
      <c r="DR121">
        <v>4.9391329999999997E-2</v>
      </c>
      <c r="DS121">
        <v>5.2058800000000002E-2</v>
      </c>
      <c r="DT121">
        <v>5.0222530000000001E-2</v>
      </c>
      <c r="DU121">
        <v>9.7716430000000007E-2</v>
      </c>
      <c r="DV121">
        <v>4.8547359999999998E-2</v>
      </c>
      <c r="DW121">
        <v>0.10742037</v>
      </c>
      <c r="DX121">
        <v>9.998195E-2</v>
      </c>
      <c r="DY121">
        <v>0.12384819</v>
      </c>
      <c r="DZ121">
        <v>3.2370240000000002E-2</v>
      </c>
      <c r="EA121">
        <v>8.4133150000000004E-2</v>
      </c>
      <c r="EB121">
        <v>0.13590384999999999</v>
      </c>
      <c r="EC121">
        <v>2.2589580000000001E-2</v>
      </c>
      <c r="ED121">
        <v>0.1010079</v>
      </c>
      <c r="EE121">
        <v>9.6470059999999996E-2</v>
      </c>
      <c r="EF121">
        <v>9.7539500000000001E-2</v>
      </c>
      <c r="EG121">
        <v>8.9633470000000007E-2</v>
      </c>
      <c r="EH121">
        <v>6.0870359999999998E-2</v>
      </c>
      <c r="EI121">
        <v>8.9794369999999998E-2</v>
      </c>
      <c r="EJ121">
        <v>0.13460311</v>
      </c>
      <c r="EK121">
        <v>8.6307129999999996E-2</v>
      </c>
      <c r="EL121">
        <v>0.12732914000000001</v>
      </c>
      <c r="EM121">
        <v>7.1828230000000007E-2</v>
      </c>
      <c r="EN121">
        <v>9.9455849999999998E-2</v>
      </c>
      <c r="EO121">
        <v>0.16150719999999999</v>
      </c>
      <c r="EP121">
        <f t="shared" si="3"/>
        <v>0</v>
      </c>
      <c r="EQ121">
        <f>SUMIF('Mi portafolio'!$A$8:$A$19,$A121,'Mi portafolio'!$B$8:$B$19)</f>
        <v>0</v>
      </c>
    </row>
    <row r="122" spans="1:147" x14ac:dyDescent="0.25">
      <c r="A122" s="34" t="s">
        <v>200</v>
      </c>
      <c r="B122">
        <v>1.629239E-2</v>
      </c>
      <c r="C122">
        <v>8.4574200000000002E-3</v>
      </c>
      <c r="D122">
        <v>-6.2431400000000003E-3</v>
      </c>
      <c r="E122">
        <v>-1.8644499999999999E-3</v>
      </c>
      <c r="F122">
        <v>1.6583629999999999E-2</v>
      </c>
      <c r="G122">
        <v>3.0492700000000002E-3</v>
      </c>
      <c r="H122">
        <v>9.4923999999999998E-3</v>
      </c>
      <c r="I122">
        <v>2.7462500000000001E-2</v>
      </c>
      <c r="J122">
        <v>7.3678399999999996E-3</v>
      </c>
      <c r="K122">
        <v>2.0116499999999999E-2</v>
      </c>
      <c r="L122">
        <v>2.256145E-2</v>
      </c>
      <c r="M122">
        <v>3.591859E-2</v>
      </c>
      <c r="N122">
        <v>2.1029220000000001E-2</v>
      </c>
      <c r="O122">
        <v>6.2015600000000001E-3</v>
      </c>
      <c r="P122">
        <v>1.8773749999999999E-2</v>
      </c>
      <c r="Q122">
        <v>-1.325544E-2</v>
      </c>
      <c r="R122">
        <v>1.8514249999999999E-2</v>
      </c>
      <c r="S122">
        <v>-8.4783000000000005E-4</v>
      </c>
      <c r="T122">
        <v>2.5096279999999999E-2</v>
      </c>
      <c r="U122">
        <v>7.0617299999999996E-3</v>
      </c>
      <c r="V122">
        <v>1.8674590000000001E-2</v>
      </c>
      <c r="W122">
        <v>4.5110699999999998E-3</v>
      </c>
      <c r="X122">
        <v>2.914537E-2</v>
      </c>
      <c r="Y122">
        <v>3.6941370000000001E-2</v>
      </c>
      <c r="Z122">
        <v>9.7677400000000004E-3</v>
      </c>
      <c r="AA122">
        <v>1.1007110000000001E-2</v>
      </c>
      <c r="AB122">
        <v>3.9000010000000002E-2</v>
      </c>
      <c r="AC122">
        <v>-1.8269099999999999E-3</v>
      </c>
      <c r="AD122">
        <v>-1.38767E-2</v>
      </c>
      <c r="AE122">
        <v>-8.7609100000000002E-3</v>
      </c>
      <c r="AF122">
        <v>-1.4991500000000001E-3</v>
      </c>
      <c r="AG122">
        <v>6.9592899999999999E-3</v>
      </c>
      <c r="AH122">
        <v>2.6221700000000001E-3</v>
      </c>
      <c r="AI122">
        <v>-3.51652E-3</v>
      </c>
      <c r="AJ122">
        <v>2.6806400000000002E-3</v>
      </c>
      <c r="AK122">
        <v>4.78197E-3</v>
      </c>
      <c r="AL122">
        <v>3.1476509999999999E-2</v>
      </c>
      <c r="AM122">
        <v>1.3512140000000001E-2</v>
      </c>
      <c r="AN122">
        <v>4.1349129999999998E-2</v>
      </c>
      <c r="AO122">
        <v>1.5871070000000001E-2</v>
      </c>
      <c r="AP122">
        <v>5.1539870000000002E-2</v>
      </c>
      <c r="AQ122">
        <v>-8.6455100000000003E-3</v>
      </c>
      <c r="AR122">
        <v>2.83079E-2</v>
      </c>
      <c r="AS122">
        <v>1.3283619999999999E-2</v>
      </c>
      <c r="AT122">
        <v>4.5623589999999999E-2</v>
      </c>
      <c r="AU122">
        <v>1.8357680000000001E-2</v>
      </c>
      <c r="AV122">
        <v>2.7934100000000001E-3</v>
      </c>
      <c r="AW122">
        <v>9.4185599999999994E-3</v>
      </c>
      <c r="AX122">
        <v>2.6086749999999999E-2</v>
      </c>
      <c r="AY122">
        <v>5.0102029999999999E-2</v>
      </c>
      <c r="AZ122">
        <v>1.179587E-2</v>
      </c>
      <c r="BA122">
        <v>3.5215740000000002E-2</v>
      </c>
      <c r="BB122">
        <v>3.980968E-2</v>
      </c>
      <c r="BC122">
        <v>9.2860700000000004E-3</v>
      </c>
      <c r="BD122">
        <v>7.0415E-3</v>
      </c>
      <c r="BE122">
        <v>1.9528139999999999E-2</v>
      </c>
      <c r="BF122">
        <v>5.5209999999999999E-3</v>
      </c>
      <c r="BG122">
        <v>4.3238169999999999E-2</v>
      </c>
      <c r="BH122">
        <v>1.3481770000000001E-2</v>
      </c>
      <c r="BI122">
        <v>3.0703640000000001E-2</v>
      </c>
      <c r="BJ122">
        <v>-1.711495E-2</v>
      </c>
      <c r="BK122">
        <v>-1.2963229999999999E-2</v>
      </c>
      <c r="BL122">
        <v>3.6388249999999997E-2</v>
      </c>
      <c r="BM122">
        <v>5.4163990000000002E-2</v>
      </c>
      <c r="BN122">
        <v>2.9650119999999999E-2</v>
      </c>
      <c r="BO122">
        <v>3.5715330000000003E-2</v>
      </c>
      <c r="BP122">
        <v>4.1784620000000001E-2</v>
      </c>
      <c r="BQ122">
        <v>1.1043570000000001E-2</v>
      </c>
      <c r="BR122">
        <v>4.8753980000000002E-2</v>
      </c>
      <c r="BS122">
        <v>-7.1367599999999998E-3</v>
      </c>
      <c r="BT122">
        <v>2.8166730000000001E-2</v>
      </c>
      <c r="BU122">
        <v>9.7802800000000006E-3</v>
      </c>
      <c r="BV122">
        <v>4.1143699999999998E-2</v>
      </c>
      <c r="BW122">
        <v>3.6939430000000002E-2</v>
      </c>
      <c r="BX122">
        <v>3.2964700000000001E-3</v>
      </c>
      <c r="BY122">
        <v>3.7381820000000003E-2</v>
      </c>
      <c r="BZ122">
        <v>5.4126349999999997E-2</v>
      </c>
      <c r="CA122">
        <v>1.294945E-2</v>
      </c>
      <c r="CB122">
        <v>1.169532E-2</v>
      </c>
      <c r="CC122">
        <v>3.2204959999999998E-2</v>
      </c>
      <c r="CD122">
        <v>6.2645619999999999E-2</v>
      </c>
      <c r="CE122">
        <v>2.3684839999999999E-2</v>
      </c>
      <c r="CF122">
        <v>-2.82432E-3</v>
      </c>
      <c r="CG122">
        <v>7.756449E-2</v>
      </c>
      <c r="CH122">
        <v>1.159725E-2</v>
      </c>
      <c r="CI122">
        <v>7.8922599999999999E-3</v>
      </c>
      <c r="CJ122">
        <v>3.1696370000000001E-2</v>
      </c>
      <c r="CK122">
        <v>4.9776389999999997E-2</v>
      </c>
      <c r="CL122">
        <v>3.8429489999999997E-2</v>
      </c>
      <c r="CM122">
        <v>3.40605E-2</v>
      </c>
      <c r="CN122">
        <v>-2.1250000000000002E-5</v>
      </c>
      <c r="CO122">
        <v>2.1059769999999998E-2</v>
      </c>
      <c r="CP122">
        <v>4.088816E-2</v>
      </c>
      <c r="CQ122">
        <v>6.0694129999999999E-2</v>
      </c>
      <c r="CR122">
        <v>2.627376E-2</v>
      </c>
      <c r="CS122">
        <v>-4.8638199999999996E-3</v>
      </c>
      <c r="CT122">
        <v>5.7414519999999997E-2</v>
      </c>
      <c r="CU122">
        <v>1.7384630000000002E-2</v>
      </c>
      <c r="CV122">
        <v>3.7186810000000001E-2</v>
      </c>
      <c r="CW122">
        <v>5.401802E-2</v>
      </c>
      <c r="CX122">
        <v>3.2010570000000002E-2</v>
      </c>
      <c r="CY122">
        <v>5.1525750000000002E-2</v>
      </c>
      <c r="CZ122">
        <v>5.921614E-2</v>
      </c>
      <c r="DA122">
        <v>8.2844899999999999E-2</v>
      </c>
      <c r="DB122">
        <v>2.32074E-2</v>
      </c>
      <c r="DC122">
        <v>3.6907509999999998E-2</v>
      </c>
      <c r="DD122">
        <v>8.8774439999999996E-2</v>
      </c>
      <c r="DE122">
        <v>2.0464159999999999E-2</v>
      </c>
      <c r="DF122">
        <v>8.2178570000000006E-2</v>
      </c>
      <c r="DG122">
        <v>2.4606079999999999E-2</v>
      </c>
      <c r="DH122">
        <v>3.6114540000000001E-2</v>
      </c>
      <c r="DI122">
        <v>6.7924349999999994E-2</v>
      </c>
      <c r="DJ122">
        <v>7.4835990000000005E-2</v>
      </c>
      <c r="DK122">
        <v>7.7498360000000002E-2</v>
      </c>
      <c r="DL122">
        <v>-1.14547E-3</v>
      </c>
      <c r="DM122">
        <v>7.2810609999999998E-2</v>
      </c>
      <c r="DN122">
        <v>0.26759695</v>
      </c>
      <c r="DO122">
        <v>3.8666220000000001E-2</v>
      </c>
      <c r="DP122">
        <v>9.1525839999999997E-2</v>
      </c>
      <c r="DQ122">
        <v>2.8683509999999999E-2</v>
      </c>
      <c r="DR122">
        <v>2.537673E-2</v>
      </c>
      <c r="DS122">
        <v>8.2764690000000002E-2</v>
      </c>
      <c r="DT122">
        <v>6.2872549999999999E-2</v>
      </c>
      <c r="DU122">
        <v>7.4608720000000003E-2</v>
      </c>
      <c r="DV122">
        <v>8.6735019999999996E-2</v>
      </c>
      <c r="DW122">
        <v>0.10667027</v>
      </c>
      <c r="DX122">
        <v>2.0168760000000001E-2</v>
      </c>
      <c r="DY122">
        <v>0.12040271</v>
      </c>
      <c r="DZ122">
        <v>7.7207559999999995E-2</v>
      </c>
      <c r="EA122">
        <v>6.5114019999999995E-2</v>
      </c>
      <c r="EB122">
        <v>0.12575595000000001</v>
      </c>
      <c r="EC122">
        <v>-2.0955729999999999E-2</v>
      </c>
      <c r="ED122">
        <v>7.7198530000000001E-2</v>
      </c>
      <c r="EE122">
        <v>3.8290339999999999E-2</v>
      </c>
      <c r="EF122">
        <v>6.3977660000000006E-2</v>
      </c>
      <c r="EG122">
        <v>5.0737339999999999E-2</v>
      </c>
      <c r="EH122">
        <v>0.10308633</v>
      </c>
      <c r="EI122">
        <v>3.1907070000000003E-2</v>
      </c>
      <c r="EJ122">
        <v>5.7481699999999997E-2</v>
      </c>
      <c r="EK122">
        <v>8.0702490000000002E-2</v>
      </c>
      <c r="EL122">
        <v>3.9274669999999998E-2</v>
      </c>
      <c r="EM122">
        <v>8.1160670000000004E-2</v>
      </c>
      <c r="EN122">
        <v>8.2120029999999997E-2</v>
      </c>
      <c r="EO122">
        <v>0.15169105999999999</v>
      </c>
      <c r="EP122">
        <f t="shared" si="3"/>
        <v>0</v>
      </c>
      <c r="EQ122">
        <f>SUMIF('Mi portafolio'!$A$8:$A$19,$A122,'Mi portafolio'!$B$8:$B$19)</f>
        <v>0</v>
      </c>
    </row>
    <row r="123" spans="1:147" x14ac:dyDescent="0.25">
      <c r="A123" s="34" t="s">
        <v>201</v>
      </c>
      <c r="B123">
        <v>5.6833500000000002E-3</v>
      </c>
      <c r="C123">
        <v>1.505694E-2</v>
      </c>
      <c r="D123">
        <v>8.0072800000000003E-3</v>
      </c>
      <c r="E123">
        <v>1.5726879999999999E-2</v>
      </c>
      <c r="F123">
        <v>-1.3914009999999999E-2</v>
      </c>
      <c r="G123">
        <v>-4.2535200000000002E-3</v>
      </c>
      <c r="H123">
        <v>1.5707519999999999E-2</v>
      </c>
      <c r="I123">
        <v>3.7513400000000001E-3</v>
      </c>
      <c r="J123">
        <v>-8.6654799999999997E-3</v>
      </c>
      <c r="K123">
        <v>1.24912E-3</v>
      </c>
      <c r="L123">
        <v>1.7311090000000001E-2</v>
      </c>
      <c r="M123">
        <v>3.116209E-2</v>
      </c>
      <c r="N123">
        <v>2.4685209999999999E-2</v>
      </c>
      <c r="O123">
        <v>1.4703559999999999E-2</v>
      </c>
      <c r="P123">
        <v>-4.6718799999999998E-3</v>
      </c>
      <c r="Q123">
        <v>1.0740889999999999E-2</v>
      </c>
      <c r="R123">
        <v>3.60079E-3</v>
      </c>
      <c r="S123">
        <v>1.0776640000000001E-2</v>
      </c>
      <c r="T123">
        <v>2.9861260000000001E-2</v>
      </c>
      <c r="U123">
        <v>1.2670030000000001E-2</v>
      </c>
      <c r="V123">
        <v>1.0251130000000001E-2</v>
      </c>
      <c r="W123">
        <v>1.1291219999999999E-2</v>
      </c>
      <c r="X123">
        <v>3.3713100000000003E-2</v>
      </c>
      <c r="Y123">
        <v>7.4744399999999997E-3</v>
      </c>
      <c r="Z123">
        <v>-4.0393E-3</v>
      </c>
      <c r="AA123">
        <v>1.6083690000000001E-2</v>
      </c>
      <c r="AB123">
        <v>-2.57873E-3</v>
      </c>
      <c r="AC123">
        <v>1.9418149999999999E-2</v>
      </c>
      <c r="AD123">
        <v>1.512549E-2</v>
      </c>
      <c r="AE123">
        <v>1.9664129999999998E-2</v>
      </c>
      <c r="AF123">
        <v>2.380813E-2</v>
      </c>
      <c r="AG123">
        <v>-1.69068E-3</v>
      </c>
      <c r="AH123">
        <v>2.2218300000000002E-3</v>
      </c>
      <c r="AI123">
        <v>-3.1098300000000001E-3</v>
      </c>
      <c r="AJ123">
        <v>1.9359270000000001E-2</v>
      </c>
      <c r="AK123">
        <v>2.0017239999999999E-2</v>
      </c>
      <c r="AL123">
        <v>3.7439849999999997E-2</v>
      </c>
      <c r="AM123">
        <v>2.4823970000000001E-2</v>
      </c>
      <c r="AN123">
        <v>2.1704020000000001E-2</v>
      </c>
      <c r="AO123">
        <v>-1.6787799999999999E-3</v>
      </c>
      <c r="AP123">
        <v>2.4860489999999999E-2</v>
      </c>
      <c r="AQ123">
        <v>-9.1786599999999999E-3</v>
      </c>
      <c r="AR123">
        <v>3.0228370000000001E-2</v>
      </c>
      <c r="AS123">
        <v>1.433358E-2</v>
      </c>
      <c r="AT123">
        <v>3.9221619999999999E-2</v>
      </c>
      <c r="AU123">
        <v>-8.32923E-3</v>
      </c>
      <c r="AV123">
        <v>2.3382119999999999E-2</v>
      </c>
      <c r="AW123">
        <v>2.8485480000000001E-2</v>
      </c>
      <c r="AX123">
        <v>1.3502510000000001E-2</v>
      </c>
      <c r="AY123">
        <v>1.9473020000000001E-2</v>
      </c>
      <c r="AZ123">
        <v>3.8651619999999998E-2</v>
      </c>
      <c r="BA123">
        <v>4.3788870000000001E-2</v>
      </c>
      <c r="BB123">
        <v>5.4941240000000002E-2</v>
      </c>
      <c r="BC123">
        <v>1.191299E-2</v>
      </c>
      <c r="BD123">
        <v>1.6827390000000001E-2</v>
      </c>
      <c r="BE123">
        <v>8.8025399999999993E-3</v>
      </c>
      <c r="BF123">
        <v>2.65179E-2</v>
      </c>
      <c r="BG123">
        <v>2.3137069999999999E-2</v>
      </c>
      <c r="BH123">
        <v>1.368864E-2</v>
      </c>
      <c r="BI123">
        <v>2.1564030000000001E-2</v>
      </c>
      <c r="BJ123">
        <v>8.2278799999999999E-3</v>
      </c>
      <c r="BK123">
        <v>3.2053379999999999E-2</v>
      </c>
      <c r="BL123">
        <v>6.1564050000000002E-2</v>
      </c>
      <c r="BM123">
        <v>1.7427539999999998E-2</v>
      </c>
      <c r="BN123">
        <v>1.0950339999999999E-2</v>
      </c>
      <c r="BO123">
        <v>5.2395329999999997E-2</v>
      </c>
      <c r="BP123">
        <v>1.745499E-2</v>
      </c>
      <c r="BQ123">
        <v>3.978425E-2</v>
      </c>
      <c r="BR123">
        <v>3.3773070000000002E-2</v>
      </c>
      <c r="BS123">
        <v>5.8442600000000004E-3</v>
      </c>
      <c r="BT123">
        <v>4.8736309999999998E-2</v>
      </c>
      <c r="BU123">
        <v>2.65818E-3</v>
      </c>
      <c r="BV123">
        <v>4.6865799999999999E-2</v>
      </c>
      <c r="BW123">
        <v>2.2597519999999999E-2</v>
      </c>
      <c r="BX123">
        <v>2.2023580000000001E-2</v>
      </c>
      <c r="BY123">
        <v>4.6936230000000002E-2</v>
      </c>
      <c r="BZ123">
        <v>5.6251889999999999E-2</v>
      </c>
      <c r="CA123">
        <v>3.484135E-2</v>
      </c>
      <c r="CB123">
        <v>-8.3082E-3</v>
      </c>
      <c r="CC123">
        <v>1.2508470000000001E-2</v>
      </c>
      <c r="CD123">
        <v>2.1070470000000001E-2</v>
      </c>
      <c r="CE123">
        <v>5.9487110000000003E-2</v>
      </c>
      <c r="CF123">
        <v>-5.9946999999999995E-4</v>
      </c>
      <c r="CG123">
        <v>4.2568370000000001E-2</v>
      </c>
      <c r="CH123">
        <v>5.7729200000000001E-2</v>
      </c>
      <c r="CI123">
        <v>1.20823E-3</v>
      </c>
      <c r="CJ123">
        <v>1.9965E-3</v>
      </c>
      <c r="CK123">
        <v>3.482466E-2</v>
      </c>
      <c r="CL123">
        <v>5.9804139999999999E-2</v>
      </c>
      <c r="CM123">
        <v>4.651454E-2</v>
      </c>
      <c r="CN123">
        <v>3.8145800000000001E-3</v>
      </c>
      <c r="CO123">
        <v>3.02329E-2</v>
      </c>
      <c r="CP123">
        <v>3.103593E-2</v>
      </c>
      <c r="CQ123">
        <v>7.4413259999999995E-2</v>
      </c>
      <c r="CR123">
        <v>7.0059689999999994E-2</v>
      </c>
      <c r="CS123">
        <v>0.10155285</v>
      </c>
      <c r="CT123">
        <v>6.1873629999999999E-2</v>
      </c>
      <c r="CU123">
        <v>3.6490870000000002E-2</v>
      </c>
      <c r="CV123">
        <v>4.7982660000000003E-2</v>
      </c>
      <c r="CW123">
        <v>1.8042160000000002E-2</v>
      </c>
      <c r="CX123">
        <v>4.3047469999999997E-2</v>
      </c>
      <c r="CY123">
        <v>6.8070580000000006E-2</v>
      </c>
      <c r="CZ123">
        <v>4.7330909999999997E-2</v>
      </c>
      <c r="DA123">
        <v>3.5342680000000001E-2</v>
      </c>
      <c r="DB123">
        <v>0.11555126</v>
      </c>
      <c r="DC123">
        <v>7.6796050000000005E-2</v>
      </c>
      <c r="DD123">
        <v>6.7593650000000005E-2</v>
      </c>
      <c r="DE123">
        <v>9.1072470000000003E-2</v>
      </c>
      <c r="DF123">
        <v>2.267429E-2</v>
      </c>
      <c r="DG123">
        <v>9.4727599999999995E-2</v>
      </c>
      <c r="DH123">
        <v>9.1822280000000006E-2</v>
      </c>
      <c r="DI123">
        <v>8.7760019999999994E-2</v>
      </c>
      <c r="DJ123">
        <v>7.267245E-2</v>
      </c>
      <c r="DK123">
        <v>9.1222399999999995E-2</v>
      </c>
      <c r="DL123">
        <v>4.1609350000000003E-2</v>
      </c>
      <c r="DM123">
        <v>8.6558700000000002E-2</v>
      </c>
      <c r="DN123">
        <v>3.8666220000000001E-2</v>
      </c>
      <c r="DO123">
        <v>0.30932732000000002</v>
      </c>
      <c r="DP123">
        <v>8.8048089999999996E-2</v>
      </c>
      <c r="DQ123">
        <v>0.14200202000000001</v>
      </c>
      <c r="DR123">
        <v>9.2260480000000006E-2</v>
      </c>
      <c r="DS123">
        <v>2.3752639999999998E-2</v>
      </c>
      <c r="DT123">
        <v>8.2252820000000004E-2</v>
      </c>
      <c r="DU123">
        <v>8.6345179999999994E-2</v>
      </c>
      <c r="DV123">
        <v>6.7042599999999994E-2</v>
      </c>
      <c r="DW123">
        <v>3.5543560000000002E-2</v>
      </c>
      <c r="DX123">
        <v>0.12877011999999999</v>
      </c>
      <c r="DY123">
        <v>8.3814970000000003E-2</v>
      </c>
      <c r="DZ123">
        <v>5.8264080000000003E-2</v>
      </c>
      <c r="EA123">
        <v>6.090926E-2</v>
      </c>
      <c r="EB123">
        <v>9.4954609999999995E-2</v>
      </c>
      <c r="EC123">
        <v>1.3604089999999999E-2</v>
      </c>
      <c r="ED123">
        <v>0.12597997999999999</v>
      </c>
      <c r="EE123">
        <v>0.19644347000000001</v>
      </c>
      <c r="EF123">
        <v>0.11102589</v>
      </c>
      <c r="EG123">
        <v>0.20892547</v>
      </c>
      <c r="EH123">
        <v>-2.2873199999999998E-3</v>
      </c>
      <c r="EI123">
        <v>0.17611239000000001</v>
      </c>
      <c r="EJ123">
        <v>0.1045259</v>
      </c>
      <c r="EK123">
        <v>0.15215492999999999</v>
      </c>
      <c r="EL123">
        <v>0.15570523</v>
      </c>
      <c r="EM123">
        <v>6.8653610000000004E-2</v>
      </c>
      <c r="EN123">
        <v>9.4637499999999999E-2</v>
      </c>
      <c r="EO123">
        <v>9.5464129999999994E-2</v>
      </c>
      <c r="EP123">
        <f t="shared" si="3"/>
        <v>0</v>
      </c>
      <c r="EQ123">
        <f>SUMIF('Mi portafolio'!$A$8:$A$19,$A123,'Mi portafolio'!$B$8:$B$19)</f>
        <v>0</v>
      </c>
    </row>
    <row r="124" spans="1:147" x14ac:dyDescent="0.25">
      <c r="A124" s="34" t="s">
        <v>202</v>
      </c>
      <c r="B124">
        <v>2.3365960000000002E-2</v>
      </c>
      <c r="C124">
        <v>-1.92691E-3</v>
      </c>
      <c r="D124">
        <v>1.8950499999999999E-3</v>
      </c>
      <c r="E124">
        <v>5.8571500000000002E-3</v>
      </c>
      <c r="F124">
        <v>1.4338760000000001E-2</v>
      </c>
      <c r="G124">
        <v>7.1967999999999999E-4</v>
      </c>
      <c r="H124">
        <v>1.316528E-2</v>
      </c>
      <c r="I124">
        <v>2.8650829999999999E-2</v>
      </c>
      <c r="J124">
        <v>1.7780919999999999E-2</v>
      </c>
      <c r="K124">
        <v>3.362238E-2</v>
      </c>
      <c r="L124">
        <v>1.142615E-2</v>
      </c>
      <c r="M124">
        <v>4.788833E-2</v>
      </c>
      <c r="N124">
        <v>3.6877960000000001E-2</v>
      </c>
      <c r="O124">
        <v>1.264094E-2</v>
      </c>
      <c r="P124">
        <v>4.4206899999999997E-3</v>
      </c>
      <c r="Q124">
        <v>-1.9879899999999998E-3</v>
      </c>
      <c r="R124">
        <v>1.4611280000000001E-2</v>
      </c>
      <c r="S124">
        <v>6.28073E-3</v>
      </c>
      <c r="T124">
        <v>4.585322E-2</v>
      </c>
      <c r="U124">
        <v>1.579556E-2</v>
      </c>
      <c r="V124">
        <v>1.175607E-2</v>
      </c>
      <c r="W124">
        <v>-3.79562E-3</v>
      </c>
      <c r="X124">
        <v>4.8318470000000002E-2</v>
      </c>
      <c r="Y124">
        <v>4.5405679999999997E-2</v>
      </c>
      <c r="Z124">
        <v>1.921788E-2</v>
      </c>
      <c r="AA124">
        <v>1.3727059999999999E-2</v>
      </c>
      <c r="AB124">
        <v>3.9333180000000002E-2</v>
      </c>
      <c r="AC124">
        <v>6.4683500000000003E-3</v>
      </c>
      <c r="AD124">
        <v>6.3664699999999999E-3</v>
      </c>
      <c r="AE124">
        <v>2.9967520000000001E-2</v>
      </c>
      <c r="AF124">
        <v>1.16175E-3</v>
      </c>
      <c r="AG124">
        <v>3.3554399999999999E-3</v>
      </c>
      <c r="AH124">
        <v>2.6847300000000002E-3</v>
      </c>
      <c r="AI124">
        <v>-3.7592920000000002E-2</v>
      </c>
      <c r="AJ124">
        <v>1.096482E-2</v>
      </c>
      <c r="AK124">
        <v>2.3714409999999998E-2</v>
      </c>
      <c r="AL124">
        <v>4.1127219999999999E-2</v>
      </c>
      <c r="AM124">
        <v>2.6640730000000001E-2</v>
      </c>
      <c r="AN124">
        <v>6.6251089999999999E-2</v>
      </c>
      <c r="AO124">
        <v>2.0526139999999998E-2</v>
      </c>
      <c r="AP124">
        <v>5.0748250000000002E-2</v>
      </c>
      <c r="AQ124">
        <v>-4.4324710000000003E-2</v>
      </c>
      <c r="AR124">
        <v>4.4511309999999998E-2</v>
      </c>
      <c r="AS124">
        <v>2.4389049999999999E-2</v>
      </c>
      <c r="AT124">
        <v>6.4242320000000006E-2</v>
      </c>
      <c r="AU124">
        <v>1.7539180000000001E-2</v>
      </c>
      <c r="AV124">
        <v>4.9898E-3</v>
      </c>
      <c r="AW124">
        <v>1.5766499999999999E-2</v>
      </c>
      <c r="AX124">
        <v>4.0856839999999998E-2</v>
      </c>
      <c r="AY124">
        <v>5.2956209999999997E-2</v>
      </c>
      <c r="AZ124">
        <v>3.3563849999999999E-2</v>
      </c>
      <c r="BA124">
        <v>6.0571939999999998E-2</v>
      </c>
      <c r="BB124">
        <v>6.81118E-2</v>
      </c>
      <c r="BC124">
        <v>1.087811E-2</v>
      </c>
      <c r="BD124">
        <v>2.5973920000000001E-2</v>
      </c>
      <c r="BE124">
        <v>3.572956E-2</v>
      </c>
      <c r="BF124">
        <v>3.1058479999999999E-2</v>
      </c>
      <c r="BG124">
        <v>4.8340500000000002E-2</v>
      </c>
      <c r="BH124">
        <v>2.3731550000000001E-2</v>
      </c>
      <c r="BI124">
        <v>1.6289330000000001E-2</v>
      </c>
      <c r="BJ124">
        <v>-1.086414E-2</v>
      </c>
      <c r="BK124">
        <v>2.3381450000000002E-2</v>
      </c>
      <c r="BL124">
        <v>5.9132249999999997E-2</v>
      </c>
      <c r="BM124">
        <v>5.0198569999999998E-2</v>
      </c>
      <c r="BN124">
        <v>1.6722270000000001E-2</v>
      </c>
      <c r="BO124">
        <v>6.2758789999999995E-2</v>
      </c>
      <c r="BP124">
        <v>2.70667E-3</v>
      </c>
      <c r="BQ124">
        <v>4.4050869999999999E-2</v>
      </c>
      <c r="BR124">
        <v>6.8563899999999997E-2</v>
      </c>
      <c r="BS124">
        <v>-3.9175590000000003E-2</v>
      </c>
      <c r="BT124">
        <v>9.6938339999999998E-2</v>
      </c>
      <c r="BU124">
        <v>2.2203440000000001E-2</v>
      </c>
      <c r="BV124">
        <v>5.8098230000000001E-2</v>
      </c>
      <c r="BW124">
        <v>3.0030000000000001E-2</v>
      </c>
      <c r="BX124">
        <v>4.388156E-2</v>
      </c>
      <c r="BY124">
        <v>8.5836049999999997E-2</v>
      </c>
      <c r="BZ124">
        <v>6.7615179999999997E-2</v>
      </c>
      <c r="CA124">
        <v>2.301595E-2</v>
      </c>
      <c r="CB124">
        <v>-1.8026199999999999E-2</v>
      </c>
      <c r="CC124">
        <v>2.043814E-2</v>
      </c>
      <c r="CD124">
        <v>7.3453980000000002E-2</v>
      </c>
      <c r="CE124">
        <v>3.1467340000000003E-2</v>
      </c>
      <c r="CF124">
        <v>-4.9158970000000003E-2</v>
      </c>
      <c r="CG124">
        <v>8.8688429999999999E-2</v>
      </c>
      <c r="CH124">
        <v>5.1693959999999997E-2</v>
      </c>
      <c r="CI124">
        <v>-4.9468860000000003E-2</v>
      </c>
      <c r="CJ124">
        <v>2.251674E-2</v>
      </c>
      <c r="CK124">
        <v>5.624506E-2</v>
      </c>
      <c r="CL124">
        <v>8.4362190000000004E-2</v>
      </c>
      <c r="CM124">
        <v>4.7270260000000001E-2</v>
      </c>
      <c r="CN124">
        <v>1.784517E-2</v>
      </c>
      <c r="CO124">
        <v>1.2702400000000001E-2</v>
      </c>
      <c r="CP124">
        <v>3.4915380000000003E-2</v>
      </c>
      <c r="CQ124">
        <v>0.14542273</v>
      </c>
      <c r="CR124">
        <v>7.1141330000000003E-2</v>
      </c>
      <c r="CS124">
        <v>7.6565469999999997E-2</v>
      </c>
      <c r="CT124">
        <v>6.1533780000000003E-2</v>
      </c>
      <c r="CU124">
        <v>3.5007940000000001E-2</v>
      </c>
      <c r="CV124">
        <v>8.1069489999999994E-2</v>
      </c>
      <c r="CW124">
        <v>5.9153259999999999E-2</v>
      </c>
      <c r="CX124">
        <v>6.9949010000000006E-2</v>
      </c>
      <c r="CY124">
        <v>0.16114814</v>
      </c>
      <c r="CZ124">
        <v>3.6954809999999998E-2</v>
      </c>
      <c r="DA124">
        <v>6.1622370000000003E-2</v>
      </c>
      <c r="DB124">
        <v>6.6454760000000002E-2</v>
      </c>
      <c r="DC124">
        <v>0.11312939</v>
      </c>
      <c r="DD124">
        <v>9.814697E-2</v>
      </c>
      <c r="DE124">
        <v>8.0008629999999997E-2</v>
      </c>
      <c r="DF124">
        <v>3.3411419999999997E-2</v>
      </c>
      <c r="DG124">
        <v>6.3449259999999993E-2</v>
      </c>
      <c r="DH124">
        <v>5.2749619999999997E-2</v>
      </c>
      <c r="DI124">
        <v>0.16362097</v>
      </c>
      <c r="DJ124">
        <v>0.21083114999999999</v>
      </c>
      <c r="DK124">
        <v>0.17471120000000001</v>
      </c>
      <c r="DL124">
        <v>3.6716150000000003E-2</v>
      </c>
      <c r="DM124">
        <v>0.23555580000000001</v>
      </c>
      <c r="DN124">
        <v>9.1525839999999997E-2</v>
      </c>
      <c r="DO124">
        <v>8.8048089999999996E-2</v>
      </c>
      <c r="DP124">
        <v>0.31490752999999999</v>
      </c>
      <c r="DQ124">
        <v>5.2230819999999997E-2</v>
      </c>
      <c r="DR124">
        <v>4.1436290000000001E-2</v>
      </c>
      <c r="DS124">
        <v>7.8612710000000002E-2</v>
      </c>
      <c r="DT124">
        <v>4.6773719999999998E-2</v>
      </c>
      <c r="DU124">
        <v>8.3944939999999996E-2</v>
      </c>
      <c r="DV124">
        <v>5.552899E-2</v>
      </c>
      <c r="DW124">
        <v>0.13261761</v>
      </c>
      <c r="DX124">
        <v>7.1401279999999998E-2</v>
      </c>
      <c r="DY124">
        <v>0.12444982</v>
      </c>
      <c r="DZ124">
        <v>3.6040549999999998E-2</v>
      </c>
      <c r="EA124">
        <v>9.0190699999999999E-2</v>
      </c>
      <c r="EB124">
        <v>0.14643228</v>
      </c>
      <c r="EC124">
        <v>5.6004000000000002E-3</v>
      </c>
      <c r="ED124">
        <v>7.5295699999999993E-2</v>
      </c>
      <c r="EE124">
        <v>8.1214690000000006E-2</v>
      </c>
      <c r="EF124">
        <v>9.1178090000000003E-2</v>
      </c>
      <c r="EG124">
        <v>7.8553230000000002E-2</v>
      </c>
      <c r="EH124">
        <v>8.1430649999999993E-2</v>
      </c>
      <c r="EI124">
        <v>7.7139020000000003E-2</v>
      </c>
      <c r="EJ124">
        <v>0.13661977</v>
      </c>
      <c r="EK124">
        <v>7.1854340000000003E-2</v>
      </c>
      <c r="EL124">
        <v>0.11654675</v>
      </c>
      <c r="EM124">
        <v>9.3362970000000003E-2</v>
      </c>
      <c r="EN124">
        <v>9.8731520000000003E-2</v>
      </c>
      <c r="EO124">
        <v>0.15884290000000001</v>
      </c>
      <c r="EP124">
        <f t="shared" si="3"/>
        <v>0</v>
      </c>
      <c r="EQ124">
        <f>SUMIF('Mi portafolio'!$A$8:$A$19,$A124,'Mi portafolio'!$B$8:$B$19)</f>
        <v>0</v>
      </c>
    </row>
    <row r="125" spans="1:147" x14ac:dyDescent="0.25">
      <c r="A125" s="34" t="s">
        <v>203</v>
      </c>
      <c r="B125">
        <v>7.1706000000000005E-4</v>
      </c>
      <c r="C125">
        <v>2.09114E-3</v>
      </c>
      <c r="D125">
        <v>-6.7900999999999997E-4</v>
      </c>
      <c r="E125">
        <v>9.2311000000000008E-3</v>
      </c>
      <c r="F125">
        <v>-1.221845E-2</v>
      </c>
      <c r="G125">
        <v>-2.0746239999999999E-2</v>
      </c>
      <c r="H125">
        <v>1.5190210000000001E-2</v>
      </c>
      <c r="I125">
        <v>-4.4362999999999998E-3</v>
      </c>
      <c r="J125">
        <v>-2.9946600000000001E-3</v>
      </c>
      <c r="K125">
        <v>-1.71426E-3</v>
      </c>
      <c r="L125">
        <v>1.283838E-2</v>
      </c>
      <c r="M125">
        <v>3.1722359999999998E-2</v>
      </c>
      <c r="N125">
        <v>6.7859599999999997E-3</v>
      </c>
      <c r="O125">
        <v>1.0076359999999999E-2</v>
      </c>
      <c r="P125">
        <v>-5.5209200000000003E-3</v>
      </c>
      <c r="Q125">
        <v>5.2839999999999996E-3</v>
      </c>
      <c r="R125">
        <v>4.2679900000000002E-3</v>
      </c>
      <c r="S125">
        <v>1.077298E-2</v>
      </c>
      <c r="T125">
        <v>1.6680190000000001E-2</v>
      </c>
      <c r="U125">
        <v>1.484369E-2</v>
      </c>
      <c r="V125">
        <v>7.91327E-3</v>
      </c>
      <c r="W125">
        <v>4.4447699999999998E-3</v>
      </c>
      <c r="X125">
        <v>2.4171769999999999E-2</v>
      </c>
      <c r="Y125">
        <v>-1.293103E-2</v>
      </c>
      <c r="Z125">
        <v>5.9427500000000001E-3</v>
      </c>
      <c r="AA125">
        <v>8.5110499999999992E-3</v>
      </c>
      <c r="AB125">
        <v>-1.7592279999999998E-2</v>
      </c>
      <c r="AC125">
        <v>1.035469E-2</v>
      </c>
      <c r="AD125">
        <v>1.7276489999999999E-2</v>
      </c>
      <c r="AE125">
        <v>1.5655450000000001E-2</v>
      </c>
      <c r="AF125">
        <v>1.314823E-2</v>
      </c>
      <c r="AG125">
        <v>1.3836499999999999E-3</v>
      </c>
      <c r="AH125">
        <v>4.7148900000000002E-3</v>
      </c>
      <c r="AI125">
        <v>-4.9412099999999997E-3</v>
      </c>
      <c r="AJ125">
        <v>2.1014330000000001E-2</v>
      </c>
      <c r="AK125">
        <v>1.9842809999999999E-2</v>
      </c>
      <c r="AL125">
        <v>2.593022E-2</v>
      </c>
      <c r="AM125">
        <v>3.7946420000000002E-2</v>
      </c>
      <c r="AN125">
        <v>3.044639E-2</v>
      </c>
      <c r="AO125">
        <v>-2.0920770000000002E-2</v>
      </c>
      <c r="AP125">
        <v>8.5934600000000007E-3</v>
      </c>
      <c r="AQ125">
        <v>-1.0912679999999999E-2</v>
      </c>
      <c r="AR125">
        <v>2.0947469999999999E-2</v>
      </c>
      <c r="AS125">
        <v>1.3202119999999999E-2</v>
      </c>
      <c r="AT125">
        <v>2.3932490000000001E-2</v>
      </c>
      <c r="AU125">
        <v>-1.6046000000000001E-3</v>
      </c>
      <c r="AV125">
        <v>-2.54024E-3</v>
      </c>
      <c r="AW125">
        <v>2.221188E-2</v>
      </c>
      <c r="AX125">
        <v>-1.6448700000000001E-3</v>
      </c>
      <c r="AY125">
        <v>6.8628700000000001E-3</v>
      </c>
      <c r="AZ125">
        <v>2.8954779999999999E-2</v>
      </c>
      <c r="BA125">
        <v>4.1978330000000001E-2</v>
      </c>
      <c r="BB125">
        <v>3.925737E-2</v>
      </c>
      <c r="BC125">
        <v>1.7724420000000001E-2</v>
      </c>
      <c r="BD125">
        <v>1.9362899999999999E-2</v>
      </c>
      <c r="BE125">
        <v>1.5241350000000001E-2</v>
      </c>
      <c r="BF125">
        <v>1.8904150000000002E-2</v>
      </c>
      <c r="BG125">
        <v>1.318707E-2</v>
      </c>
      <c r="BH125">
        <v>2.83278E-3</v>
      </c>
      <c r="BI125">
        <v>2.4228699999999999E-2</v>
      </c>
      <c r="BJ125">
        <v>1.7122000000000001E-3</v>
      </c>
      <c r="BK125">
        <v>1.7976780000000001E-2</v>
      </c>
      <c r="BL125">
        <v>4.856369E-2</v>
      </c>
      <c r="BM125">
        <v>1.5940329999999999E-2</v>
      </c>
      <c r="BN125">
        <v>2.4864600000000001E-2</v>
      </c>
      <c r="BO125">
        <v>5.1115750000000001E-2</v>
      </c>
      <c r="BP125">
        <v>2.899945E-2</v>
      </c>
      <c r="BQ125">
        <v>5.009417E-2</v>
      </c>
      <c r="BR125">
        <v>4.3914719999999997E-2</v>
      </c>
      <c r="BS125">
        <v>1.008041E-2</v>
      </c>
      <c r="BT125">
        <v>5.4693970000000001E-2</v>
      </c>
      <c r="BU125">
        <v>3.9525690000000002E-2</v>
      </c>
      <c r="BV125">
        <v>6.3813880000000003E-2</v>
      </c>
      <c r="BW125">
        <v>4.5955620000000003E-2</v>
      </c>
      <c r="BX125">
        <v>1.5803970000000001E-2</v>
      </c>
      <c r="BY125">
        <v>4.6828960000000003E-2</v>
      </c>
      <c r="BZ125">
        <v>6.905965E-2</v>
      </c>
      <c r="CA125">
        <v>1.5727229999999998E-2</v>
      </c>
      <c r="CB125">
        <v>3.25524E-3</v>
      </c>
      <c r="CC125">
        <v>2.0173299999999999E-3</v>
      </c>
      <c r="CD125">
        <v>1.9495180000000001E-2</v>
      </c>
      <c r="CE125">
        <v>4.8246909999999997E-2</v>
      </c>
      <c r="CF125">
        <v>3.32044E-3</v>
      </c>
      <c r="CG125">
        <v>1.4445670000000001E-2</v>
      </c>
      <c r="CH125">
        <v>3.5907840000000003E-2</v>
      </c>
      <c r="CI125">
        <v>-5.4637999999999996E-4</v>
      </c>
      <c r="CJ125">
        <v>-4.5524399999999996E-3</v>
      </c>
      <c r="CK125">
        <v>2.2154839999999999E-2</v>
      </c>
      <c r="CL125">
        <v>5.8242040000000002E-2</v>
      </c>
      <c r="CM125">
        <v>4.9900279999999998E-2</v>
      </c>
      <c r="CN125">
        <v>2.5353099999999998E-3</v>
      </c>
      <c r="CO125">
        <v>3.2577620000000002E-2</v>
      </c>
      <c r="CP125">
        <v>2.1045999999999999E-3</v>
      </c>
      <c r="CQ125">
        <v>7.6338909999999996E-2</v>
      </c>
      <c r="CR125">
        <v>7.8649520000000001E-2</v>
      </c>
      <c r="CS125">
        <v>8.9556670000000005E-2</v>
      </c>
      <c r="CT125">
        <v>4.3193450000000001E-2</v>
      </c>
      <c r="CU125">
        <v>3.9402159999999999E-2</v>
      </c>
      <c r="CV125">
        <v>2.0153339999999999E-2</v>
      </c>
      <c r="CW125">
        <v>4.2068689999999999E-2</v>
      </c>
      <c r="CX125">
        <v>5.089838E-2</v>
      </c>
      <c r="CY125">
        <v>4.5987970000000003E-2</v>
      </c>
      <c r="CZ125">
        <v>4.1246640000000001E-2</v>
      </c>
      <c r="DA125">
        <v>2.19601E-2</v>
      </c>
      <c r="DB125">
        <v>9.4355930000000005E-2</v>
      </c>
      <c r="DC125">
        <v>7.305246E-2</v>
      </c>
      <c r="DD125">
        <v>4.5453779999999999E-2</v>
      </c>
      <c r="DE125">
        <v>8.828896E-2</v>
      </c>
      <c r="DF125">
        <v>-1.4163210000000001E-2</v>
      </c>
      <c r="DG125">
        <v>8.9474940000000003E-2</v>
      </c>
      <c r="DH125">
        <v>8.6716559999999998E-2</v>
      </c>
      <c r="DI125">
        <v>8.0997650000000004E-2</v>
      </c>
      <c r="DJ125">
        <v>4.1047889999999997E-2</v>
      </c>
      <c r="DK125">
        <v>9.8917939999999996E-2</v>
      </c>
      <c r="DL125">
        <v>3.6112070000000003E-2</v>
      </c>
      <c r="DM125">
        <v>7.1013699999999999E-2</v>
      </c>
      <c r="DN125">
        <v>2.8683509999999999E-2</v>
      </c>
      <c r="DO125">
        <v>0.14200202000000001</v>
      </c>
      <c r="DP125">
        <v>5.2230819999999997E-2</v>
      </c>
      <c r="DQ125">
        <v>0.30954016000000001</v>
      </c>
      <c r="DR125">
        <v>9.5889059999999998E-2</v>
      </c>
      <c r="DS125">
        <v>1.3846199999999999E-2</v>
      </c>
      <c r="DT125">
        <v>8.8520280000000007E-2</v>
      </c>
      <c r="DU125">
        <v>9.5116590000000001E-2</v>
      </c>
      <c r="DV125">
        <v>5.6058719999999999E-2</v>
      </c>
      <c r="DW125">
        <v>3.9121509999999998E-2</v>
      </c>
      <c r="DX125">
        <v>0.11114016</v>
      </c>
      <c r="DY125">
        <v>9.2363269999999997E-2</v>
      </c>
      <c r="DZ125">
        <v>5.828113E-2</v>
      </c>
      <c r="EA125">
        <v>2.807055E-2</v>
      </c>
      <c r="EB125">
        <v>9.4845429999999994E-2</v>
      </c>
      <c r="EC125">
        <v>2.367648E-2</v>
      </c>
      <c r="ED125">
        <v>9.208993E-2</v>
      </c>
      <c r="EE125">
        <v>0.14590401</v>
      </c>
      <c r="EF125">
        <v>0.10157720000000001</v>
      </c>
      <c r="EG125">
        <v>0.10588195</v>
      </c>
      <c r="EH125">
        <v>3.5891079999999999E-2</v>
      </c>
      <c r="EI125">
        <v>0.16049339000000001</v>
      </c>
      <c r="EJ125">
        <v>9.7610470000000005E-2</v>
      </c>
      <c r="EK125">
        <v>0.11590082</v>
      </c>
      <c r="EL125">
        <v>0.13429584999999999</v>
      </c>
      <c r="EM125">
        <v>0.13946632</v>
      </c>
      <c r="EN125">
        <v>7.3004910000000006E-2</v>
      </c>
      <c r="EO125">
        <v>3.2445590000000003E-2</v>
      </c>
      <c r="EP125">
        <f t="shared" si="3"/>
        <v>0</v>
      </c>
      <c r="EQ125">
        <f>SUMIF('Mi portafolio'!$A$8:$A$19,$A125,'Mi portafolio'!$B$8:$B$19)</f>
        <v>0</v>
      </c>
    </row>
    <row r="126" spans="1:147" x14ac:dyDescent="0.25">
      <c r="A126" s="34" t="s">
        <v>204</v>
      </c>
      <c r="B126">
        <v>-5.4521500000000002E-3</v>
      </c>
      <c r="C126">
        <v>5.8027799999999996E-3</v>
      </c>
      <c r="D126">
        <v>-1.81712E-3</v>
      </c>
      <c r="E126">
        <v>1.3125339999999999E-2</v>
      </c>
      <c r="F126">
        <v>-1.036639E-2</v>
      </c>
      <c r="G126">
        <v>8.6907700000000004E-3</v>
      </c>
      <c r="H126">
        <v>3.8556699999999998E-3</v>
      </c>
      <c r="I126">
        <v>-6.3616300000000001E-3</v>
      </c>
      <c r="J126">
        <v>3.8697999999999998E-4</v>
      </c>
      <c r="K126">
        <v>-1.342982E-2</v>
      </c>
      <c r="L126">
        <v>5.0583499999999997E-3</v>
      </c>
      <c r="M126">
        <v>2.7479590000000002E-2</v>
      </c>
      <c r="N126">
        <v>1.7789470000000002E-2</v>
      </c>
      <c r="O126">
        <v>1.104784E-2</v>
      </c>
      <c r="P126">
        <v>-4.3775000000000003E-3</v>
      </c>
      <c r="Q126">
        <v>1.861618E-2</v>
      </c>
      <c r="R126">
        <v>-7.0907000000000001E-3</v>
      </c>
      <c r="S126">
        <v>-9.3812600000000006E-3</v>
      </c>
      <c r="T126">
        <v>2.7869930000000001E-2</v>
      </c>
      <c r="U126">
        <v>1.887745E-2</v>
      </c>
      <c r="V126">
        <v>6.7928399999999996E-3</v>
      </c>
      <c r="W126">
        <v>1.176518E-2</v>
      </c>
      <c r="X126">
        <v>3.327542E-2</v>
      </c>
      <c r="Y126">
        <v>-2.0188799999999998E-3</v>
      </c>
      <c r="Z126">
        <v>1.966654E-2</v>
      </c>
      <c r="AA126">
        <v>8.1775500000000004E-3</v>
      </c>
      <c r="AB126">
        <v>-2.4275899999999999E-3</v>
      </c>
      <c r="AC126">
        <v>8.50185E-3</v>
      </c>
      <c r="AD126">
        <v>1.0164110000000001E-2</v>
      </c>
      <c r="AE126">
        <v>6.1862899999999997E-3</v>
      </c>
      <c r="AF126">
        <v>2.891326E-2</v>
      </c>
      <c r="AG126">
        <v>-1.3421789999999999E-2</v>
      </c>
      <c r="AH126">
        <v>-8.88422E-3</v>
      </c>
      <c r="AI126">
        <v>1.113769E-2</v>
      </c>
      <c r="AJ126">
        <v>1.157041E-2</v>
      </c>
      <c r="AK126">
        <v>1.9416820000000001E-2</v>
      </c>
      <c r="AL126">
        <v>9.2334200000000009E-3</v>
      </c>
      <c r="AM126">
        <v>2.8614560000000001E-2</v>
      </c>
      <c r="AN126">
        <v>5.4493299999999996E-3</v>
      </c>
      <c r="AO126">
        <v>5.7113700000000003E-3</v>
      </c>
      <c r="AP126">
        <v>1.0485639999999999E-2</v>
      </c>
      <c r="AQ126">
        <v>9.3169399999999993E-3</v>
      </c>
      <c r="AR126">
        <v>3.2518699999999998E-2</v>
      </c>
      <c r="AS126">
        <v>1.544427E-2</v>
      </c>
      <c r="AT126">
        <v>2.1081599999999999E-2</v>
      </c>
      <c r="AU126">
        <v>-3.0934399999999998E-3</v>
      </c>
      <c r="AV126">
        <v>1.6459640000000001E-2</v>
      </c>
      <c r="AW126">
        <v>2.8425369999999998E-2</v>
      </c>
      <c r="AX126">
        <v>1.301391E-2</v>
      </c>
      <c r="AY126">
        <v>1.398304E-2</v>
      </c>
      <c r="AZ126">
        <v>1.0211069999999999E-2</v>
      </c>
      <c r="BA126">
        <v>2.1714629999999999E-2</v>
      </c>
      <c r="BB126">
        <v>4.6473649999999998E-2</v>
      </c>
      <c r="BC126">
        <v>-2.0404799999999999E-3</v>
      </c>
      <c r="BD126">
        <v>1.390535E-2</v>
      </c>
      <c r="BE126">
        <v>2.152917E-2</v>
      </c>
      <c r="BF126">
        <v>2.3315490000000001E-2</v>
      </c>
      <c r="BG126">
        <v>2.7087509999999999E-2</v>
      </c>
      <c r="BH126">
        <v>2.9364080000000001E-2</v>
      </c>
      <c r="BI126">
        <v>2.6095170000000001E-2</v>
      </c>
      <c r="BJ126">
        <v>1.43169E-3</v>
      </c>
      <c r="BK126">
        <v>1.4077569999999999E-2</v>
      </c>
      <c r="BL126">
        <v>7.9356389999999999E-2</v>
      </c>
      <c r="BM126">
        <v>1.231692E-2</v>
      </c>
      <c r="BN126">
        <v>1.0505099999999999E-3</v>
      </c>
      <c r="BO126">
        <v>1.8279150000000001E-2</v>
      </c>
      <c r="BP126">
        <v>1.7203010000000001E-2</v>
      </c>
      <c r="BQ126">
        <v>3.9931170000000002E-2</v>
      </c>
      <c r="BR126">
        <v>3.3442680000000002E-2</v>
      </c>
      <c r="BS126">
        <v>1.0923240000000001E-2</v>
      </c>
      <c r="BT126">
        <v>3.8321279999999999E-2</v>
      </c>
      <c r="BU126">
        <v>3.5464629999999997E-2</v>
      </c>
      <c r="BV126">
        <v>2.6578040000000001E-2</v>
      </c>
      <c r="BW126">
        <v>3.8555970000000002E-2</v>
      </c>
      <c r="BX126">
        <v>1.34187E-2</v>
      </c>
      <c r="BY126">
        <v>3.006909E-2</v>
      </c>
      <c r="BZ126">
        <v>4.5120689999999998E-2</v>
      </c>
      <c r="CA126">
        <v>5.4414600000000004E-3</v>
      </c>
      <c r="CB126">
        <v>-1.8765399999999999E-3</v>
      </c>
      <c r="CC126">
        <v>2.33698E-2</v>
      </c>
      <c r="CD126">
        <v>3.315945E-2</v>
      </c>
      <c r="CE126">
        <v>3.1822469999999999E-2</v>
      </c>
      <c r="CF126">
        <v>9.9843899999999992E-3</v>
      </c>
      <c r="CG126">
        <v>1.28626E-2</v>
      </c>
      <c r="CH126">
        <v>8.7046040000000005E-2</v>
      </c>
      <c r="CI126">
        <v>2.3416119999999999E-2</v>
      </c>
      <c r="CJ126">
        <v>2.105829E-2</v>
      </c>
      <c r="CK126">
        <v>-1.4070269999999999E-2</v>
      </c>
      <c r="CL126">
        <v>4.5309559999999999E-2</v>
      </c>
      <c r="CM126">
        <v>6.3663789999999998E-2</v>
      </c>
      <c r="CN126">
        <v>2.176838E-2</v>
      </c>
      <c r="CO126">
        <v>9.3489799999999998E-3</v>
      </c>
      <c r="CP126">
        <v>2.3925640000000001E-2</v>
      </c>
      <c r="CQ126">
        <v>5.4839249999999999E-2</v>
      </c>
      <c r="CR126">
        <v>8.0924899999999994E-2</v>
      </c>
      <c r="CS126">
        <v>8.310323E-2</v>
      </c>
      <c r="CT126">
        <v>4.1699170000000001E-2</v>
      </c>
      <c r="CU126">
        <v>5.6937700000000001E-2</v>
      </c>
      <c r="CV126">
        <v>2.1343939999999999E-2</v>
      </c>
      <c r="CW126">
        <v>4.312349E-2</v>
      </c>
      <c r="CX126">
        <v>6.2432649999999999E-2</v>
      </c>
      <c r="CY126">
        <v>3.0442940000000002E-2</v>
      </c>
      <c r="CZ126">
        <v>2.8354210000000001E-2</v>
      </c>
      <c r="DA126">
        <v>1.2678750000000001E-2</v>
      </c>
      <c r="DB126">
        <v>8.8650660000000006E-2</v>
      </c>
      <c r="DC126">
        <v>3.853239E-2</v>
      </c>
      <c r="DD126">
        <v>3.4544180000000001E-2</v>
      </c>
      <c r="DE126">
        <v>0.15260201000000001</v>
      </c>
      <c r="DF126">
        <v>1.9596200000000001E-2</v>
      </c>
      <c r="DG126">
        <v>0.12751525</v>
      </c>
      <c r="DH126">
        <v>8.566907E-2</v>
      </c>
      <c r="DI126">
        <v>5.4841519999999998E-2</v>
      </c>
      <c r="DJ126">
        <v>4.3429450000000001E-2</v>
      </c>
      <c r="DK126">
        <v>6.8068210000000004E-2</v>
      </c>
      <c r="DL126">
        <v>9.5834619999999995E-2</v>
      </c>
      <c r="DM126">
        <v>4.9391329999999997E-2</v>
      </c>
      <c r="DN126">
        <v>2.537673E-2</v>
      </c>
      <c r="DO126">
        <v>9.2260480000000006E-2</v>
      </c>
      <c r="DP126">
        <v>4.1436290000000001E-2</v>
      </c>
      <c r="DQ126">
        <v>9.5889059999999998E-2</v>
      </c>
      <c r="DR126">
        <v>0.31322128999999999</v>
      </c>
      <c r="DS126">
        <v>2.4825699999999999E-2</v>
      </c>
      <c r="DT126">
        <v>7.8555150000000004E-2</v>
      </c>
      <c r="DU126">
        <v>0.10388261</v>
      </c>
      <c r="DV126">
        <v>8.2658620000000002E-2</v>
      </c>
      <c r="DW126">
        <v>4.2472339999999997E-2</v>
      </c>
      <c r="DX126">
        <v>0.12119545</v>
      </c>
      <c r="DY126">
        <v>7.5429629999999998E-2</v>
      </c>
      <c r="DZ126">
        <v>3.8866499999999998E-2</v>
      </c>
      <c r="EA126">
        <v>7.1978269999999997E-2</v>
      </c>
      <c r="EB126">
        <v>8.1493049999999997E-2</v>
      </c>
      <c r="EC126">
        <v>6.8077970000000002E-2</v>
      </c>
      <c r="ED126">
        <v>9.7886749999999995E-2</v>
      </c>
      <c r="EE126">
        <v>0.14018949</v>
      </c>
      <c r="EF126">
        <v>0.15687603999999999</v>
      </c>
      <c r="EG126">
        <v>0.13224653</v>
      </c>
      <c r="EH126">
        <v>1.393528E-2</v>
      </c>
      <c r="EI126">
        <v>0.16395841999999999</v>
      </c>
      <c r="EJ126">
        <v>0.11835988</v>
      </c>
      <c r="EK126">
        <v>0.15478083000000001</v>
      </c>
      <c r="EL126">
        <v>0.17781116999999999</v>
      </c>
      <c r="EM126">
        <v>0.14331119</v>
      </c>
      <c r="EN126">
        <v>0.11930035999999999</v>
      </c>
      <c r="EO126">
        <v>5.6830159999999998E-2</v>
      </c>
      <c r="EP126">
        <f t="shared" si="3"/>
        <v>0</v>
      </c>
      <c r="EQ126">
        <f>SUMIF('Mi portafolio'!$A$8:$A$19,$A126,'Mi portafolio'!$B$8:$B$19)</f>
        <v>0</v>
      </c>
    </row>
    <row r="127" spans="1:147" x14ac:dyDescent="0.25">
      <c r="A127" s="34" t="s">
        <v>205</v>
      </c>
      <c r="B127">
        <v>9.7736899999999998E-3</v>
      </c>
      <c r="C127">
        <v>-7.0360700000000002E-3</v>
      </c>
      <c r="D127">
        <v>3.8607099999999998E-3</v>
      </c>
      <c r="E127">
        <v>-1.77684E-3</v>
      </c>
      <c r="F127">
        <v>4.2006300000000003E-3</v>
      </c>
      <c r="G127">
        <v>-2.7624199999999998E-3</v>
      </c>
      <c r="H127">
        <v>1.03859E-3</v>
      </c>
      <c r="I127">
        <v>7.1396000000000003E-3</v>
      </c>
      <c r="J127">
        <v>4.9744999999999998E-4</v>
      </c>
      <c r="K127">
        <v>8.2377400000000003E-3</v>
      </c>
      <c r="L127">
        <v>4.3938099999999997E-3</v>
      </c>
      <c r="M127">
        <v>1.43415E-2</v>
      </c>
      <c r="N127">
        <v>7.0460699999999998E-3</v>
      </c>
      <c r="O127">
        <v>-1.032258E-2</v>
      </c>
      <c r="P127">
        <v>7.8433900000000004E-3</v>
      </c>
      <c r="Q127">
        <v>1.3096200000000001E-3</v>
      </c>
      <c r="R127">
        <v>6.0569100000000004E-3</v>
      </c>
      <c r="S127">
        <v>2.7343599999999999E-3</v>
      </c>
      <c r="T127">
        <v>3.1378690000000001E-2</v>
      </c>
      <c r="U127">
        <v>2.3053800000000001E-3</v>
      </c>
      <c r="V127">
        <v>-9.1258699999999995E-3</v>
      </c>
      <c r="W127">
        <v>3.0549599999999998E-3</v>
      </c>
      <c r="X127">
        <v>1.672332E-2</v>
      </c>
      <c r="Y127">
        <v>3.2735189999999997E-2</v>
      </c>
      <c r="Z127">
        <v>4.5336999999999998E-4</v>
      </c>
      <c r="AA127">
        <v>6.3761299999999998E-3</v>
      </c>
      <c r="AB127">
        <v>4.0133519999999999E-2</v>
      </c>
      <c r="AC127">
        <v>-1.0137719999999999E-2</v>
      </c>
      <c r="AD127">
        <v>-9.64514E-3</v>
      </c>
      <c r="AE127">
        <v>-4.13978E-3</v>
      </c>
      <c r="AF127">
        <v>-6.97681E-3</v>
      </c>
      <c r="AG127">
        <v>-5.6636000000000002E-4</v>
      </c>
      <c r="AH127">
        <v>9.2629999999999999E-5</v>
      </c>
      <c r="AI127">
        <v>-5.0079399999999998E-3</v>
      </c>
      <c r="AJ127">
        <v>-1.8933390000000001E-2</v>
      </c>
      <c r="AK127">
        <v>-5.86916E-3</v>
      </c>
      <c r="AL127">
        <v>3.50262E-2</v>
      </c>
      <c r="AM127">
        <v>1.8524209999999999E-2</v>
      </c>
      <c r="AN127">
        <v>2.2886489999999999E-2</v>
      </c>
      <c r="AO127">
        <v>-1.4300000000000001E-3</v>
      </c>
      <c r="AP127">
        <v>2.3042320000000002E-2</v>
      </c>
      <c r="AQ127">
        <v>-6.2660600000000004E-3</v>
      </c>
      <c r="AR127">
        <v>2.3899509999999999E-2</v>
      </c>
      <c r="AS127">
        <v>2.2736399999999999E-3</v>
      </c>
      <c r="AT127">
        <v>4.389697E-2</v>
      </c>
      <c r="AU127">
        <v>-3.68112E-3</v>
      </c>
      <c r="AV127">
        <v>-1.03321E-2</v>
      </c>
      <c r="AW127">
        <v>-1.0393390000000001E-2</v>
      </c>
      <c r="AX127">
        <v>3.6617899999999998E-3</v>
      </c>
      <c r="AY127">
        <v>1.2174249999999999E-2</v>
      </c>
      <c r="AZ127">
        <v>-1.5978929999999999E-2</v>
      </c>
      <c r="BA127">
        <v>1.3738800000000001E-3</v>
      </c>
      <c r="BB127">
        <v>3.9006909999999999E-2</v>
      </c>
      <c r="BC127">
        <v>-1.454271E-2</v>
      </c>
      <c r="BD127">
        <v>-1.57617E-2</v>
      </c>
      <c r="BE127">
        <v>-4.3959699999999999E-3</v>
      </c>
      <c r="BF127">
        <v>3.36966E-3</v>
      </c>
      <c r="BG127">
        <v>3.4179139999999997E-2</v>
      </c>
      <c r="BH127">
        <v>1.8849699999999999E-3</v>
      </c>
      <c r="BI127">
        <v>1.384229E-2</v>
      </c>
      <c r="BJ127">
        <v>-1.7476889999999998E-2</v>
      </c>
      <c r="BK127">
        <v>-5.3662000000000002E-4</v>
      </c>
      <c r="BL127">
        <v>3.5459300000000001E-3</v>
      </c>
      <c r="BM127">
        <v>2.5527879999999999E-2</v>
      </c>
      <c r="BN127">
        <v>1.150384E-2</v>
      </c>
      <c r="BO127">
        <v>4.5209230000000003E-2</v>
      </c>
      <c r="BP127">
        <v>5.6940409999999997E-2</v>
      </c>
      <c r="BQ127">
        <v>-1.202726E-2</v>
      </c>
      <c r="BR127">
        <v>2.4939570000000001E-2</v>
      </c>
      <c r="BS127">
        <v>1.1961E-4</v>
      </c>
      <c r="BT127">
        <v>2.4356579999999999E-2</v>
      </c>
      <c r="BU127">
        <v>-2.0658999999999999E-3</v>
      </c>
      <c r="BV127">
        <v>4.9631179999999997E-2</v>
      </c>
      <c r="BW127">
        <v>3.7422419999999998E-2</v>
      </c>
      <c r="BX127">
        <v>8.5735199999999994E-3</v>
      </c>
      <c r="BY127">
        <v>1.728644E-2</v>
      </c>
      <c r="BZ127">
        <v>3.7174730000000003E-2</v>
      </c>
      <c r="CA127">
        <v>-1.4840620000000001E-2</v>
      </c>
      <c r="CB127">
        <v>6.0091500000000004E-3</v>
      </c>
      <c r="CC127">
        <v>3.5164800000000003E-2</v>
      </c>
      <c r="CD127">
        <v>8.9694689999999994E-2</v>
      </c>
      <c r="CE127">
        <v>1.480736E-2</v>
      </c>
      <c r="CF127">
        <v>8.8336999999999997E-4</v>
      </c>
      <c r="CG127">
        <v>6.9369E-2</v>
      </c>
      <c r="CH127">
        <v>-2.1142540000000001E-2</v>
      </c>
      <c r="CI127">
        <v>3.3168400000000002E-3</v>
      </c>
      <c r="CJ127">
        <v>4.2363440000000002E-2</v>
      </c>
      <c r="CK127">
        <v>3.2442699999999998E-2</v>
      </c>
      <c r="CL127">
        <v>-3.0760700000000002E-3</v>
      </c>
      <c r="CM127">
        <v>2.220803E-2</v>
      </c>
      <c r="CN127">
        <v>5.0951299999999998E-3</v>
      </c>
      <c r="CO127">
        <v>1.745472E-2</v>
      </c>
      <c r="CP127">
        <v>3.2196750000000003E-2</v>
      </c>
      <c r="CQ127">
        <v>4.0829850000000001E-2</v>
      </c>
      <c r="CR127">
        <v>1.863654E-2</v>
      </c>
      <c r="CS127">
        <v>-2.2869770000000001E-2</v>
      </c>
      <c r="CT127">
        <v>3.3109319999999998E-2</v>
      </c>
      <c r="CU127">
        <v>2.5816840000000001E-2</v>
      </c>
      <c r="CV127">
        <v>4.2377919999999999E-2</v>
      </c>
      <c r="CW127">
        <v>5.613887E-2</v>
      </c>
      <c r="CX127">
        <v>4.8055349999999997E-2</v>
      </c>
      <c r="CY127">
        <v>1.9896420000000001E-2</v>
      </c>
      <c r="CZ127">
        <v>8.2160789999999997E-2</v>
      </c>
      <c r="DA127">
        <v>5.1656489999999999E-2</v>
      </c>
      <c r="DB127">
        <v>2.73855E-2</v>
      </c>
      <c r="DC127">
        <v>7.2221000000000004E-3</v>
      </c>
      <c r="DD127">
        <v>7.8276369999999998E-2</v>
      </c>
      <c r="DE127">
        <v>-3.0120500000000001E-3</v>
      </c>
      <c r="DF127">
        <v>7.7646409999999999E-2</v>
      </c>
      <c r="DG127">
        <v>-2.9378789999999998E-2</v>
      </c>
      <c r="DH127">
        <v>2.233798E-2</v>
      </c>
      <c r="DI127">
        <v>4.7563689999999999E-2</v>
      </c>
      <c r="DJ127">
        <v>6.8279210000000007E-2</v>
      </c>
      <c r="DK127">
        <v>4.4326659999999997E-2</v>
      </c>
      <c r="DL127">
        <v>-4.5945550000000002E-2</v>
      </c>
      <c r="DM127">
        <v>5.2058800000000002E-2</v>
      </c>
      <c r="DN127">
        <v>8.2764690000000002E-2</v>
      </c>
      <c r="DO127">
        <v>2.3752639999999998E-2</v>
      </c>
      <c r="DP127">
        <v>7.8612710000000002E-2</v>
      </c>
      <c r="DQ127">
        <v>1.3846199999999999E-2</v>
      </c>
      <c r="DR127">
        <v>2.4825699999999999E-2</v>
      </c>
      <c r="DS127">
        <v>0.31270410999999998</v>
      </c>
      <c r="DT127">
        <v>7.2447810000000001E-2</v>
      </c>
      <c r="DU127">
        <v>8.2578890000000002E-2</v>
      </c>
      <c r="DV127">
        <v>0.10694803</v>
      </c>
      <c r="DW127">
        <v>0.10014484</v>
      </c>
      <c r="DX127">
        <v>-2.4358009999999999E-2</v>
      </c>
      <c r="DY127">
        <v>0.12811291999999999</v>
      </c>
      <c r="DZ127">
        <v>8.7550240000000001E-2</v>
      </c>
      <c r="EA127">
        <v>3.2326580000000001E-2</v>
      </c>
      <c r="EB127">
        <v>0.15371905999999999</v>
      </c>
      <c r="EC127">
        <v>-3.3791019999999998E-2</v>
      </c>
      <c r="ED127">
        <v>-3.6293600000000002E-2</v>
      </c>
      <c r="EE127">
        <v>1.555876E-2</v>
      </c>
      <c r="EF127">
        <v>2.6456540000000001E-2</v>
      </c>
      <c r="EG127">
        <v>-9.8527700000000003E-3</v>
      </c>
      <c r="EH127">
        <v>9.8336590000000001E-2</v>
      </c>
      <c r="EI127">
        <v>-2.1796550000000001E-2</v>
      </c>
      <c r="EJ127">
        <v>7.6854740000000005E-2</v>
      </c>
      <c r="EK127">
        <v>-3.3381600000000002E-3</v>
      </c>
      <c r="EL127">
        <v>1.1260640000000001E-2</v>
      </c>
      <c r="EM127">
        <v>0.10269154</v>
      </c>
      <c r="EN127">
        <v>9.4347630000000002E-2</v>
      </c>
      <c r="EO127">
        <v>0.13140492000000001</v>
      </c>
      <c r="EP127">
        <f t="shared" si="3"/>
        <v>0</v>
      </c>
      <c r="EQ127">
        <f>SUMIF('Mi portafolio'!$A$8:$A$19,$A127,'Mi portafolio'!$B$8:$B$19)</f>
        <v>0</v>
      </c>
    </row>
    <row r="128" spans="1:147" x14ac:dyDescent="0.25">
      <c r="A128" s="34" t="s">
        <v>206</v>
      </c>
      <c r="B128">
        <v>-1.180086E-2</v>
      </c>
      <c r="C128">
        <v>-3.1930399999999999E-3</v>
      </c>
      <c r="D128">
        <v>4.57224E-3</v>
      </c>
      <c r="E128">
        <v>5.4967799999999997E-3</v>
      </c>
      <c r="F128">
        <v>-2.9693199999999999E-2</v>
      </c>
      <c r="G128">
        <v>-4.3683000000000003E-3</v>
      </c>
      <c r="H128">
        <v>1.87616E-3</v>
      </c>
      <c r="I128">
        <v>-1.437245E-2</v>
      </c>
      <c r="J128">
        <v>-2.6925770000000002E-2</v>
      </c>
      <c r="K128">
        <v>-2.6962750000000001E-2</v>
      </c>
      <c r="L128">
        <v>3.33709E-3</v>
      </c>
      <c r="M128">
        <v>1.787569E-2</v>
      </c>
      <c r="N128">
        <v>5.5818999999999997E-4</v>
      </c>
      <c r="O128">
        <v>-1.25508E-3</v>
      </c>
      <c r="P128">
        <v>-2.1279260000000001E-2</v>
      </c>
      <c r="Q128">
        <v>-1.2364470000000001E-2</v>
      </c>
      <c r="R128">
        <v>-1.7554520000000001E-2</v>
      </c>
      <c r="S128">
        <v>-2.91406E-3</v>
      </c>
      <c r="T128">
        <v>1.9569159999999999E-2</v>
      </c>
      <c r="U128">
        <v>1.667542E-2</v>
      </c>
      <c r="V128">
        <v>2.0961899999999999E-3</v>
      </c>
      <c r="W128">
        <v>-8.5417700000000006E-3</v>
      </c>
      <c r="X128">
        <v>1.9419760000000001E-2</v>
      </c>
      <c r="Y128">
        <v>-1.108754E-2</v>
      </c>
      <c r="Z128">
        <v>1.036284E-2</v>
      </c>
      <c r="AA128">
        <v>1.5997E-4</v>
      </c>
      <c r="AB128">
        <v>-5.7145900000000003E-3</v>
      </c>
      <c r="AC128">
        <v>1.7189739999999998E-2</v>
      </c>
      <c r="AD128">
        <v>-1.5429669999999999E-2</v>
      </c>
      <c r="AE128">
        <v>6.0302999999999997E-3</v>
      </c>
      <c r="AF128">
        <v>8.4177999999999996E-3</v>
      </c>
      <c r="AG128">
        <v>-2.7220580000000001E-2</v>
      </c>
      <c r="AH128">
        <v>-2.0629100000000001E-2</v>
      </c>
      <c r="AI128">
        <v>-4.2319599999999999E-3</v>
      </c>
      <c r="AJ128">
        <v>7.0720000000000002E-3</v>
      </c>
      <c r="AK128">
        <v>4.5649200000000001E-3</v>
      </c>
      <c r="AL128">
        <v>5.6111599999999996E-3</v>
      </c>
      <c r="AM128">
        <v>1.561281E-2</v>
      </c>
      <c r="AN128">
        <v>-1.2340599999999999E-3</v>
      </c>
      <c r="AO128">
        <v>-2.4790469999999998E-2</v>
      </c>
      <c r="AP128">
        <v>1.1875719999999999E-2</v>
      </c>
      <c r="AQ128">
        <v>-1.5799859999999999E-2</v>
      </c>
      <c r="AR128">
        <v>2.3284050000000001E-2</v>
      </c>
      <c r="AS128">
        <v>6.4577599999999999E-3</v>
      </c>
      <c r="AT128">
        <v>3.0087900000000001E-2</v>
      </c>
      <c r="AU128">
        <v>-1.9890339999999999E-2</v>
      </c>
      <c r="AV128">
        <v>1.3008270000000001E-2</v>
      </c>
      <c r="AW128">
        <v>1.021059E-2</v>
      </c>
      <c r="AX128">
        <v>-1.542287E-2</v>
      </c>
      <c r="AY128">
        <v>-4.6540100000000001E-3</v>
      </c>
      <c r="AZ128">
        <v>1.2615E-4</v>
      </c>
      <c r="BA128">
        <v>7.14301E-3</v>
      </c>
      <c r="BB128">
        <v>5.110075E-2</v>
      </c>
      <c r="BC128">
        <v>1.3139959999999999E-2</v>
      </c>
      <c r="BD128">
        <v>7.9615899999999993E-3</v>
      </c>
      <c r="BE128">
        <v>-2.295316E-2</v>
      </c>
      <c r="BF128">
        <v>-9.9992000000000006E-4</v>
      </c>
      <c r="BG128">
        <v>2.4097339999999998E-2</v>
      </c>
      <c r="BH128">
        <v>2.7076380000000001E-2</v>
      </c>
      <c r="BI128">
        <v>1.8761030000000001E-2</v>
      </c>
      <c r="BJ128">
        <v>-3.9380700000000001E-3</v>
      </c>
      <c r="BK128">
        <v>-5.1812200000000003E-3</v>
      </c>
      <c r="BL128">
        <v>3.6782099999999998E-2</v>
      </c>
      <c r="BM128">
        <v>-1.1503799999999999E-3</v>
      </c>
      <c r="BN128">
        <v>-1.198507E-2</v>
      </c>
      <c r="BO128">
        <v>4.7110029999999997E-2</v>
      </c>
      <c r="BP128">
        <v>8.8391040000000004E-2</v>
      </c>
      <c r="BQ128">
        <v>3.61613E-2</v>
      </c>
      <c r="BR128">
        <v>1.8541530000000001E-2</v>
      </c>
      <c r="BS128">
        <v>-4.62233E-3</v>
      </c>
      <c r="BT128">
        <v>2.9301250000000001E-2</v>
      </c>
      <c r="BU128">
        <v>1.8387529999999999E-2</v>
      </c>
      <c r="BV128">
        <v>5.4788910000000003E-2</v>
      </c>
      <c r="BW128">
        <v>3.0415299999999999E-2</v>
      </c>
      <c r="BX128">
        <v>-8.7034E-3</v>
      </c>
      <c r="BY128">
        <v>2.590696E-2</v>
      </c>
      <c r="BZ128">
        <v>5.0394719999999997E-2</v>
      </c>
      <c r="CA128">
        <v>1.1273729999999999E-2</v>
      </c>
      <c r="CB128">
        <v>-1.5943120000000002E-2</v>
      </c>
      <c r="CC128">
        <v>1.734101E-2</v>
      </c>
      <c r="CD128">
        <v>5.0289189999999998E-2</v>
      </c>
      <c r="CE128">
        <v>5.0176829999999999E-2</v>
      </c>
      <c r="CF128">
        <v>-9.17543E-3</v>
      </c>
      <c r="CG128">
        <v>4.6081650000000002E-2</v>
      </c>
      <c r="CH128">
        <v>4.7286040000000001E-2</v>
      </c>
      <c r="CI128">
        <v>-4.6500600000000001E-3</v>
      </c>
      <c r="CJ128">
        <v>8.5761599999999993E-3</v>
      </c>
      <c r="CK128">
        <v>1.006694E-2</v>
      </c>
      <c r="CL128">
        <v>3.119924E-2</v>
      </c>
      <c r="CM128">
        <v>9.4813759999999997E-2</v>
      </c>
      <c r="CN128">
        <v>2.5693919999999999E-2</v>
      </c>
      <c r="CO128">
        <v>2.453495E-2</v>
      </c>
      <c r="CP128">
        <v>1.9735099999999998E-2</v>
      </c>
      <c r="CQ128">
        <v>4.2977170000000002E-2</v>
      </c>
      <c r="CR128">
        <v>9.7500290000000003E-2</v>
      </c>
      <c r="CS128">
        <v>5.2884760000000003E-2</v>
      </c>
      <c r="CT128">
        <v>6.6581799999999997E-2</v>
      </c>
      <c r="CU128">
        <v>4.7977329999999999E-2</v>
      </c>
      <c r="CV128">
        <v>5.4531830000000003E-2</v>
      </c>
      <c r="CW128">
        <v>3.9268200000000003E-2</v>
      </c>
      <c r="CX128">
        <v>4.8398120000000003E-2</v>
      </c>
      <c r="CY128">
        <v>2.7371240000000002E-2</v>
      </c>
      <c r="CZ128">
        <v>8.1303749999999994E-2</v>
      </c>
      <c r="DA128">
        <v>5.1849989999999999E-2</v>
      </c>
      <c r="DB128">
        <v>0.10250972999999999</v>
      </c>
      <c r="DC128">
        <v>5.1337819999999999E-2</v>
      </c>
      <c r="DD128">
        <v>9.3381279999999997E-2</v>
      </c>
      <c r="DE128">
        <v>9.1477089999999997E-2</v>
      </c>
      <c r="DF128">
        <v>7.6911010000000002E-2</v>
      </c>
      <c r="DG128">
        <v>6.8978579999999998E-2</v>
      </c>
      <c r="DH128">
        <v>0.12222651</v>
      </c>
      <c r="DI128">
        <v>5.1519759999999998E-2</v>
      </c>
      <c r="DJ128">
        <v>4.5864580000000002E-2</v>
      </c>
      <c r="DK128">
        <v>5.8357930000000002E-2</v>
      </c>
      <c r="DL128">
        <v>4.1500000000000002E-2</v>
      </c>
      <c r="DM128">
        <v>5.0222530000000001E-2</v>
      </c>
      <c r="DN128">
        <v>6.2872549999999999E-2</v>
      </c>
      <c r="DO128">
        <v>8.2252820000000004E-2</v>
      </c>
      <c r="DP128">
        <v>4.6773719999999998E-2</v>
      </c>
      <c r="DQ128">
        <v>8.8520280000000007E-2</v>
      </c>
      <c r="DR128">
        <v>7.8555150000000004E-2</v>
      </c>
      <c r="DS128">
        <v>7.2447810000000001E-2</v>
      </c>
      <c r="DT128">
        <v>0.32489993</v>
      </c>
      <c r="DU128">
        <v>0.14984928</v>
      </c>
      <c r="DV128">
        <v>0.14549860000000001</v>
      </c>
      <c r="DW128">
        <v>0.11770899999999999</v>
      </c>
      <c r="DX128">
        <v>9.8693100000000006E-2</v>
      </c>
      <c r="DY128">
        <v>0.1212892</v>
      </c>
      <c r="DZ128">
        <v>0.12488958</v>
      </c>
      <c r="EA128">
        <v>7.7026730000000002E-2</v>
      </c>
      <c r="EB128">
        <v>0.14478584</v>
      </c>
      <c r="EC128">
        <v>3.7563739999999998E-2</v>
      </c>
      <c r="ED128">
        <v>0.13140219</v>
      </c>
      <c r="EE128">
        <v>0.14262554999999999</v>
      </c>
      <c r="EF128">
        <v>3.9060339999999999E-2</v>
      </c>
      <c r="EG128">
        <v>9.919915E-2</v>
      </c>
      <c r="EH128">
        <v>8.1664089999999995E-2</v>
      </c>
      <c r="EI128">
        <v>0.14662966</v>
      </c>
      <c r="EJ128">
        <v>0.140014</v>
      </c>
      <c r="EK128">
        <v>0.18576202999999999</v>
      </c>
      <c r="EL128">
        <v>0.18519361000000001</v>
      </c>
      <c r="EM128">
        <v>0.23134288</v>
      </c>
      <c r="EN128">
        <v>8.1174659999999996E-2</v>
      </c>
      <c r="EO128">
        <v>0.14504348</v>
      </c>
      <c r="EP128">
        <f t="shared" si="3"/>
        <v>0</v>
      </c>
      <c r="EQ128">
        <f>SUMIF('Mi portafolio'!$A$8:$A$19,$A128,'Mi portafolio'!$B$8:$B$19)</f>
        <v>0</v>
      </c>
    </row>
    <row r="129" spans="1:147" x14ac:dyDescent="0.25">
      <c r="A129" s="34" t="s">
        <v>207</v>
      </c>
      <c r="B129">
        <v>-9.4386999999999997E-4</v>
      </c>
      <c r="C129">
        <v>-6.1412000000000003E-3</v>
      </c>
      <c r="D129">
        <v>1.255917E-2</v>
      </c>
      <c r="E129">
        <v>1.5589189999999999E-2</v>
      </c>
      <c r="F129">
        <v>-1.427731E-2</v>
      </c>
      <c r="G129">
        <v>4.2501800000000001E-3</v>
      </c>
      <c r="H129">
        <v>5.6615800000000003E-3</v>
      </c>
      <c r="I129">
        <v>3.1489000000000002E-4</v>
      </c>
      <c r="J129">
        <v>-1.3444579999999999E-2</v>
      </c>
      <c r="K129">
        <v>-7.0822699999999999E-3</v>
      </c>
      <c r="L129">
        <v>-2.4631000000000002E-3</v>
      </c>
      <c r="M129">
        <v>3.7370269999999997E-2</v>
      </c>
      <c r="N129">
        <v>1.515319E-2</v>
      </c>
      <c r="O129">
        <v>1.0719390000000001E-2</v>
      </c>
      <c r="P129">
        <v>-1.1832850000000001E-2</v>
      </c>
      <c r="Q129">
        <v>4.3023999999999997E-4</v>
      </c>
      <c r="R129">
        <v>-9.25664E-3</v>
      </c>
      <c r="S129">
        <v>7.2839799999999998E-3</v>
      </c>
      <c r="T129">
        <v>4.1360729999999998E-2</v>
      </c>
      <c r="U129">
        <v>2.8606240000000002E-2</v>
      </c>
      <c r="V129">
        <v>6.5457299999999996E-3</v>
      </c>
      <c r="W129">
        <v>1.9555920000000001E-2</v>
      </c>
      <c r="X129">
        <v>4.9542990000000002E-2</v>
      </c>
      <c r="Y129">
        <v>1.228191E-2</v>
      </c>
      <c r="Z129">
        <v>1.9827129999999998E-2</v>
      </c>
      <c r="AA129">
        <v>5.0176999999999999E-3</v>
      </c>
      <c r="AB129">
        <v>1.9300959999999999E-2</v>
      </c>
      <c r="AC129">
        <v>1.578893E-2</v>
      </c>
      <c r="AD129">
        <v>1.202599E-2</v>
      </c>
      <c r="AE129">
        <v>2.2633710000000001E-2</v>
      </c>
      <c r="AF129">
        <v>2.4047700000000002E-2</v>
      </c>
      <c r="AG129">
        <v>-5.9546900000000003E-3</v>
      </c>
      <c r="AH129">
        <v>-8.2619000000000008E-3</v>
      </c>
      <c r="AI129">
        <v>-1.660172E-2</v>
      </c>
      <c r="AJ129">
        <v>1.24031E-2</v>
      </c>
      <c r="AK129">
        <v>2.3652400000000001E-2</v>
      </c>
      <c r="AL129">
        <v>3.0475700000000001E-2</v>
      </c>
      <c r="AM129">
        <v>3.2757399999999999E-2</v>
      </c>
      <c r="AN129">
        <v>3.3018939999999997E-2</v>
      </c>
      <c r="AO129">
        <v>-1.423516E-2</v>
      </c>
      <c r="AP129">
        <v>4.6679459999999999E-2</v>
      </c>
      <c r="AQ129">
        <v>-2.3974639999999998E-2</v>
      </c>
      <c r="AR129">
        <v>4.8787009999999999E-2</v>
      </c>
      <c r="AS129">
        <v>2.2216630000000001E-2</v>
      </c>
      <c r="AT129">
        <v>7.2751640000000006E-2</v>
      </c>
      <c r="AU129">
        <v>-1.7781580000000002E-2</v>
      </c>
      <c r="AV129">
        <v>2.6190359999999999E-2</v>
      </c>
      <c r="AW129">
        <v>1.762E-2</v>
      </c>
      <c r="AX129">
        <v>1.098172E-2</v>
      </c>
      <c r="AY129">
        <v>1.7944519999999999E-2</v>
      </c>
      <c r="AZ129">
        <v>2.7077750000000001E-2</v>
      </c>
      <c r="BA129">
        <v>2.9168309999999999E-2</v>
      </c>
      <c r="BB129">
        <v>8.1564339999999999E-2</v>
      </c>
      <c r="BC129">
        <v>3.5324510000000003E-2</v>
      </c>
      <c r="BD129">
        <v>3.5193080000000002E-2</v>
      </c>
      <c r="BE129">
        <v>5.6441099999999999E-3</v>
      </c>
      <c r="BF129">
        <v>2.066426E-2</v>
      </c>
      <c r="BG129">
        <v>5.003954E-2</v>
      </c>
      <c r="BH129">
        <v>3.5049990000000003E-2</v>
      </c>
      <c r="BI129">
        <v>1.8147320000000002E-2</v>
      </c>
      <c r="BJ129">
        <v>2.54397E-3</v>
      </c>
      <c r="BK129">
        <v>3.1123749999999999E-2</v>
      </c>
      <c r="BL129">
        <v>4.3402820000000002E-2</v>
      </c>
      <c r="BM129">
        <v>3.2632620000000001E-2</v>
      </c>
      <c r="BN129">
        <v>3.3961099999999999E-3</v>
      </c>
      <c r="BO129">
        <v>6.2130789999999998E-2</v>
      </c>
      <c r="BP129">
        <v>7.9907809999999996E-2</v>
      </c>
      <c r="BQ129">
        <v>5.4396350000000003E-2</v>
      </c>
      <c r="BR129">
        <v>5.7739079999999998E-2</v>
      </c>
      <c r="BS129">
        <v>-2.4975520000000001E-2</v>
      </c>
      <c r="BT129">
        <v>7.1449369999999998E-2</v>
      </c>
      <c r="BU129">
        <v>3.8716920000000002E-2</v>
      </c>
      <c r="BV129">
        <v>6.8754270000000006E-2</v>
      </c>
      <c r="BW129">
        <v>4.6925990000000001E-2</v>
      </c>
      <c r="BX129">
        <v>1.6041E-2</v>
      </c>
      <c r="BY129">
        <v>5.630516E-2</v>
      </c>
      <c r="BZ129">
        <v>8.4925909999999993E-2</v>
      </c>
      <c r="CA129">
        <v>2.4688410000000001E-2</v>
      </c>
      <c r="CB129">
        <v>-3.41326E-3</v>
      </c>
      <c r="CC129">
        <v>3.1601810000000001E-2</v>
      </c>
      <c r="CD129">
        <v>6.1951859999999997E-2</v>
      </c>
      <c r="CE129">
        <v>4.7239620000000003E-2</v>
      </c>
      <c r="CF129">
        <v>-2.5912190000000002E-2</v>
      </c>
      <c r="CG129">
        <v>6.1717050000000002E-2</v>
      </c>
      <c r="CH129">
        <v>5.6436840000000002E-2</v>
      </c>
      <c r="CI129">
        <v>-3.238133E-2</v>
      </c>
      <c r="CJ129">
        <v>4.1756370000000001E-2</v>
      </c>
      <c r="CK129">
        <v>3.8683130000000003E-2</v>
      </c>
      <c r="CL129">
        <v>5.6152479999999998E-2</v>
      </c>
      <c r="CM129">
        <v>0.10312408000000001</v>
      </c>
      <c r="CN129">
        <v>1.816135E-2</v>
      </c>
      <c r="CO129">
        <v>3.8844799999999999E-2</v>
      </c>
      <c r="CP129">
        <v>3.8521380000000001E-2</v>
      </c>
      <c r="CQ129">
        <v>9.8180649999999994E-2</v>
      </c>
      <c r="CR129">
        <v>9.0272870000000005E-2</v>
      </c>
      <c r="CS129">
        <v>7.5750020000000001E-2</v>
      </c>
      <c r="CT129">
        <v>8.6650039999999998E-2</v>
      </c>
      <c r="CU129">
        <v>4.504346E-2</v>
      </c>
      <c r="CV129">
        <v>6.7667270000000002E-2</v>
      </c>
      <c r="CW129">
        <v>9.3357140000000005E-2</v>
      </c>
      <c r="CX129">
        <v>0.12051196</v>
      </c>
      <c r="CY129">
        <v>8.1275589999999995E-2</v>
      </c>
      <c r="CZ129">
        <v>6.2912360000000001E-2</v>
      </c>
      <c r="DA129">
        <v>8.0070260000000004E-2</v>
      </c>
      <c r="DB129">
        <v>0.12916158</v>
      </c>
      <c r="DC129">
        <v>6.8324129999999997E-2</v>
      </c>
      <c r="DD129">
        <v>0.12721800999999999</v>
      </c>
      <c r="DE129">
        <v>0.10357711999999999</v>
      </c>
      <c r="DF129">
        <v>6.5159250000000002E-2</v>
      </c>
      <c r="DG129">
        <v>0.10215667</v>
      </c>
      <c r="DH129">
        <v>9.8452629999999999E-2</v>
      </c>
      <c r="DI129">
        <v>0.11162065</v>
      </c>
      <c r="DJ129">
        <v>6.9645399999999996E-2</v>
      </c>
      <c r="DK129">
        <v>0.12435063</v>
      </c>
      <c r="DL129">
        <v>4.4078539999999999E-2</v>
      </c>
      <c r="DM129">
        <v>9.7716430000000007E-2</v>
      </c>
      <c r="DN129">
        <v>7.4608720000000003E-2</v>
      </c>
      <c r="DO129">
        <v>8.6345179999999994E-2</v>
      </c>
      <c r="DP129">
        <v>8.3944939999999996E-2</v>
      </c>
      <c r="DQ129">
        <v>9.5116590000000001E-2</v>
      </c>
      <c r="DR129">
        <v>0.10388261</v>
      </c>
      <c r="DS129">
        <v>8.2578890000000002E-2</v>
      </c>
      <c r="DT129">
        <v>0.14984928</v>
      </c>
      <c r="DU129">
        <v>0.32758954000000001</v>
      </c>
      <c r="DV129">
        <v>0.16688275</v>
      </c>
      <c r="DW129">
        <v>0.15728897999999999</v>
      </c>
      <c r="DX129">
        <v>0.11511565</v>
      </c>
      <c r="DY129">
        <v>0.22529407000000001</v>
      </c>
      <c r="DZ129">
        <v>9.6040299999999995E-2</v>
      </c>
      <c r="EA129">
        <v>0.10127395</v>
      </c>
      <c r="EB129">
        <v>0.26490353</v>
      </c>
      <c r="EC129">
        <v>1.9369689999999998E-2</v>
      </c>
      <c r="ED129">
        <v>0.16914551</v>
      </c>
      <c r="EE129">
        <v>0.15957298</v>
      </c>
      <c r="EF129">
        <v>0.12780246000000001</v>
      </c>
      <c r="EG129">
        <v>0.1097361</v>
      </c>
      <c r="EH129">
        <v>0.13294180999999999</v>
      </c>
      <c r="EI129">
        <v>0.13602750999999999</v>
      </c>
      <c r="EJ129">
        <v>0.16223915</v>
      </c>
      <c r="EK129">
        <v>0.25923246</v>
      </c>
      <c r="EL129">
        <v>0.25106393999999999</v>
      </c>
      <c r="EM129">
        <v>0.22481689999999999</v>
      </c>
      <c r="EN129">
        <v>0.1596233</v>
      </c>
      <c r="EO129">
        <v>0.22475970000000001</v>
      </c>
      <c r="EP129">
        <f t="shared" si="3"/>
        <v>0</v>
      </c>
      <c r="EQ129">
        <f>SUMIF('Mi portafolio'!$A$8:$A$19,$A129,'Mi portafolio'!$B$8:$B$19)</f>
        <v>0</v>
      </c>
    </row>
    <row r="130" spans="1:147" x14ac:dyDescent="0.25">
      <c r="A130" s="34" t="s">
        <v>208</v>
      </c>
      <c r="B130">
        <v>-1.7277799999999999E-3</v>
      </c>
      <c r="C130">
        <v>-5.9482800000000002E-3</v>
      </c>
      <c r="D130">
        <v>6.8531800000000004E-3</v>
      </c>
      <c r="E130">
        <v>1.137692E-2</v>
      </c>
      <c r="F130">
        <v>-1.08048E-2</v>
      </c>
      <c r="G130">
        <v>5.3252999999999998E-3</v>
      </c>
      <c r="H130">
        <v>2.23946E-3</v>
      </c>
      <c r="I130">
        <v>8.4320599999999999E-3</v>
      </c>
      <c r="J130">
        <v>-6.0796499999999998E-3</v>
      </c>
      <c r="K130">
        <v>-5.5260099999999996E-3</v>
      </c>
      <c r="L130">
        <v>8.7178099999999994E-3</v>
      </c>
      <c r="M130">
        <v>2.081125E-2</v>
      </c>
      <c r="N130">
        <v>1.2274999999999999E-2</v>
      </c>
      <c r="O130">
        <v>2.5022999999999998E-3</v>
      </c>
      <c r="P130">
        <v>5.6773400000000003E-3</v>
      </c>
      <c r="Q130">
        <v>-3.0135800000000001E-3</v>
      </c>
      <c r="R130">
        <v>1.7714499999999999E-3</v>
      </c>
      <c r="S130">
        <v>1.6892000000000001E-3</v>
      </c>
      <c r="T130">
        <v>1.4509579999999999E-2</v>
      </c>
      <c r="U130">
        <v>1.6957460000000001E-2</v>
      </c>
      <c r="V130">
        <v>6.3577999999999996E-4</v>
      </c>
      <c r="W130">
        <v>1.1815259999999999E-2</v>
      </c>
      <c r="X130">
        <v>2.6026509999999999E-2</v>
      </c>
      <c r="Y130">
        <v>2.7357550000000001E-2</v>
      </c>
      <c r="Z130">
        <v>7.61708E-3</v>
      </c>
      <c r="AA130">
        <v>-1.3398399999999999E-3</v>
      </c>
      <c r="AB130">
        <v>2.581162E-2</v>
      </c>
      <c r="AC130">
        <v>7.7447699999999998E-3</v>
      </c>
      <c r="AD130">
        <v>-7.5723300000000004E-3</v>
      </c>
      <c r="AE130">
        <v>2.1707000000000001E-4</v>
      </c>
      <c r="AF130">
        <v>2.279863E-2</v>
      </c>
      <c r="AG130">
        <v>-3.70243E-3</v>
      </c>
      <c r="AH130">
        <v>-2.9567500000000002E-3</v>
      </c>
      <c r="AI130">
        <v>3.5155400000000002E-3</v>
      </c>
      <c r="AJ130">
        <v>-7.7684E-3</v>
      </c>
      <c r="AK130">
        <v>-9.7283000000000005E-4</v>
      </c>
      <c r="AL130">
        <v>3.3725669999999999E-2</v>
      </c>
      <c r="AM130">
        <v>2.18093E-2</v>
      </c>
      <c r="AN130">
        <v>1.256937E-2</v>
      </c>
      <c r="AO130">
        <v>-3.3558199999999998E-3</v>
      </c>
      <c r="AP130">
        <v>2.286819E-2</v>
      </c>
      <c r="AQ130">
        <v>-3.88938E-3</v>
      </c>
      <c r="AR130">
        <v>2.2228250000000001E-2</v>
      </c>
      <c r="AS130">
        <v>7.3914899999999997E-3</v>
      </c>
      <c r="AT130">
        <v>3.9223599999999997E-2</v>
      </c>
      <c r="AU130">
        <v>-2.3719999999999999E-4</v>
      </c>
      <c r="AV130">
        <v>2.5104629999999999E-2</v>
      </c>
      <c r="AW130">
        <v>6.0346200000000001E-3</v>
      </c>
      <c r="AX130">
        <v>1.156284E-2</v>
      </c>
      <c r="AY130">
        <v>2.3269990000000001E-2</v>
      </c>
      <c r="AZ130">
        <v>8.6537100000000002E-3</v>
      </c>
      <c r="BA130">
        <v>1.022404E-2</v>
      </c>
      <c r="BB130">
        <v>4.3090980000000001E-2</v>
      </c>
      <c r="BC130">
        <v>2.3408600000000002E-2</v>
      </c>
      <c r="BD130">
        <v>-6.2453300000000003E-3</v>
      </c>
      <c r="BE130">
        <v>-7.0641999999999996E-3</v>
      </c>
      <c r="BF130">
        <v>9.1396499999999992E-3</v>
      </c>
      <c r="BG130">
        <v>3.6964940000000002E-2</v>
      </c>
      <c r="BH130">
        <v>3.0951800000000002E-2</v>
      </c>
      <c r="BI130">
        <v>2.558231E-2</v>
      </c>
      <c r="BJ130">
        <v>-1.398085E-2</v>
      </c>
      <c r="BK130">
        <v>9.2090799999999997E-3</v>
      </c>
      <c r="BL130">
        <v>1.3951720000000001E-2</v>
      </c>
      <c r="BM130">
        <v>1.5699189999999998E-2</v>
      </c>
      <c r="BN130">
        <v>-4.2136300000000003E-3</v>
      </c>
      <c r="BO130">
        <v>5.5995339999999998E-2</v>
      </c>
      <c r="BP130">
        <v>8.9530730000000003E-2</v>
      </c>
      <c r="BQ130">
        <v>1.060531E-2</v>
      </c>
      <c r="BR130">
        <v>2.878501E-2</v>
      </c>
      <c r="BS130">
        <v>-5.3453299999999997E-3</v>
      </c>
      <c r="BT130">
        <v>2.8476660000000001E-2</v>
      </c>
      <c r="BU130">
        <v>2.4136370000000001E-2</v>
      </c>
      <c r="BV130">
        <v>5.9005460000000003E-2</v>
      </c>
      <c r="BW130">
        <v>4.0523389999999999E-2</v>
      </c>
      <c r="BX130">
        <v>8.5605000000000002E-4</v>
      </c>
      <c r="BY130">
        <v>3.0902369999999998E-2</v>
      </c>
      <c r="BZ130">
        <v>4.6123320000000002E-2</v>
      </c>
      <c r="CA130">
        <v>1.703644E-2</v>
      </c>
      <c r="CB130">
        <v>-1.133782E-2</v>
      </c>
      <c r="CC130">
        <v>1.596583E-2</v>
      </c>
      <c r="CD130">
        <v>7.0479219999999995E-2</v>
      </c>
      <c r="CE130">
        <v>4.6082159999999997E-2</v>
      </c>
      <c r="CF130">
        <v>-6.0017500000000001E-3</v>
      </c>
      <c r="CG130">
        <v>6.6522680000000001E-2</v>
      </c>
      <c r="CH130">
        <v>4.6133590000000002E-2</v>
      </c>
      <c r="CI130">
        <v>5.7329900000000003E-3</v>
      </c>
      <c r="CJ130">
        <v>5.2026299999999998E-2</v>
      </c>
      <c r="CK130">
        <v>1.8963839999999999E-2</v>
      </c>
      <c r="CL130">
        <v>1.685453E-2</v>
      </c>
      <c r="CM130">
        <v>7.3344210000000007E-2</v>
      </c>
      <c r="CN130">
        <v>5.6284500000000001E-3</v>
      </c>
      <c r="CO130">
        <v>3.8515799999999998E-3</v>
      </c>
      <c r="CP130">
        <v>4.3385010000000002E-2</v>
      </c>
      <c r="CQ130">
        <v>4.705111E-2</v>
      </c>
      <c r="CR130">
        <v>5.4405139999999998E-2</v>
      </c>
      <c r="CS130">
        <v>2.9675389999999999E-2</v>
      </c>
      <c r="CT130">
        <v>8.4001500000000007E-2</v>
      </c>
      <c r="CU130">
        <v>2.691433E-2</v>
      </c>
      <c r="CV130">
        <v>5.8542799999999999E-2</v>
      </c>
      <c r="CW130">
        <v>6.5718559999999995E-2</v>
      </c>
      <c r="CX130">
        <v>5.871556E-2</v>
      </c>
      <c r="CY130">
        <v>3.012625E-2</v>
      </c>
      <c r="CZ130">
        <v>9.2554339999999999E-2</v>
      </c>
      <c r="DA130">
        <v>4.8648480000000001E-2</v>
      </c>
      <c r="DB130">
        <v>0.1053235</v>
      </c>
      <c r="DC130">
        <v>2.8685400000000002E-3</v>
      </c>
      <c r="DD130">
        <v>0.1092619</v>
      </c>
      <c r="DE130">
        <v>7.5621560000000004E-2</v>
      </c>
      <c r="DF130">
        <v>0.12888115</v>
      </c>
      <c r="DG130">
        <v>7.2295109999999996E-2</v>
      </c>
      <c r="DH130">
        <v>9.1527860000000003E-2</v>
      </c>
      <c r="DI130">
        <v>5.5487990000000001E-2</v>
      </c>
      <c r="DJ130">
        <v>3.004799E-2</v>
      </c>
      <c r="DK130">
        <v>5.8535619999999997E-2</v>
      </c>
      <c r="DL130">
        <v>1.1257939999999999E-2</v>
      </c>
      <c r="DM130">
        <v>4.8547359999999998E-2</v>
      </c>
      <c r="DN130">
        <v>8.6735019999999996E-2</v>
      </c>
      <c r="DO130">
        <v>6.7042599999999994E-2</v>
      </c>
      <c r="DP130">
        <v>5.552899E-2</v>
      </c>
      <c r="DQ130">
        <v>5.6058719999999999E-2</v>
      </c>
      <c r="DR130">
        <v>8.2658620000000002E-2</v>
      </c>
      <c r="DS130">
        <v>0.10694803</v>
      </c>
      <c r="DT130">
        <v>0.14549860000000001</v>
      </c>
      <c r="DU130">
        <v>0.16688275</v>
      </c>
      <c r="DV130">
        <v>0.36247004999999999</v>
      </c>
      <c r="DW130">
        <v>0.18381367000000001</v>
      </c>
      <c r="DX130">
        <v>4.598928E-2</v>
      </c>
      <c r="DY130">
        <v>0.14779877999999999</v>
      </c>
      <c r="DZ130">
        <v>0.14482811000000001</v>
      </c>
      <c r="EA130">
        <v>5.9469149999999998E-2</v>
      </c>
      <c r="EB130">
        <v>0.17680789</v>
      </c>
      <c r="EC130">
        <v>-1.5848890000000001E-2</v>
      </c>
      <c r="ED130">
        <v>0.11502953</v>
      </c>
      <c r="EE130">
        <v>0.10197373</v>
      </c>
      <c r="EF130">
        <v>8.0918080000000003E-2</v>
      </c>
      <c r="EG130">
        <v>4.9432139999999999E-2</v>
      </c>
      <c r="EH130">
        <v>0.11190905</v>
      </c>
      <c r="EI130">
        <v>6.4381670000000002E-2</v>
      </c>
      <c r="EJ130">
        <v>9.6240809999999996E-2</v>
      </c>
      <c r="EK130">
        <v>0.13227947000000001</v>
      </c>
      <c r="EL130">
        <v>0.10330307</v>
      </c>
      <c r="EM130">
        <v>0.20952359000000001</v>
      </c>
      <c r="EN130">
        <v>0.12319355999999999</v>
      </c>
      <c r="EO130">
        <v>0.14568571</v>
      </c>
      <c r="EP130">
        <f t="shared" si="3"/>
        <v>0</v>
      </c>
      <c r="EQ130">
        <f>SUMIF('Mi portafolio'!$A$8:$A$19,$A130,'Mi portafolio'!$B$8:$B$19)</f>
        <v>0</v>
      </c>
    </row>
    <row r="131" spans="1:147" x14ac:dyDescent="0.25">
      <c r="A131" s="34" t="s">
        <v>209</v>
      </c>
      <c r="B131">
        <v>1.0187440000000001E-2</v>
      </c>
      <c r="C131">
        <v>-1.236489E-2</v>
      </c>
      <c r="D131">
        <v>8.9423599999999999E-3</v>
      </c>
      <c r="E131">
        <v>2.2873199999999998E-3</v>
      </c>
      <c r="F131">
        <v>-4.9746399999999998E-3</v>
      </c>
      <c r="G131">
        <v>-9.5350000000000001E-3</v>
      </c>
      <c r="H131">
        <v>3.5814200000000001E-3</v>
      </c>
      <c r="I131">
        <v>2.1768450000000002E-2</v>
      </c>
      <c r="J131">
        <v>-1.5100599999999999E-3</v>
      </c>
      <c r="K131">
        <v>1.3295399999999999E-3</v>
      </c>
      <c r="L131">
        <v>-8.5731999999999996E-4</v>
      </c>
      <c r="M131">
        <v>3.049897E-2</v>
      </c>
      <c r="N131">
        <v>1.8687459999999999E-2</v>
      </c>
      <c r="O131">
        <v>-5.4023999999999999E-3</v>
      </c>
      <c r="P131">
        <v>3.5172799999999998E-3</v>
      </c>
      <c r="Q131">
        <v>-5.6522100000000004E-3</v>
      </c>
      <c r="R131">
        <v>2.3430199999999999E-3</v>
      </c>
      <c r="S131">
        <v>7.6759899999999997E-3</v>
      </c>
      <c r="T131">
        <v>3.046302E-2</v>
      </c>
      <c r="U131">
        <v>1.533957E-2</v>
      </c>
      <c r="V131">
        <v>-4.3691900000000002E-3</v>
      </c>
      <c r="W131">
        <v>3.67951E-3</v>
      </c>
      <c r="X131">
        <v>3.0022549999999999E-2</v>
      </c>
      <c r="Y131">
        <v>4.7470039999999998E-2</v>
      </c>
      <c r="Z131">
        <v>5.8967899999999998E-3</v>
      </c>
      <c r="AA131">
        <v>-2.2317700000000001E-3</v>
      </c>
      <c r="AB131">
        <v>5.0856249999999999E-2</v>
      </c>
      <c r="AC131">
        <v>-6.3454799999999997E-3</v>
      </c>
      <c r="AD131">
        <v>-1.6786720000000002E-2</v>
      </c>
      <c r="AE131">
        <v>9.1138299999999998E-3</v>
      </c>
      <c r="AF131">
        <v>-2.91005E-3</v>
      </c>
      <c r="AG131">
        <v>-5.5617599999999998E-3</v>
      </c>
      <c r="AH131">
        <v>-1.7120280000000002E-2</v>
      </c>
      <c r="AI131">
        <v>-2.530924E-2</v>
      </c>
      <c r="AJ131">
        <v>3.1607599999999999E-3</v>
      </c>
      <c r="AK131">
        <v>1.056199E-2</v>
      </c>
      <c r="AL131">
        <v>3.9365860000000003E-2</v>
      </c>
      <c r="AM131">
        <v>2.3929550000000001E-2</v>
      </c>
      <c r="AN131">
        <v>3.5933519999999997E-2</v>
      </c>
      <c r="AO131">
        <v>4.6621400000000004E-3</v>
      </c>
      <c r="AP131">
        <v>4.9332050000000002E-2</v>
      </c>
      <c r="AQ131">
        <v>-3.074116E-2</v>
      </c>
      <c r="AR131">
        <v>3.9014510000000002E-2</v>
      </c>
      <c r="AS131">
        <v>1.068232E-2</v>
      </c>
      <c r="AT131">
        <v>6.9605879999999995E-2</v>
      </c>
      <c r="AU131">
        <v>-3.33088E-3</v>
      </c>
      <c r="AV131">
        <v>1.9560689999999999E-2</v>
      </c>
      <c r="AW131">
        <v>6.8661499999999997E-3</v>
      </c>
      <c r="AX131">
        <v>9.4917000000000005E-4</v>
      </c>
      <c r="AY131">
        <v>3.4268180000000002E-2</v>
      </c>
      <c r="AZ131">
        <v>2.0913049999999999E-2</v>
      </c>
      <c r="BA131">
        <v>1.823489E-2</v>
      </c>
      <c r="BB131">
        <v>5.3878570000000001E-2</v>
      </c>
      <c r="BC131">
        <v>1.7572480000000001E-2</v>
      </c>
      <c r="BD131">
        <v>1.4905140000000001E-2</v>
      </c>
      <c r="BE131">
        <v>-5.3972000000000004E-4</v>
      </c>
      <c r="BF131">
        <v>8.2243999999999998E-3</v>
      </c>
      <c r="BG131">
        <v>5.99359E-2</v>
      </c>
      <c r="BH131">
        <v>4.3712809999999998E-2</v>
      </c>
      <c r="BI131">
        <v>1.4092260000000001E-2</v>
      </c>
      <c r="BJ131">
        <v>-1.1547699999999999E-2</v>
      </c>
      <c r="BK131">
        <v>1.7355889999999999E-2</v>
      </c>
      <c r="BL131">
        <v>2.1782369999999999E-2</v>
      </c>
      <c r="BM131">
        <v>3.2453059999999999E-2</v>
      </c>
      <c r="BN131">
        <v>-1.684451E-2</v>
      </c>
      <c r="BO131">
        <v>5.6020130000000001E-2</v>
      </c>
      <c r="BP131">
        <v>6.8771219999999994E-2</v>
      </c>
      <c r="BQ131">
        <v>2.5264160000000001E-2</v>
      </c>
      <c r="BR131">
        <v>5.711389E-2</v>
      </c>
      <c r="BS131">
        <v>-2.739567E-2</v>
      </c>
      <c r="BT131">
        <v>3.7797240000000003E-2</v>
      </c>
      <c r="BU131">
        <v>2.9182429999999999E-2</v>
      </c>
      <c r="BV131">
        <v>5.6286360000000001E-2</v>
      </c>
      <c r="BW131">
        <v>3.8986840000000002E-2</v>
      </c>
      <c r="BX131">
        <v>2.049695E-2</v>
      </c>
      <c r="BY131">
        <v>5.828324E-2</v>
      </c>
      <c r="BZ131">
        <v>4.1518579999999999E-2</v>
      </c>
      <c r="CA131">
        <v>-4.8371600000000001E-3</v>
      </c>
      <c r="CB131">
        <v>-1.7019090000000001E-2</v>
      </c>
      <c r="CC131">
        <v>2.4472049999999999E-2</v>
      </c>
      <c r="CD131">
        <v>8.1540219999999997E-2</v>
      </c>
      <c r="CE131">
        <v>2.9794830000000001E-2</v>
      </c>
      <c r="CF131">
        <v>-3.821111E-2</v>
      </c>
      <c r="CG131">
        <v>0.1103484</v>
      </c>
      <c r="CH131">
        <v>3.0201390000000002E-2</v>
      </c>
      <c r="CI131">
        <v>-2.6257780000000001E-2</v>
      </c>
      <c r="CJ131">
        <v>5.6776180000000002E-2</v>
      </c>
      <c r="CK131">
        <v>6.4615309999999995E-2</v>
      </c>
      <c r="CL131">
        <v>3.636263E-2</v>
      </c>
      <c r="CM131">
        <v>6.7015450000000004E-2</v>
      </c>
      <c r="CN131">
        <v>-7.8655900000000004E-3</v>
      </c>
      <c r="CO131">
        <v>3.5014450000000003E-2</v>
      </c>
      <c r="CP131">
        <v>4.9799749999999997E-2</v>
      </c>
      <c r="CQ131">
        <v>8.2822290000000007E-2</v>
      </c>
      <c r="CR131">
        <v>5.9597169999999998E-2</v>
      </c>
      <c r="CS131">
        <v>8.6715799999999999E-3</v>
      </c>
      <c r="CT131">
        <v>9.2354249999999999E-2</v>
      </c>
      <c r="CU131">
        <v>4.1290510000000002E-2</v>
      </c>
      <c r="CV131">
        <v>9.1868450000000004E-2</v>
      </c>
      <c r="CW131">
        <v>9.9921239999999995E-2</v>
      </c>
      <c r="CX131">
        <v>8.4597179999999994E-2</v>
      </c>
      <c r="CY131">
        <v>7.2108889999999995E-2</v>
      </c>
      <c r="CZ131">
        <v>9.3219529999999995E-2</v>
      </c>
      <c r="DA131">
        <v>0.11252939000000001</v>
      </c>
      <c r="DB131">
        <v>8.1157359999999998E-2</v>
      </c>
      <c r="DC131">
        <v>5.1830630000000003E-2</v>
      </c>
      <c r="DD131">
        <v>0.15068978999999999</v>
      </c>
      <c r="DE131">
        <v>5.2842390000000003E-2</v>
      </c>
      <c r="DF131">
        <v>0.12255523</v>
      </c>
      <c r="DG131">
        <v>6.6744929999999994E-2</v>
      </c>
      <c r="DH131">
        <v>7.2309639999999994E-2</v>
      </c>
      <c r="DI131">
        <v>9.0310909999999994E-2</v>
      </c>
      <c r="DJ131">
        <v>8.9894500000000002E-2</v>
      </c>
      <c r="DK131">
        <v>9.9714979999999995E-2</v>
      </c>
      <c r="DL131">
        <v>1.873126E-2</v>
      </c>
      <c r="DM131">
        <v>0.10742037</v>
      </c>
      <c r="DN131">
        <v>0.10667027</v>
      </c>
      <c r="DO131">
        <v>3.5543560000000002E-2</v>
      </c>
      <c r="DP131">
        <v>0.13261761</v>
      </c>
      <c r="DQ131">
        <v>3.9121509999999998E-2</v>
      </c>
      <c r="DR131">
        <v>4.2472339999999997E-2</v>
      </c>
      <c r="DS131">
        <v>0.10014484</v>
      </c>
      <c r="DT131">
        <v>0.11770899999999999</v>
      </c>
      <c r="DU131">
        <v>0.15728897999999999</v>
      </c>
      <c r="DV131">
        <v>0.18381367000000001</v>
      </c>
      <c r="DW131">
        <v>0.36069332999999998</v>
      </c>
      <c r="DX131">
        <v>2.1204239999999999E-2</v>
      </c>
      <c r="DY131">
        <v>0.19603910999999999</v>
      </c>
      <c r="DZ131">
        <v>0.13842958</v>
      </c>
      <c r="EA131">
        <v>9.1865509999999997E-2</v>
      </c>
      <c r="EB131">
        <v>0.20963377</v>
      </c>
      <c r="EC131">
        <v>2.0358910000000001E-2</v>
      </c>
      <c r="ED131">
        <v>0.1022902</v>
      </c>
      <c r="EE131">
        <v>3.6789269999999999E-2</v>
      </c>
      <c r="EF131">
        <v>5.7578570000000003E-2</v>
      </c>
      <c r="EG131">
        <v>1.005585E-2</v>
      </c>
      <c r="EH131">
        <v>0.20190115</v>
      </c>
      <c r="EI131">
        <v>2.2189939999999998E-2</v>
      </c>
      <c r="EJ131">
        <v>0.11391039999999999</v>
      </c>
      <c r="EK131">
        <v>8.4772429999999996E-2</v>
      </c>
      <c r="EL131">
        <v>9.4377009999999997E-2</v>
      </c>
      <c r="EM131">
        <v>0.15599366000000001</v>
      </c>
      <c r="EN131">
        <v>0.10243807000000001</v>
      </c>
      <c r="EO131">
        <v>0.10718013</v>
      </c>
      <c r="EP131">
        <f t="shared" si="3"/>
        <v>0</v>
      </c>
      <c r="EQ131">
        <f>SUMIF('Mi portafolio'!$A$8:$A$19,$A131,'Mi portafolio'!$B$8:$B$19)</f>
        <v>0</v>
      </c>
    </row>
    <row r="132" spans="1:147" x14ac:dyDescent="0.25">
      <c r="A132" s="34" t="s">
        <v>210</v>
      </c>
      <c r="B132">
        <v>-1.485884E-2</v>
      </c>
      <c r="C132">
        <v>3.1151E-3</v>
      </c>
      <c r="D132">
        <v>7.6550000000000003E-3</v>
      </c>
      <c r="E132">
        <v>5.6599600000000003E-3</v>
      </c>
      <c r="F132">
        <v>-2.365387E-2</v>
      </c>
      <c r="G132">
        <v>1.6220399999999999E-3</v>
      </c>
      <c r="H132">
        <v>1.2809050000000001E-2</v>
      </c>
      <c r="I132">
        <v>-2.0262189999999999E-2</v>
      </c>
      <c r="J132">
        <v>-1.666051E-2</v>
      </c>
      <c r="K132">
        <v>-2.1371339999999999E-2</v>
      </c>
      <c r="L132">
        <v>1.486524E-2</v>
      </c>
      <c r="M132">
        <v>3.253574E-2</v>
      </c>
      <c r="N132">
        <v>-8.0831000000000002E-4</v>
      </c>
      <c r="O132">
        <v>4.8674299999999998E-3</v>
      </c>
      <c r="P132">
        <v>-1.165533E-2</v>
      </c>
      <c r="Q132">
        <v>5.2206099999999997E-3</v>
      </c>
      <c r="R132">
        <v>-2.998607E-2</v>
      </c>
      <c r="S132">
        <v>-9.6044900000000002E-3</v>
      </c>
      <c r="T132">
        <v>2.8575670000000001E-2</v>
      </c>
      <c r="U132">
        <v>1.7512380000000001E-2</v>
      </c>
      <c r="V132">
        <v>4.8513999999999996E-3</v>
      </c>
      <c r="W132">
        <v>1.4000449999999999E-2</v>
      </c>
      <c r="X132">
        <v>3.7620059999999997E-2</v>
      </c>
      <c r="Y132">
        <v>-1.2096569999999999E-2</v>
      </c>
      <c r="Z132">
        <v>8.3503699999999993E-3</v>
      </c>
      <c r="AA132">
        <v>9.8672099999999995E-3</v>
      </c>
      <c r="AB132">
        <v>-1.6361089999999998E-2</v>
      </c>
      <c r="AC132">
        <v>6.57809E-3</v>
      </c>
      <c r="AD132">
        <v>2.4316890000000001E-2</v>
      </c>
      <c r="AE132">
        <v>3.4896049999999998E-2</v>
      </c>
      <c r="AF132">
        <v>3.4457109999999999E-2</v>
      </c>
      <c r="AG132">
        <v>-4.1396919999999997E-2</v>
      </c>
      <c r="AH132">
        <v>-3.8851009999999998E-2</v>
      </c>
      <c r="AI132">
        <v>-2.377578E-2</v>
      </c>
      <c r="AJ132">
        <v>2.06853E-2</v>
      </c>
      <c r="AK132">
        <v>3.383887E-2</v>
      </c>
      <c r="AL132">
        <v>-4.2805300000000003E-3</v>
      </c>
      <c r="AM132">
        <v>1.338202E-2</v>
      </c>
      <c r="AN132">
        <v>2.1189800000000002E-2</v>
      </c>
      <c r="AO132">
        <v>-9.18771E-3</v>
      </c>
      <c r="AP132">
        <v>-5.7506199999999997E-3</v>
      </c>
      <c r="AQ132">
        <v>-2.125968E-2</v>
      </c>
      <c r="AR132">
        <v>3.0879429999999999E-2</v>
      </c>
      <c r="AS132">
        <v>1.9606889999999998E-2</v>
      </c>
      <c r="AT132">
        <v>2.8112040000000001E-2</v>
      </c>
      <c r="AU132">
        <v>-1.0169600000000001E-2</v>
      </c>
      <c r="AV132">
        <v>1.6022109999999999E-2</v>
      </c>
      <c r="AW132">
        <v>3.5145269999999999E-2</v>
      </c>
      <c r="AX132">
        <v>3.2235900000000001E-3</v>
      </c>
      <c r="AY132">
        <v>2.6050319999999998E-2</v>
      </c>
      <c r="AZ132">
        <v>6.1077319999999997E-2</v>
      </c>
      <c r="BA132">
        <v>4.8120650000000001E-2</v>
      </c>
      <c r="BB132">
        <v>7.4978989999999995E-2</v>
      </c>
      <c r="BC132">
        <v>2.097949E-2</v>
      </c>
      <c r="BD132">
        <v>2.4133640000000001E-2</v>
      </c>
      <c r="BE132">
        <v>2.8508399999999999E-3</v>
      </c>
      <c r="BF132">
        <v>2.610701E-2</v>
      </c>
      <c r="BG132">
        <v>1.8186239999999999E-2</v>
      </c>
      <c r="BH132">
        <v>1.3344669999999999E-2</v>
      </c>
      <c r="BI132">
        <v>8.4848800000000002E-3</v>
      </c>
      <c r="BJ132">
        <v>1.589635E-2</v>
      </c>
      <c r="BK132">
        <v>4.4169899999999998E-2</v>
      </c>
      <c r="BL132">
        <v>6.9273070000000006E-2</v>
      </c>
      <c r="BM132">
        <v>-1.7123999999999999E-4</v>
      </c>
      <c r="BN132">
        <v>9.2056599999999992E-3</v>
      </c>
      <c r="BO132">
        <v>4.141777E-2</v>
      </c>
      <c r="BP132">
        <v>3.2949300000000002E-3</v>
      </c>
      <c r="BQ132">
        <v>6.8108929999999998E-2</v>
      </c>
      <c r="BR132">
        <v>3.9438809999999998E-2</v>
      </c>
      <c r="BS132">
        <v>-1.132726E-2</v>
      </c>
      <c r="BT132">
        <v>7.6487819999999998E-2</v>
      </c>
      <c r="BU132">
        <v>2.870843E-2</v>
      </c>
      <c r="BV132">
        <v>4.522205E-2</v>
      </c>
      <c r="BW132">
        <v>1.5802130000000001E-2</v>
      </c>
      <c r="BX132">
        <v>-1.047379E-2</v>
      </c>
      <c r="BY132">
        <v>3.5307949999999998E-2</v>
      </c>
      <c r="BZ132">
        <v>5.1334100000000001E-2</v>
      </c>
      <c r="CA132">
        <v>2.839349E-2</v>
      </c>
      <c r="CB132">
        <v>-1.3487499999999999E-2</v>
      </c>
      <c r="CC132">
        <v>5.8332899999999997E-3</v>
      </c>
      <c r="CD132">
        <v>1.363168E-2</v>
      </c>
      <c r="CE132">
        <v>8.6091719999999997E-2</v>
      </c>
      <c r="CF132">
        <v>-2.0732980000000002E-2</v>
      </c>
      <c r="CG132">
        <v>1.836465E-2</v>
      </c>
      <c r="CH132">
        <v>9.7240900000000005E-2</v>
      </c>
      <c r="CI132">
        <v>-2.6469860000000001E-2</v>
      </c>
      <c r="CJ132">
        <v>-3.1122799999999999E-2</v>
      </c>
      <c r="CK132">
        <v>-3.8117799999999999E-3</v>
      </c>
      <c r="CL132">
        <v>3.6722379999999999E-2</v>
      </c>
      <c r="CM132">
        <v>0.11031695</v>
      </c>
      <c r="CN132">
        <v>2.5328610000000001E-2</v>
      </c>
      <c r="CO132">
        <v>3.0925970000000001E-2</v>
      </c>
      <c r="CP132">
        <v>1.455269E-2</v>
      </c>
      <c r="CQ132">
        <v>9.3593990000000002E-2</v>
      </c>
      <c r="CR132">
        <v>0.17471706000000001</v>
      </c>
      <c r="CS132">
        <v>0.17919637999999999</v>
      </c>
      <c r="CT132">
        <v>5.3635879999999997E-2</v>
      </c>
      <c r="CU132">
        <v>4.726532E-2</v>
      </c>
      <c r="CV132">
        <v>2.981286E-2</v>
      </c>
      <c r="CW132">
        <v>1.2232460000000001E-2</v>
      </c>
      <c r="CX132">
        <v>6.2339749999999999E-2</v>
      </c>
      <c r="CY132">
        <v>8.7544640000000007E-2</v>
      </c>
      <c r="CZ132">
        <v>8.9974300000000007E-3</v>
      </c>
      <c r="DA132">
        <v>9.4585499999999996E-3</v>
      </c>
      <c r="DB132">
        <v>0.11303497</v>
      </c>
      <c r="DC132">
        <v>8.1649009999999994E-2</v>
      </c>
      <c r="DD132">
        <v>5.2558550000000002E-2</v>
      </c>
      <c r="DE132">
        <v>0.16034952999999999</v>
      </c>
      <c r="DF132">
        <v>-6.2311510000000001E-2</v>
      </c>
      <c r="DG132">
        <v>0.10469517</v>
      </c>
      <c r="DH132">
        <v>0.15572108000000001</v>
      </c>
      <c r="DI132">
        <v>9.0660130000000005E-2</v>
      </c>
      <c r="DJ132">
        <v>8.1143030000000005E-2</v>
      </c>
      <c r="DK132">
        <v>0.11601503000000001</v>
      </c>
      <c r="DL132">
        <v>7.7963130000000005E-2</v>
      </c>
      <c r="DM132">
        <v>9.998195E-2</v>
      </c>
      <c r="DN132">
        <v>2.0168760000000001E-2</v>
      </c>
      <c r="DO132">
        <v>0.12877011999999999</v>
      </c>
      <c r="DP132">
        <v>7.1401279999999998E-2</v>
      </c>
      <c r="DQ132">
        <v>0.11114016</v>
      </c>
      <c r="DR132">
        <v>0.12119545</v>
      </c>
      <c r="DS132">
        <v>-2.4358009999999999E-2</v>
      </c>
      <c r="DT132">
        <v>9.8693100000000006E-2</v>
      </c>
      <c r="DU132">
        <v>0.11511565</v>
      </c>
      <c r="DV132">
        <v>4.598928E-2</v>
      </c>
      <c r="DW132">
        <v>2.1204239999999999E-2</v>
      </c>
      <c r="DX132">
        <v>0.36342722999999999</v>
      </c>
      <c r="DY132">
        <v>7.5016940000000004E-2</v>
      </c>
      <c r="DZ132">
        <v>3.2930069999999999E-2</v>
      </c>
      <c r="EA132">
        <v>7.3999159999999994E-2</v>
      </c>
      <c r="EB132">
        <v>0.10721164</v>
      </c>
      <c r="EC132">
        <v>6.2260900000000001E-2</v>
      </c>
      <c r="ED132">
        <v>0.12765119999999999</v>
      </c>
      <c r="EE132">
        <v>0.26622406999999998</v>
      </c>
      <c r="EF132">
        <v>0.10771987</v>
      </c>
      <c r="EG132">
        <v>0.27978071999999998</v>
      </c>
      <c r="EH132">
        <v>6.8064999999999998E-4</v>
      </c>
      <c r="EI132">
        <v>0.35638800999999998</v>
      </c>
      <c r="EJ132">
        <v>9.4723680000000005E-2</v>
      </c>
      <c r="EK132">
        <v>0.24390877999999999</v>
      </c>
      <c r="EL132">
        <v>0.29069713000000003</v>
      </c>
      <c r="EM132">
        <v>8.5760310000000006E-2</v>
      </c>
      <c r="EN132">
        <v>5.3424159999999998E-2</v>
      </c>
      <c r="EO132">
        <v>0.10561542</v>
      </c>
      <c r="EP132">
        <f t="shared" si="3"/>
        <v>0</v>
      </c>
      <c r="EQ132">
        <f>SUMIF('Mi portafolio'!$A$8:$A$19,$A132,'Mi portafolio'!$B$8:$B$19)</f>
        <v>0</v>
      </c>
    </row>
    <row r="133" spans="1:147" x14ac:dyDescent="0.25">
      <c r="A133" s="34" t="s">
        <v>211</v>
      </c>
      <c r="B133">
        <v>1.4695089999999999E-2</v>
      </c>
      <c r="C133">
        <v>9.9008999999999989E-4</v>
      </c>
      <c r="D133">
        <v>4.1593400000000001E-3</v>
      </c>
      <c r="E133">
        <v>1.132972E-2</v>
      </c>
      <c r="F133">
        <v>3.6560000000000002E-5</v>
      </c>
      <c r="G133">
        <v>-5.0500199999999997E-3</v>
      </c>
      <c r="H133">
        <v>-6.4049900000000002E-3</v>
      </c>
      <c r="I133">
        <v>1.5511169999999999E-2</v>
      </c>
      <c r="J133">
        <v>-1.5950659999999998E-2</v>
      </c>
      <c r="K133">
        <v>1.12357E-3</v>
      </c>
      <c r="L133">
        <v>8.5453400000000002E-3</v>
      </c>
      <c r="M133">
        <v>4.7628999999999998E-2</v>
      </c>
      <c r="N133">
        <v>1.498585E-2</v>
      </c>
      <c r="O133">
        <v>3.9909100000000003E-3</v>
      </c>
      <c r="P133">
        <v>2.5004099999999998E-3</v>
      </c>
      <c r="Q133">
        <v>5.4968100000000004E-3</v>
      </c>
      <c r="R133">
        <v>9.9562999999999995E-4</v>
      </c>
      <c r="S133">
        <v>4.9835399999999998E-3</v>
      </c>
      <c r="T133">
        <v>4.6420749999999997E-2</v>
      </c>
      <c r="U133">
        <v>1.8708820000000001E-2</v>
      </c>
      <c r="V133">
        <v>1.3444370000000001E-2</v>
      </c>
      <c r="W133">
        <v>8.7000099999999993E-3</v>
      </c>
      <c r="X133">
        <v>4.41222E-2</v>
      </c>
      <c r="Y133">
        <v>5.173846E-2</v>
      </c>
      <c r="Z133">
        <v>1.370322E-2</v>
      </c>
      <c r="AA133">
        <v>2.63349E-3</v>
      </c>
      <c r="AB133">
        <v>5.3580780000000001E-2</v>
      </c>
      <c r="AC133">
        <v>5.8693999999999999E-4</v>
      </c>
      <c r="AD133">
        <v>6.4461800000000001E-3</v>
      </c>
      <c r="AE133">
        <v>2.455278E-2</v>
      </c>
      <c r="AF133">
        <v>1.3003560000000001E-2</v>
      </c>
      <c r="AG133">
        <v>-8.7362499999999992E-3</v>
      </c>
      <c r="AH133">
        <v>-7.2138999999999997E-3</v>
      </c>
      <c r="AI133">
        <v>-2.422063E-2</v>
      </c>
      <c r="AJ133">
        <v>-2.50505E-3</v>
      </c>
      <c r="AK133">
        <v>6.8223600000000004E-3</v>
      </c>
      <c r="AL133">
        <v>4.3872830000000002E-2</v>
      </c>
      <c r="AM133">
        <v>2.2489200000000001E-2</v>
      </c>
      <c r="AN133">
        <v>5.7218280000000003E-2</v>
      </c>
      <c r="AO133">
        <v>-2.6804900000000002E-3</v>
      </c>
      <c r="AP133">
        <v>5.8577329999999997E-2</v>
      </c>
      <c r="AQ133">
        <v>-2.8634280000000002E-2</v>
      </c>
      <c r="AR133">
        <v>4.7404370000000001E-2</v>
      </c>
      <c r="AS133">
        <v>1.36621E-2</v>
      </c>
      <c r="AT133">
        <v>9.4144249999999999E-2</v>
      </c>
      <c r="AU133">
        <v>-1.311499E-2</v>
      </c>
      <c r="AV133">
        <v>2.2501480000000001E-2</v>
      </c>
      <c r="AW133">
        <v>2.1654219999999998E-2</v>
      </c>
      <c r="AX133">
        <v>9.2007300000000007E-3</v>
      </c>
      <c r="AY133">
        <v>5.3641609999999999E-2</v>
      </c>
      <c r="AZ133">
        <v>2.9973469999999999E-2</v>
      </c>
      <c r="BA133">
        <v>3.6784419999999998E-2</v>
      </c>
      <c r="BB133">
        <v>8.0891420000000006E-2</v>
      </c>
      <c r="BC133">
        <v>1.8382240000000001E-2</v>
      </c>
      <c r="BD133">
        <v>1.4346899999999999E-2</v>
      </c>
      <c r="BE133">
        <v>8.7845100000000006E-3</v>
      </c>
      <c r="BF133">
        <v>2.105025E-2</v>
      </c>
      <c r="BG133">
        <v>6.8790809999999994E-2</v>
      </c>
      <c r="BH133">
        <v>2.4779539999999999E-2</v>
      </c>
      <c r="BI133">
        <v>3.7390329999999999E-2</v>
      </c>
      <c r="BJ133">
        <v>-4.8617E-3</v>
      </c>
      <c r="BK133">
        <v>2.8214679999999999E-2</v>
      </c>
      <c r="BL133">
        <v>3.845291E-2</v>
      </c>
      <c r="BM133">
        <v>4.998379E-2</v>
      </c>
      <c r="BN133">
        <v>-1.058455E-2</v>
      </c>
      <c r="BO133">
        <v>6.1884269999999998E-2</v>
      </c>
      <c r="BP133">
        <v>7.7490920000000005E-2</v>
      </c>
      <c r="BQ133">
        <v>4.1347599999999998E-2</v>
      </c>
      <c r="BR133">
        <v>6.9239060000000005E-2</v>
      </c>
      <c r="BS133">
        <v>-3.1624109999999997E-2</v>
      </c>
      <c r="BT133">
        <v>6.0652619999999997E-2</v>
      </c>
      <c r="BU133">
        <v>2.1900409999999999E-2</v>
      </c>
      <c r="BV133">
        <v>9.4742110000000004E-2</v>
      </c>
      <c r="BW133">
        <v>6.1886099999999999E-2</v>
      </c>
      <c r="BX133">
        <v>1.8562019999999999E-2</v>
      </c>
      <c r="BY133">
        <v>6.7815120000000007E-2</v>
      </c>
      <c r="BZ133">
        <v>7.6358969999999998E-2</v>
      </c>
      <c r="CA133">
        <v>8.3457099999999992E-3</v>
      </c>
      <c r="CB133">
        <v>1.92026E-3</v>
      </c>
      <c r="CC133">
        <v>2.1787959999999999E-2</v>
      </c>
      <c r="CD133">
        <v>8.0215850000000005E-2</v>
      </c>
      <c r="CE133">
        <v>5.0923070000000001E-2</v>
      </c>
      <c r="CF133">
        <v>-3.1051639999999998E-2</v>
      </c>
      <c r="CG133">
        <v>9.9032690000000007E-2</v>
      </c>
      <c r="CH133">
        <v>3.5982300000000002E-2</v>
      </c>
      <c r="CI133">
        <v>-3.3867059999999997E-2</v>
      </c>
      <c r="CJ133">
        <v>4.7326119999999999E-2</v>
      </c>
      <c r="CK133">
        <v>6.4122639999999995E-2</v>
      </c>
      <c r="CL133">
        <v>5.6361639999999998E-2</v>
      </c>
      <c r="CM133">
        <v>6.3907069999999996E-2</v>
      </c>
      <c r="CN133">
        <v>7.7855800000000003E-3</v>
      </c>
      <c r="CO133">
        <v>5.5344480000000001E-2</v>
      </c>
      <c r="CP133">
        <v>4.4308519999999997E-2</v>
      </c>
      <c r="CQ133">
        <v>0.10991904</v>
      </c>
      <c r="CR133">
        <v>7.6922740000000003E-2</v>
      </c>
      <c r="CS133">
        <v>4.5908999999999998E-2</v>
      </c>
      <c r="CT133">
        <v>0.10112177</v>
      </c>
      <c r="CU133">
        <v>2.989781E-2</v>
      </c>
      <c r="CV133">
        <v>8.3224950000000006E-2</v>
      </c>
      <c r="CW133">
        <v>0.12277275</v>
      </c>
      <c r="CX133">
        <v>0.10467700000000001</v>
      </c>
      <c r="CY133">
        <v>9.9479049999999999E-2</v>
      </c>
      <c r="CZ133">
        <v>6.7349679999999995E-2</v>
      </c>
      <c r="DA133">
        <v>8.9429560000000005E-2</v>
      </c>
      <c r="DB133">
        <v>0.11592693</v>
      </c>
      <c r="DC133">
        <v>8.4576970000000001E-2</v>
      </c>
      <c r="DD133">
        <v>0.16280328999999999</v>
      </c>
      <c r="DE133">
        <v>8.6676089999999997E-2</v>
      </c>
      <c r="DF133">
        <v>8.6463189999999995E-2</v>
      </c>
      <c r="DG133">
        <v>7.6095159999999995E-2</v>
      </c>
      <c r="DH133">
        <v>7.5486540000000005E-2</v>
      </c>
      <c r="DI133">
        <v>0.13693184</v>
      </c>
      <c r="DJ133">
        <v>9.8657739999999994E-2</v>
      </c>
      <c r="DK133">
        <v>0.14051194</v>
      </c>
      <c r="DL133">
        <v>1.7124199999999999E-2</v>
      </c>
      <c r="DM133">
        <v>0.12384819</v>
      </c>
      <c r="DN133">
        <v>0.12040271</v>
      </c>
      <c r="DO133">
        <v>8.3814970000000003E-2</v>
      </c>
      <c r="DP133">
        <v>0.12444982</v>
      </c>
      <c r="DQ133">
        <v>9.2363269999999997E-2</v>
      </c>
      <c r="DR133">
        <v>7.5429629999999998E-2</v>
      </c>
      <c r="DS133">
        <v>0.12811291999999999</v>
      </c>
      <c r="DT133">
        <v>0.1212892</v>
      </c>
      <c r="DU133">
        <v>0.22529407000000001</v>
      </c>
      <c r="DV133">
        <v>0.14779877999999999</v>
      </c>
      <c r="DW133">
        <v>0.19603910999999999</v>
      </c>
      <c r="DX133">
        <v>7.5016940000000004E-2</v>
      </c>
      <c r="DY133">
        <v>0.36050587000000001</v>
      </c>
      <c r="DZ133">
        <v>9.6277039999999994E-2</v>
      </c>
      <c r="EA133">
        <v>0.11038247</v>
      </c>
      <c r="EB133">
        <v>0.29403614</v>
      </c>
      <c r="EC133">
        <v>-4.8603600000000002E-3</v>
      </c>
      <c r="ED133">
        <v>0.12586464</v>
      </c>
      <c r="EE133">
        <v>0.10505911</v>
      </c>
      <c r="EF133">
        <v>0.10756446</v>
      </c>
      <c r="EG133">
        <v>9.9940959999999995E-2</v>
      </c>
      <c r="EH133">
        <v>0.17381750000000001</v>
      </c>
      <c r="EI133">
        <v>0.10764414</v>
      </c>
      <c r="EJ133">
        <v>0.11234892</v>
      </c>
      <c r="EK133">
        <v>0.15832995999999999</v>
      </c>
      <c r="EL133">
        <v>0.16325820999999999</v>
      </c>
      <c r="EM133">
        <v>0.14270172</v>
      </c>
      <c r="EN133">
        <v>0.17102934</v>
      </c>
      <c r="EO133">
        <v>0.25775533</v>
      </c>
      <c r="EP133">
        <f t="shared" si="3"/>
        <v>0</v>
      </c>
      <c r="EQ133">
        <f>SUMIF('Mi portafolio'!$A$8:$A$19,$A133,'Mi portafolio'!$B$8:$B$19)</f>
        <v>0</v>
      </c>
    </row>
    <row r="134" spans="1:147" x14ac:dyDescent="0.25">
      <c r="A134" s="34" t="s">
        <v>212</v>
      </c>
      <c r="B134">
        <v>2.0980500000000002E-3</v>
      </c>
      <c r="C134">
        <v>-1.166729E-2</v>
      </c>
      <c r="D134">
        <v>1.5991100000000001E-2</v>
      </c>
      <c r="E134">
        <v>3.3465299999999999E-3</v>
      </c>
      <c r="F134">
        <v>-6.9718499999999999E-3</v>
      </c>
      <c r="G134">
        <v>5.3241E-3</v>
      </c>
      <c r="H134">
        <v>5.1096900000000001E-3</v>
      </c>
      <c r="I134">
        <v>-6.4486999999999997E-4</v>
      </c>
      <c r="J134">
        <v>4.4909000000000003E-4</v>
      </c>
      <c r="K134">
        <v>-1.206948E-2</v>
      </c>
      <c r="L134">
        <v>1.3020810000000001E-2</v>
      </c>
      <c r="M134">
        <v>1.32137E-2</v>
      </c>
      <c r="N134">
        <v>1.6821180000000002E-2</v>
      </c>
      <c r="O134">
        <v>-1.139309E-2</v>
      </c>
      <c r="P134">
        <v>1.19075E-3</v>
      </c>
      <c r="Q134">
        <v>6.4740400000000003E-3</v>
      </c>
      <c r="R134">
        <v>-7.3014600000000001E-3</v>
      </c>
      <c r="S134">
        <v>7.9790599999999996E-3</v>
      </c>
      <c r="T134">
        <v>1.5866499999999999E-2</v>
      </c>
      <c r="U134">
        <v>9.7542299999999992E-3</v>
      </c>
      <c r="V134">
        <v>-1.288164E-2</v>
      </c>
      <c r="W134">
        <v>3.37178E-3</v>
      </c>
      <c r="X134">
        <v>1.5163009999999999E-2</v>
      </c>
      <c r="Y134">
        <v>1.361917E-2</v>
      </c>
      <c r="Z134">
        <v>5.0959400000000002E-3</v>
      </c>
      <c r="AA134">
        <v>4.2616900000000003E-3</v>
      </c>
      <c r="AB134">
        <v>1.371675E-2</v>
      </c>
      <c r="AC134">
        <v>-1.106177E-2</v>
      </c>
      <c r="AD134">
        <v>-5.8641800000000001E-3</v>
      </c>
      <c r="AE134">
        <v>-5.0553799999999999E-3</v>
      </c>
      <c r="AF134">
        <v>7.6779999999999993E-5</v>
      </c>
      <c r="AG134">
        <v>-1.3129429999999999E-2</v>
      </c>
      <c r="AH134">
        <v>-7.8143799999999992E-3</v>
      </c>
      <c r="AI134">
        <v>4.5666600000000002E-3</v>
      </c>
      <c r="AJ134">
        <v>6.3700900000000001E-3</v>
      </c>
      <c r="AK134">
        <v>-1.1959819999999999E-2</v>
      </c>
      <c r="AL134">
        <v>2.3311470000000001E-2</v>
      </c>
      <c r="AM134">
        <v>2.8319259999999999E-2</v>
      </c>
      <c r="AN134">
        <v>4.3707700000000004E-3</v>
      </c>
      <c r="AO134">
        <v>-2.0687800000000001E-3</v>
      </c>
      <c r="AP134">
        <v>1.546807E-2</v>
      </c>
      <c r="AQ134">
        <v>-6.8101899999999998E-3</v>
      </c>
      <c r="AR134">
        <v>1.859806E-2</v>
      </c>
      <c r="AS134">
        <v>5.07538E-3</v>
      </c>
      <c r="AT134">
        <v>2.4148920000000001E-2</v>
      </c>
      <c r="AU134">
        <v>1.825E-5</v>
      </c>
      <c r="AV134">
        <v>2.8866400000000002E-3</v>
      </c>
      <c r="AW134">
        <v>4.4703599999999996E-3</v>
      </c>
      <c r="AX134">
        <v>6.5349500000000003E-3</v>
      </c>
      <c r="AY134">
        <v>8.0113800000000002E-3</v>
      </c>
      <c r="AZ134">
        <v>2.5665900000000001E-3</v>
      </c>
      <c r="BA134">
        <v>1.6154E-4</v>
      </c>
      <c r="BB134">
        <v>3.4745749999999999E-2</v>
      </c>
      <c r="BC134">
        <v>1.093888E-2</v>
      </c>
      <c r="BD134">
        <v>1.1629759999999999E-2</v>
      </c>
      <c r="BE134">
        <v>-6.9494500000000002E-3</v>
      </c>
      <c r="BF134">
        <v>1.2397E-2</v>
      </c>
      <c r="BG134">
        <v>4.5728709999999999E-2</v>
      </c>
      <c r="BH134">
        <v>2.2378840000000001E-2</v>
      </c>
      <c r="BI134">
        <v>1.6372810000000002E-2</v>
      </c>
      <c r="BJ134">
        <v>-5.0460799999999997E-3</v>
      </c>
      <c r="BK134">
        <v>9.2348099999999995E-3</v>
      </c>
      <c r="BL134">
        <v>2.4879769999999999E-2</v>
      </c>
      <c r="BM134">
        <v>6.0343799999999998E-3</v>
      </c>
      <c r="BN134">
        <v>-1.032448E-2</v>
      </c>
      <c r="BO134">
        <v>3.5041379999999997E-2</v>
      </c>
      <c r="BP134">
        <v>7.060814E-2</v>
      </c>
      <c r="BQ134">
        <v>-1.57821E-3</v>
      </c>
      <c r="BR134">
        <v>3.8565210000000003E-2</v>
      </c>
      <c r="BS134">
        <v>1.492891E-2</v>
      </c>
      <c r="BT134">
        <v>1.7970900000000001E-3</v>
      </c>
      <c r="BU134">
        <v>9.1441000000000005E-3</v>
      </c>
      <c r="BV134">
        <v>4.7239539999999997E-2</v>
      </c>
      <c r="BW134">
        <v>4.4798839999999999E-2</v>
      </c>
      <c r="BX134">
        <v>3.705431E-2</v>
      </c>
      <c r="BY134">
        <v>1.5594429999999999E-2</v>
      </c>
      <c r="BZ134">
        <v>2.8192350000000001E-2</v>
      </c>
      <c r="CA134">
        <v>-9.2356299999999999E-3</v>
      </c>
      <c r="CB134">
        <v>-3.0286699999999998E-3</v>
      </c>
      <c r="CC134">
        <v>1.7654090000000001E-2</v>
      </c>
      <c r="CD134">
        <v>5.496289E-2</v>
      </c>
      <c r="CE134">
        <v>3.4437429999999998E-2</v>
      </c>
      <c r="CF134">
        <v>2.1953500000000001E-2</v>
      </c>
      <c r="CG134">
        <v>9.5063010000000003E-2</v>
      </c>
      <c r="CH134">
        <v>-3.9560100000000003E-3</v>
      </c>
      <c r="CI134">
        <v>1.4086029999999999E-2</v>
      </c>
      <c r="CJ134">
        <v>3.2715019999999997E-2</v>
      </c>
      <c r="CK134">
        <v>1.784372E-2</v>
      </c>
      <c r="CL134">
        <v>4.9114800000000002E-3</v>
      </c>
      <c r="CM134">
        <v>4.9549759999999998E-2</v>
      </c>
      <c r="CN134">
        <v>-6.5933700000000003E-3</v>
      </c>
      <c r="CO134">
        <v>1.020832E-2</v>
      </c>
      <c r="CP134">
        <v>7.3031830000000006E-2</v>
      </c>
      <c r="CQ134">
        <v>3.5213639999999997E-2</v>
      </c>
      <c r="CR134">
        <v>3.4155280000000003E-2</v>
      </c>
      <c r="CS134">
        <v>3.0969600000000002E-3</v>
      </c>
      <c r="CT134">
        <v>8.1544240000000004E-2</v>
      </c>
      <c r="CU134">
        <v>2.680546E-2</v>
      </c>
      <c r="CV134">
        <v>2.2353479999999998E-2</v>
      </c>
      <c r="CW134">
        <v>4.5158280000000002E-2</v>
      </c>
      <c r="CX134">
        <v>1.9420590000000001E-2</v>
      </c>
      <c r="CY134">
        <v>1.029132E-2</v>
      </c>
      <c r="CZ134">
        <v>0.14346713</v>
      </c>
      <c r="DA134">
        <v>6.1903850000000003E-2</v>
      </c>
      <c r="DB134">
        <v>6.466007E-2</v>
      </c>
      <c r="DC134">
        <v>1.010573E-2</v>
      </c>
      <c r="DD134">
        <v>9.227581E-2</v>
      </c>
      <c r="DE134">
        <v>1.2290779999999999E-2</v>
      </c>
      <c r="DF134">
        <v>0.15040938000000001</v>
      </c>
      <c r="DG134">
        <v>1.869852E-2</v>
      </c>
      <c r="DH134">
        <v>4.9614520000000002E-2</v>
      </c>
      <c r="DI134">
        <v>3.9009849999999999E-2</v>
      </c>
      <c r="DJ134">
        <v>3.8935659999999997E-2</v>
      </c>
      <c r="DK134">
        <v>3.6769570000000001E-2</v>
      </c>
      <c r="DL134">
        <v>1.1078869999999999E-2</v>
      </c>
      <c r="DM134">
        <v>3.2370240000000002E-2</v>
      </c>
      <c r="DN134">
        <v>7.7207559999999995E-2</v>
      </c>
      <c r="DO134">
        <v>5.8264080000000003E-2</v>
      </c>
      <c r="DP134">
        <v>3.6040549999999998E-2</v>
      </c>
      <c r="DQ134">
        <v>5.828113E-2</v>
      </c>
      <c r="DR134">
        <v>3.8866499999999998E-2</v>
      </c>
      <c r="DS134">
        <v>8.7550240000000001E-2</v>
      </c>
      <c r="DT134">
        <v>0.12488958</v>
      </c>
      <c r="DU134">
        <v>9.6040299999999995E-2</v>
      </c>
      <c r="DV134">
        <v>0.14482811000000001</v>
      </c>
      <c r="DW134">
        <v>0.13842958</v>
      </c>
      <c r="DX134">
        <v>3.2930069999999999E-2</v>
      </c>
      <c r="DY134">
        <v>9.6277039999999994E-2</v>
      </c>
      <c r="DZ134">
        <v>0.38218508000000001</v>
      </c>
      <c r="EA134">
        <v>5.3539990000000003E-2</v>
      </c>
      <c r="EB134">
        <v>0.14384157</v>
      </c>
      <c r="EC134">
        <v>-5.28803E-3</v>
      </c>
      <c r="ED134">
        <v>7.5974810000000004E-2</v>
      </c>
      <c r="EE134">
        <v>3.875961E-2</v>
      </c>
      <c r="EF134">
        <v>4.47964E-2</v>
      </c>
      <c r="EG134">
        <v>4.6516229999999999E-2</v>
      </c>
      <c r="EH134">
        <v>0.12919243</v>
      </c>
      <c r="EI134">
        <v>4.5691240000000001E-2</v>
      </c>
      <c r="EJ134">
        <v>7.1759589999999998E-2</v>
      </c>
      <c r="EK134">
        <v>6.9540149999999995E-2</v>
      </c>
      <c r="EL134">
        <v>4.8747169999999999E-2</v>
      </c>
      <c r="EM134">
        <v>0.15789569000000001</v>
      </c>
      <c r="EN134">
        <v>2.5317860000000001E-2</v>
      </c>
      <c r="EO134">
        <v>0.10940614999999999</v>
      </c>
      <c r="EP134">
        <f t="shared" ref="EP134:EP165" si="4">SUMPRODUCT(B134:EO134,$B$5:$EO$5)</f>
        <v>0</v>
      </c>
      <c r="EQ134">
        <f>SUMIF('Mi portafolio'!$A$8:$A$19,$A134,'Mi portafolio'!$B$8:$B$19)</f>
        <v>0</v>
      </c>
    </row>
    <row r="135" spans="1:147" x14ac:dyDescent="0.25">
      <c r="A135" s="34" t="s">
        <v>213</v>
      </c>
      <c r="B135">
        <v>1.9128E-4</v>
      </c>
      <c r="C135">
        <v>2.4817799999999998E-3</v>
      </c>
      <c r="D135">
        <v>6.0671400000000004E-3</v>
      </c>
      <c r="E135">
        <v>6.1208399999999998E-3</v>
      </c>
      <c r="F135">
        <v>1.69816E-3</v>
      </c>
      <c r="G135">
        <v>5.11627E-3</v>
      </c>
      <c r="H135">
        <v>1.3347599999999999E-2</v>
      </c>
      <c r="I135">
        <v>1.431021E-2</v>
      </c>
      <c r="J135">
        <v>2.87835E-3</v>
      </c>
      <c r="K135">
        <v>1.51927E-2</v>
      </c>
      <c r="L135">
        <v>1.6013739999999999E-2</v>
      </c>
      <c r="M135">
        <v>3.0990500000000001E-2</v>
      </c>
      <c r="N135">
        <v>3.2116520000000003E-2</v>
      </c>
      <c r="O135">
        <v>8.0863399999999992E-3</v>
      </c>
      <c r="P135">
        <v>-1.0051289999999999E-2</v>
      </c>
      <c r="Q135">
        <v>7.0374799999999996E-3</v>
      </c>
      <c r="R135">
        <v>8.4524999999999997E-4</v>
      </c>
      <c r="S135">
        <v>9.5643599999999992E-3</v>
      </c>
      <c r="T135">
        <v>1.9735180000000001E-2</v>
      </c>
      <c r="U135">
        <v>1.4687820000000001E-2</v>
      </c>
      <c r="V135">
        <v>9.0127899999999997E-3</v>
      </c>
      <c r="W135">
        <v>9.8656400000000002E-3</v>
      </c>
      <c r="X135">
        <v>1.4211120000000001E-2</v>
      </c>
      <c r="Y135">
        <v>9.9342200000000005E-3</v>
      </c>
      <c r="Z135">
        <v>2.527629E-2</v>
      </c>
      <c r="AA135">
        <v>1.0305190000000001E-2</v>
      </c>
      <c r="AB135">
        <v>4.8204099999999998E-3</v>
      </c>
      <c r="AC135">
        <v>-1.001694E-2</v>
      </c>
      <c r="AD135">
        <v>1.5914709999999999E-2</v>
      </c>
      <c r="AE135">
        <v>2.5357359999999999E-2</v>
      </c>
      <c r="AF135">
        <v>2.0297610000000001E-2</v>
      </c>
      <c r="AG135">
        <v>-2.8416050000000002E-2</v>
      </c>
      <c r="AH135">
        <v>-2.0985319999999998E-2</v>
      </c>
      <c r="AI135">
        <v>-2.8262720000000002E-2</v>
      </c>
      <c r="AJ135">
        <v>3.0753349999999999E-2</v>
      </c>
      <c r="AK135">
        <v>1.7917990000000002E-2</v>
      </c>
      <c r="AL135">
        <v>3.6374030000000002E-2</v>
      </c>
      <c r="AM135">
        <v>7.1575900000000001E-3</v>
      </c>
      <c r="AN135">
        <v>3.10637E-2</v>
      </c>
      <c r="AO135">
        <v>1.942091E-2</v>
      </c>
      <c r="AP135">
        <v>4.5888829999999999E-2</v>
      </c>
      <c r="AQ135">
        <v>-3.1969209999999998E-2</v>
      </c>
      <c r="AR135">
        <v>2.2397400000000001E-2</v>
      </c>
      <c r="AS135">
        <v>1.8436689999999999E-2</v>
      </c>
      <c r="AT135">
        <v>4.2470000000000001E-2</v>
      </c>
      <c r="AU135">
        <v>2.6272600000000002E-3</v>
      </c>
      <c r="AV135">
        <v>1.7215919999999999E-2</v>
      </c>
      <c r="AW135">
        <v>1.462187E-2</v>
      </c>
      <c r="AX135">
        <v>2.165359E-2</v>
      </c>
      <c r="AY135">
        <v>3.7347310000000002E-2</v>
      </c>
      <c r="AZ135">
        <v>3.9943869999999999E-2</v>
      </c>
      <c r="BA135">
        <v>3.3569399999999999E-2</v>
      </c>
      <c r="BB135">
        <v>3.92307E-2</v>
      </c>
      <c r="BC135">
        <v>1.6870199999999998E-2</v>
      </c>
      <c r="BD135">
        <v>2.205973E-2</v>
      </c>
      <c r="BE135">
        <v>2.7468889999999999E-2</v>
      </c>
      <c r="BF135">
        <v>1.9300479999999998E-2</v>
      </c>
      <c r="BG135">
        <v>4.5417869999999999E-2</v>
      </c>
      <c r="BH135">
        <v>2.5215270000000001E-2</v>
      </c>
      <c r="BI135">
        <v>-4.3579300000000003E-3</v>
      </c>
      <c r="BJ135">
        <v>1.3509810000000001E-2</v>
      </c>
      <c r="BK135">
        <v>4.2055250000000002E-2</v>
      </c>
      <c r="BL135">
        <v>6.5292879999999998E-2</v>
      </c>
      <c r="BM135">
        <v>1.394889E-2</v>
      </c>
      <c r="BN135">
        <v>5.1035000000000004E-3</v>
      </c>
      <c r="BO135">
        <v>4.2184510000000001E-2</v>
      </c>
      <c r="BP135">
        <v>2.2348670000000001E-2</v>
      </c>
      <c r="BQ135">
        <v>4.1038720000000001E-2</v>
      </c>
      <c r="BR135">
        <v>4.0488669999999997E-2</v>
      </c>
      <c r="BS135">
        <v>-3.8147260000000002E-2</v>
      </c>
      <c r="BT135">
        <v>5.8508409999999997E-2</v>
      </c>
      <c r="BU135">
        <v>2.1796220000000002E-2</v>
      </c>
      <c r="BV135">
        <v>2.8325289999999999E-2</v>
      </c>
      <c r="BW135">
        <v>2.8194730000000001E-2</v>
      </c>
      <c r="BX135">
        <v>2.6489599999999999E-2</v>
      </c>
      <c r="BY135">
        <v>4.4290219999999998E-2</v>
      </c>
      <c r="BZ135">
        <v>4.0853050000000002E-2</v>
      </c>
      <c r="CA135">
        <v>2.3557100000000001E-2</v>
      </c>
      <c r="CB135">
        <v>-1.725138E-2</v>
      </c>
      <c r="CC135">
        <v>1.710741E-2</v>
      </c>
      <c r="CD135">
        <v>6.3538170000000005E-2</v>
      </c>
      <c r="CE135">
        <v>1.3759199999999999E-2</v>
      </c>
      <c r="CF135">
        <v>-3.4098379999999998E-2</v>
      </c>
      <c r="CG135">
        <v>7.4356569999999997E-2</v>
      </c>
      <c r="CH135">
        <v>7.7003420000000003E-2</v>
      </c>
      <c r="CI135">
        <v>-2.983922E-2</v>
      </c>
      <c r="CJ135">
        <v>5.0486200000000002E-3</v>
      </c>
      <c r="CK135">
        <v>5.735436E-2</v>
      </c>
      <c r="CL135">
        <v>5.4777840000000001E-2</v>
      </c>
      <c r="CM135">
        <v>3.5890989999999998E-2</v>
      </c>
      <c r="CN135">
        <v>1.2299239999999999E-2</v>
      </c>
      <c r="CO135">
        <v>4.7287929999999999E-2</v>
      </c>
      <c r="CP135">
        <v>4.539087E-2</v>
      </c>
      <c r="CQ135">
        <v>6.8313040000000005E-2</v>
      </c>
      <c r="CR135">
        <v>6.423922E-2</v>
      </c>
      <c r="CS135">
        <v>5.6307049999999997E-2</v>
      </c>
      <c r="CT135">
        <v>6.1748659999999997E-2</v>
      </c>
      <c r="CU135">
        <v>5.481639E-2</v>
      </c>
      <c r="CV135">
        <v>5.7576250000000002E-2</v>
      </c>
      <c r="CW135">
        <v>5.4477390000000001E-2</v>
      </c>
      <c r="CX135">
        <v>5.9906889999999997E-2</v>
      </c>
      <c r="CY135">
        <v>6.7631230000000001E-2</v>
      </c>
      <c r="CZ135">
        <v>1.8513500000000001E-3</v>
      </c>
      <c r="DA135">
        <v>3.9870379999999997E-2</v>
      </c>
      <c r="DB135">
        <v>6.9055859999999997E-2</v>
      </c>
      <c r="DC135">
        <v>6.3684610000000003E-2</v>
      </c>
      <c r="DD135">
        <v>7.2403099999999998E-2</v>
      </c>
      <c r="DE135">
        <v>8.6465749999999994E-2</v>
      </c>
      <c r="DF135">
        <v>1.8367720000000001E-2</v>
      </c>
      <c r="DG135">
        <v>8.6092740000000001E-2</v>
      </c>
      <c r="DH135">
        <v>5.7257809999999999E-2</v>
      </c>
      <c r="DI135">
        <v>8.5785040000000007E-2</v>
      </c>
      <c r="DJ135">
        <v>7.4282310000000004E-2</v>
      </c>
      <c r="DK135">
        <v>9.2845220000000006E-2</v>
      </c>
      <c r="DL135">
        <v>7.2880009999999995E-2</v>
      </c>
      <c r="DM135">
        <v>8.4133150000000004E-2</v>
      </c>
      <c r="DN135">
        <v>6.5114019999999995E-2</v>
      </c>
      <c r="DO135">
        <v>6.090926E-2</v>
      </c>
      <c r="DP135">
        <v>9.0190699999999999E-2</v>
      </c>
      <c r="DQ135">
        <v>2.807055E-2</v>
      </c>
      <c r="DR135">
        <v>7.1978269999999997E-2</v>
      </c>
      <c r="DS135">
        <v>3.2326580000000001E-2</v>
      </c>
      <c r="DT135">
        <v>7.7026730000000002E-2</v>
      </c>
      <c r="DU135">
        <v>0.10127395</v>
      </c>
      <c r="DV135">
        <v>5.9469149999999998E-2</v>
      </c>
      <c r="DW135">
        <v>9.1865509999999997E-2</v>
      </c>
      <c r="DX135">
        <v>7.3999159999999994E-2</v>
      </c>
      <c r="DY135">
        <v>0.11038247</v>
      </c>
      <c r="DZ135">
        <v>5.3539990000000003E-2</v>
      </c>
      <c r="EA135">
        <v>0.43475022000000002</v>
      </c>
      <c r="EB135">
        <v>0.14397003999999999</v>
      </c>
      <c r="EC135">
        <v>4.4017390000000003E-2</v>
      </c>
      <c r="ED135">
        <v>0.10627368</v>
      </c>
      <c r="EE135">
        <v>0.12958454999999999</v>
      </c>
      <c r="EF135">
        <v>0.10498464</v>
      </c>
      <c r="EG135">
        <v>0.11687742</v>
      </c>
      <c r="EH135">
        <v>3.1358949999999997E-2</v>
      </c>
      <c r="EI135">
        <v>0.12592497</v>
      </c>
      <c r="EJ135">
        <v>0.17793513999999999</v>
      </c>
      <c r="EK135">
        <v>0.13744845</v>
      </c>
      <c r="EL135">
        <v>0.16372249</v>
      </c>
      <c r="EM135">
        <v>0.19859261</v>
      </c>
      <c r="EN135">
        <v>0.38876057000000003</v>
      </c>
      <c r="EO135">
        <v>0.1102971</v>
      </c>
      <c r="EP135">
        <f t="shared" si="4"/>
        <v>0</v>
      </c>
      <c r="EQ135">
        <f>SUMIF('Mi portafolio'!$A$8:$A$19,$A135,'Mi portafolio'!$B$8:$B$19)</f>
        <v>0</v>
      </c>
    </row>
    <row r="136" spans="1:147" x14ac:dyDescent="0.25">
      <c r="A136" s="34" t="s">
        <v>214</v>
      </c>
      <c r="B136">
        <v>5.53558E-3</v>
      </c>
      <c r="C136">
        <v>-9.0180699999999996E-3</v>
      </c>
      <c r="D136">
        <v>6.9053600000000001E-3</v>
      </c>
      <c r="E136">
        <v>1.546898E-2</v>
      </c>
      <c r="F136">
        <v>-7.6295599999999996E-3</v>
      </c>
      <c r="G136">
        <v>2.51396E-3</v>
      </c>
      <c r="H136">
        <v>-9.8843999999999993E-4</v>
      </c>
      <c r="I136">
        <v>1.2567409999999999E-2</v>
      </c>
      <c r="J136">
        <v>-9.1156599999999994E-3</v>
      </c>
      <c r="K136">
        <v>-7.1520999999999998E-4</v>
      </c>
      <c r="L136">
        <v>4.7663200000000001E-3</v>
      </c>
      <c r="M136">
        <v>5.2567999999999997E-2</v>
      </c>
      <c r="N136">
        <v>2.445371E-2</v>
      </c>
      <c r="O136">
        <v>1.0701300000000001E-3</v>
      </c>
      <c r="P136">
        <v>1.0577999999999999E-4</v>
      </c>
      <c r="Q136">
        <v>5.5761400000000003E-3</v>
      </c>
      <c r="R136">
        <v>-2.47942E-3</v>
      </c>
      <c r="S136">
        <v>-5.3739E-4</v>
      </c>
      <c r="T136">
        <v>5.5771840000000003E-2</v>
      </c>
      <c r="U136">
        <v>2.8218070000000001E-2</v>
      </c>
      <c r="V136">
        <v>8.1805599999999999E-3</v>
      </c>
      <c r="W136">
        <v>6.7712500000000004E-3</v>
      </c>
      <c r="X136">
        <v>4.7633780000000001E-2</v>
      </c>
      <c r="Y136">
        <v>3.6254019999999998E-2</v>
      </c>
      <c r="Z136">
        <v>2.2517530000000001E-2</v>
      </c>
      <c r="AA136">
        <v>-1.2218999999999999E-3</v>
      </c>
      <c r="AB136">
        <v>3.8592580000000001E-2</v>
      </c>
      <c r="AC136">
        <v>5.9092299999999997E-3</v>
      </c>
      <c r="AD136">
        <v>-1.6082999999999999E-4</v>
      </c>
      <c r="AE136">
        <v>2.293098E-2</v>
      </c>
      <c r="AF136">
        <v>1.3598270000000001E-2</v>
      </c>
      <c r="AG136">
        <v>-1.4808740000000001E-2</v>
      </c>
      <c r="AH136">
        <v>-1.781802E-2</v>
      </c>
      <c r="AI136">
        <v>-1.8420820000000001E-2</v>
      </c>
      <c r="AJ136">
        <v>-1.52925E-3</v>
      </c>
      <c r="AK136">
        <v>1.9327359999999998E-2</v>
      </c>
      <c r="AL136">
        <v>4.4411409999999998E-2</v>
      </c>
      <c r="AM136">
        <v>3.6666890000000001E-2</v>
      </c>
      <c r="AN136">
        <v>5.558478E-2</v>
      </c>
      <c r="AO136">
        <v>1.167E-5</v>
      </c>
      <c r="AP136">
        <v>5.537595E-2</v>
      </c>
      <c r="AQ136">
        <v>-2.3781130000000001E-2</v>
      </c>
      <c r="AR136">
        <v>5.9025220000000003E-2</v>
      </c>
      <c r="AS136">
        <v>1.831557E-2</v>
      </c>
      <c r="AT136">
        <v>9.4854229999999998E-2</v>
      </c>
      <c r="AU136">
        <v>-1.39941E-3</v>
      </c>
      <c r="AV136">
        <v>2.8554019999999999E-2</v>
      </c>
      <c r="AW136">
        <v>1.8630230000000001E-2</v>
      </c>
      <c r="AX136">
        <v>1.9022810000000001E-2</v>
      </c>
      <c r="AY136">
        <v>3.856772E-2</v>
      </c>
      <c r="AZ136">
        <v>2.7732710000000001E-2</v>
      </c>
      <c r="BA136">
        <v>4.450809E-2</v>
      </c>
      <c r="BB136">
        <v>0.10220611</v>
      </c>
      <c r="BC136">
        <v>1.1758559999999999E-2</v>
      </c>
      <c r="BD136">
        <v>9.3388499999999992E-3</v>
      </c>
      <c r="BE136">
        <v>2.3580139999999999E-2</v>
      </c>
      <c r="BF136">
        <v>2.637755E-2</v>
      </c>
      <c r="BG136">
        <v>7.7619949999999993E-2</v>
      </c>
      <c r="BH136">
        <v>2.748712E-2</v>
      </c>
      <c r="BI136">
        <v>2.9373300000000001E-2</v>
      </c>
      <c r="BJ136">
        <v>-1.3000599999999999E-2</v>
      </c>
      <c r="BK136">
        <v>3.7217510000000002E-2</v>
      </c>
      <c r="BL136">
        <v>3.621721E-2</v>
      </c>
      <c r="BM136">
        <v>5.5225530000000002E-2</v>
      </c>
      <c r="BN136">
        <v>-8.1716099999999993E-3</v>
      </c>
      <c r="BO136">
        <v>6.5239580000000005E-2</v>
      </c>
      <c r="BP136">
        <v>8.0081459999999993E-2</v>
      </c>
      <c r="BQ136">
        <v>3.2515469999999998E-2</v>
      </c>
      <c r="BR136">
        <v>7.2702349999999999E-2</v>
      </c>
      <c r="BS136">
        <v>-2.0763500000000001E-2</v>
      </c>
      <c r="BT136">
        <v>6.6226750000000001E-2</v>
      </c>
      <c r="BU136">
        <v>3.40494E-2</v>
      </c>
      <c r="BV136">
        <v>8.708254E-2</v>
      </c>
      <c r="BW136">
        <v>5.5564679999999998E-2</v>
      </c>
      <c r="BX136">
        <v>2.76052E-2</v>
      </c>
      <c r="BY136">
        <v>7.5527070000000002E-2</v>
      </c>
      <c r="BZ136">
        <v>8.3988220000000002E-2</v>
      </c>
      <c r="CA136">
        <v>2.142956E-2</v>
      </c>
      <c r="CB136">
        <v>3.4772800000000001E-3</v>
      </c>
      <c r="CC136">
        <v>3.3850320000000003E-2</v>
      </c>
      <c r="CD136">
        <v>7.4910050000000006E-2</v>
      </c>
      <c r="CE136">
        <v>6.4037449999999996E-2</v>
      </c>
      <c r="CF136">
        <v>-1.6422880000000001E-2</v>
      </c>
      <c r="CG136">
        <v>0.10434557</v>
      </c>
      <c r="CH136">
        <v>3.6174629999999999E-2</v>
      </c>
      <c r="CI136">
        <v>-2.7531110000000001E-2</v>
      </c>
      <c r="CJ136">
        <v>4.5696760000000003E-2</v>
      </c>
      <c r="CK136">
        <v>7.2284699999999993E-2</v>
      </c>
      <c r="CL136">
        <v>7.1070530000000007E-2</v>
      </c>
      <c r="CM136">
        <v>8.600874E-2</v>
      </c>
      <c r="CN136">
        <v>1.569108E-2</v>
      </c>
      <c r="CO136">
        <v>3.4615060000000003E-2</v>
      </c>
      <c r="CP136">
        <v>5.5239299999999998E-2</v>
      </c>
      <c r="CQ136">
        <v>0.13278058000000001</v>
      </c>
      <c r="CR136">
        <v>9.0529410000000005E-2</v>
      </c>
      <c r="CS136">
        <v>6.3923919999999995E-2</v>
      </c>
      <c r="CT136">
        <v>0.10210901999999999</v>
      </c>
      <c r="CU136">
        <v>3.9003179999999998E-2</v>
      </c>
      <c r="CV136">
        <v>8.6048360000000004E-2</v>
      </c>
      <c r="CW136">
        <v>0.10729439</v>
      </c>
      <c r="CX136">
        <v>0.11682442</v>
      </c>
      <c r="CY136">
        <v>0.11045795999999999</v>
      </c>
      <c r="CZ136">
        <v>8.8767810000000003E-2</v>
      </c>
      <c r="DA136">
        <v>9.4381140000000002E-2</v>
      </c>
      <c r="DB136">
        <v>0.12609999999999999</v>
      </c>
      <c r="DC136">
        <v>8.2052589999999995E-2</v>
      </c>
      <c r="DD136">
        <v>0.17170600999999999</v>
      </c>
      <c r="DE136">
        <v>9.7814010000000007E-2</v>
      </c>
      <c r="DF136">
        <v>9.537321E-2</v>
      </c>
      <c r="DG136">
        <v>7.8047030000000003E-2</v>
      </c>
      <c r="DH136">
        <v>9.3696580000000002E-2</v>
      </c>
      <c r="DI136">
        <v>0.14482821000000001</v>
      </c>
      <c r="DJ136">
        <v>0.11998103</v>
      </c>
      <c r="DK136">
        <v>0.15114696999999999</v>
      </c>
      <c r="DL136">
        <v>7.9736800000000004E-3</v>
      </c>
      <c r="DM136">
        <v>0.13590384999999999</v>
      </c>
      <c r="DN136">
        <v>0.12575595000000001</v>
      </c>
      <c r="DO136">
        <v>9.4954609999999995E-2</v>
      </c>
      <c r="DP136">
        <v>0.14643228</v>
      </c>
      <c r="DQ136">
        <v>9.4845429999999994E-2</v>
      </c>
      <c r="DR136">
        <v>8.1493049999999997E-2</v>
      </c>
      <c r="DS136">
        <v>0.15371905999999999</v>
      </c>
      <c r="DT136">
        <v>0.14478584</v>
      </c>
      <c r="DU136">
        <v>0.26490353</v>
      </c>
      <c r="DV136">
        <v>0.17680789</v>
      </c>
      <c r="DW136">
        <v>0.20963377</v>
      </c>
      <c r="DX136">
        <v>0.10721164</v>
      </c>
      <c r="DY136">
        <v>0.29403614</v>
      </c>
      <c r="DZ136">
        <v>0.14384157</v>
      </c>
      <c r="EA136">
        <v>0.14397003999999999</v>
      </c>
      <c r="EB136">
        <v>0.44161191999999999</v>
      </c>
      <c r="EC136">
        <v>2.8775120000000001E-2</v>
      </c>
      <c r="ED136">
        <v>0.13659478</v>
      </c>
      <c r="EE136">
        <v>0.12473619</v>
      </c>
      <c r="EF136">
        <v>0.12111237</v>
      </c>
      <c r="EG136">
        <v>0.10260996</v>
      </c>
      <c r="EH136">
        <v>0.19004461</v>
      </c>
      <c r="EI136">
        <v>9.8475919999999995E-2</v>
      </c>
      <c r="EJ136">
        <v>0.18729728000000001</v>
      </c>
      <c r="EK136">
        <v>0.22994164</v>
      </c>
      <c r="EL136">
        <v>0.21004231000000001</v>
      </c>
      <c r="EM136">
        <v>0.22727739999999999</v>
      </c>
      <c r="EN136">
        <v>0.21161537999999999</v>
      </c>
      <c r="EO136">
        <v>0.31284174999999997</v>
      </c>
      <c r="EP136">
        <f t="shared" si="4"/>
        <v>0</v>
      </c>
      <c r="EQ136">
        <f>SUMIF('Mi portafolio'!$A$8:$A$19,$A136,'Mi portafolio'!$B$8:$B$19)</f>
        <v>0</v>
      </c>
    </row>
    <row r="137" spans="1:147" x14ac:dyDescent="0.25">
      <c r="A137" s="34" t="s">
        <v>215</v>
      </c>
      <c r="B137">
        <v>-1.2829790000000001E-2</v>
      </c>
      <c r="C137">
        <v>4.0420999999999999E-3</v>
      </c>
      <c r="D137">
        <v>-2.6083999999999998E-4</v>
      </c>
      <c r="E137">
        <v>1.150355E-2</v>
      </c>
      <c r="F137">
        <v>-1.731597E-2</v>
      </c>
      <c r="G137">
        <v>2.025952E-2</v>
      </c>
      <c r="H137">
        <v>5.3996799999999996E-3</v>
      </c>
      <c r="I137">
        <v>-1.129311E-2</v>
      </c>
      <c r="J137">
        <v>4.0140599999999999E-3</v>
      </c>
      <c r="K137">
        <v>-1.928214E-2</v>
      </c>
      <c r="L137">
        <v>4.5762600000000004E-3</v>
      </c>
      <c r="M137">
        <v>6.7497099999999999E-3</v>
      </c>
      <c r="N137">
        <v>-9.4621700000000006E-3</v>
      </c>
      <c r="O137">
        <v>2.2106700000000001E-3</v>
      </c>
      <c r="P137">
        <v>-2.0835309999999999E-2</v>
      </c>
      <c r="Q137">
        <v>7.4284499999999996E-3</v>
      </c>
      <c r="R137">
        <v>-1.7413700000000001E-2</v>
      </c>
      <c r="S137">
        <v>1.253541E-2</v>
      </c>
      <c r="T137">
        <v>8.0340199999999994E-3</v>
      </c>
      <c r="U137">
        <v>1.732562E-2</v>
      </c>
      <c r="V137">
        <v>2.4330999999999998E-2</v>
      </c>
      <c r="W137">
        <v>-2.85491E-3</v>
      </c>
      <c r="X137">
        <v>1.106627E-2</v>
      </c>
      <c r="Y137">
        <v>5.3906700000000002E-3</v>
      </c>
      <c r="Z137">
        <v>1.4711989999999999E-2</v>
      </c>
      <c r="AA137">
        <v>3.6529100000000001E-3</v>
      </c>
      <c r="AB137">
        <v>2.52141E-3</v>
      </c>
      <c r="AC137">
        <v>2.334425E-2</v>
      </c>
      <c r="AD137">
        <v>7.16054E-3</v>
      </c>
      <c r="AE137">
        <v>2.1219829999999999E-2</v>
      </c>
      <c r="AF137">
        <v>2.1617460000000002E-2</v>
      </c>
      <c r="AG137">
        <v>-2.6106109999999998E-2</v>
      </c>
      <c r="AH137">
        <v>-4.1416509999999997E-2</v>
      </c>
      <c r="AI137">
        <v>-2.1470800000000002E-2</v>
      </c>
      <c r="AJ137">
        <v>4.3130499999999997E-3</v>
      </c>
      <c r="AK137">
        <v>3.8788469999999999E-2</v>
      </c>
      <c r="AL137">
        <v>3.6206999999999998E-4</v>
      </c>
      <c r="AM137">
        <v>6.9641E-3</v>
      </c>
      <c r="AN137">
        <v>-8.3133700000000005E-3</v>
      </c>
      <c r="AO137">
        <v>-7.3764E-3</v>
      </c>
      <c r="AP137">
        <v>-1.04663E-3</v>
      </c>
      <c r="AQ137">
        <v>-1.5838000000000001E-4</v>
      </c>
      <c r="AR137">
        <v>7.0474999999999997E-4</v>
      </c>
      <c r="AS137">
        <v>2.8065719999999999E-2</v>
      </c>
      <c r="AT137">
        <v>4.68849E-3</v>
      </c>
      <c r="AU137">
        <v>-1.883344E-2</v>
      </c>
      <c r="AV137">
        <v>7.0650499999999998E-3</v>
      </c>
      <c r="AW137">
        <v>3.2545709999999999E-2</v>
      </c>
      <c r="AX137">
        <v>-2.4036189999999999E-2</v>
      </c>
      <c r="AY137">
        <v>-5.9803699999999996E-3</v>
      </c>
      <c r="AZ137">
        <v>1.8768900000000002E-2</v>
      </c>
      <c r="BA137">
        <v>2.5158E-4</v>
      </c>
      <c r="BB137">
        <v>2.1372889999999999E-2</v>
      </c>
      <c r="BC137">
        <v>5.2363399999999999E-3</v>
      </c>
      <c r="BD137">
        <v>1.972637E-2</v>
      </c>
      <c r="BE137">
        <v>-4.3587900000000004E-3</v>
      </c>
      <c r="BF137">
        <v>1.784167E-2</v>
      </c>
      <c r="BG137">
        <v>-8.2122800000000006E-3</v>
      </c>
      <c r="BH137">
        <v>6.4807399999999996E-3</v>
      </c>
      <c r="BI137">
        <v>6.9767300000000004E-3</v>
      </c>
      <c r="BJ137">
        <v>-6.5195899999999996E-3</v>
      </c>
      <c r="BK137">
        <v>5.3031500000000004E-3</v>
      </c>
      <c r="BL137">
        <v>3.0859580000000001E-2</v>
      </c>
      <c r="BM137">
        <v>-3.3142629999999999E-2</v>
      </c>
      <c r="BN137">
        <v>-2.56924E-3</v>
      </c>
      <c r="BO137">
        <v>-5.3327499999999998E-3</v>
      </c>
      <c r="BP137">
        <v>-6.5716699999999999E-3</v>
      </c>
      <c r="BQ137">
        <v>3.7909760000000001E-2</v>
      </c>
      <c r="BR137">
        <v>-1.43994E-3</v>
      </c>
      <c r="BS137">
        <v>-1.7136249999999999E-2</v>
      </c>
      <c r="BT137">
        <v>1.5534289999999999E-2</v>
      </c>
      <c r="BU137">
        <v>2.0030829999999999E-2</v>
      </c>
      <c r="BV137">
        <v>-9.7208999999999993E-3</v>
      </c>
      <c r="BW137">
        <v>4.2562399999999997E-3</v>
      </c>
      <c r="BX137">
        <v>-8.0912399999999995E-3</v>
      </c>
      <c r="BY137">
        <v>4.9274000000000002E-3</v>
      </c>
      <c r="BZ137">
        <v>-5.7642300000000004E-3</v>
      </c>
      <c r="CA137">
        <v>1.024426E-2</v>
      </c>
      <c r="CB137">
        <v>-3.3769349999999997E-2</v>
      </c>
      <c r="CC137">
        <v>1.254628E-2</v>
      </c>
      <c r="CD137">
        <v>-4.6607200000000001E-3</v>
      </c>
      <c r="CE137">
        <v>2.1609090000000001E-2</v>
      </c>
      <c r="CF137">
        <v>-2.1949739999999999E-2</v>
      </c>
      <c r="CG137">
        <v>-7.1982000000000003E-4</v>
      </c>
      <c r="CH137">
        <v>7.2494089999999997E-2</v>
      </c>
      <c r="CI137">
        <v>-1.162793E-2</v>
      </c>
      <c r="CJ137">
        <v>-8.3964299999999999E-3</v>
      </c>
      <c r="CK137">
        <v>-1.0039609999999999E-2</v>
      </c>
      <c r="CL137">
        <v>1.2245010000000001E-2</v>
      </c>
      <c r="CM137">
        <v>2.9604249999999999E-2</v>
      </c>
      <c r="CN137">
        <v>-1.77081E-3</v>
      </c>
      <c r="CO137">
        <v>1.1587129999999999E-2</v>
      </c>
      <c r="CP137">
        <v>-1.1212659999999999E-2</v>
      </c>
      <c r="CQ137">
        <v>-1.4190299999999999E-3</v>
      </c>
      <c r="CR137">
        <v>3.9353590000000001E-2</v>
      </c>
      <c r="CS137">
        <v>4.0287879999999998E-2</v>
      </c>
      <c r="CT137">
        <v>3.7384309999999997E-2</v>
      </c>
      <c r="CU137">
        <v>3.6694770000000002E-2</v>
      </c>
      <c r="CV137">
        <v>1.8148129999999998E-2</v>
      </c>
      <c r="CW137">
        <v>1.079543E-2</v>
      </c>
      <c r="CX137">
        <v>4.7247659999999997E-2</v>
      </c>
      <c r="CY137">
        <v>1.9131240000000001E-2</v>
      </c>
      <c r="CZ137">
        <v>-3.1064E-3</v>
      </c>
      <c r="DA137">
        <v>-4.7724200000000003E-3</v>
      </c>
      <c r="DB137">
        <v>2.1130510000000002E-2</v>
      </c>
      <c r="DC137">
        <v>7.1504200000000002E-3</v>
      </c>
      <c r="DD137">
        <v>2.0297610000000001E-2</v>
      </c>
      <c r="DE137">
        <v>8.8001350000000006E-2</v>
      </c>
      <c r="DF137">
        <v>-3.382897E-2</v>
      </c>
      <c r="DG137">
        <v>9.6665340000000002E-2</v>
      </c>
      <c r="DH137">
        <v>1.4846710000000001E-2</v>
      </c>
      <c r="DI137">
        <v>-2.0652499999999998E-3</v>
      </c>
      <c r="DJ137">
        <v>2.42197E-2</v>
      </c>
      <c r="DK137">
        <v>1.6083469999999999E-2</v>
      </c>
      <c r="DL137">
        <v>0.10552350000000001</v>
      </c>
      <c r="DM137">
        <v>2.2589580000000001E-2</v>
      </c>
      <c r="DN137">
        <v>-2.0955729999999999E-2</v>
      </c>
      <c r="DO137">
        <v>1.3604089999999999E-2</v>
      </c>
      <c r="DP137">
        <v>5.6004000000000002E-3</v>
      </c>
      <c r="DQ137">
        <v>2.367648E-2</v>
      </c>
      <c r="DR137">
        <v>6.8077970000000002E-2</v>
      </c>
      <c r="DS137">
        <v>-3.3791019999999998E-2</v>
      </c>
      <c r="DT137">
        <v>3.7563739999999998E-2</v>
      </c>
      <c r="DU137">
        <v>1.9369689999999998E-2</v>
      </c>
      <c r="DV137">
        <v>-1.5848890000000001E-2</v>
      </c>
      <c r="DW137">
        <v>2.0358910000000001E-2</v>
      </c>
      <c r="DX137">
        <v>6.2260900000000001E-2</v>
      </c>
      <c r="DY137">
        <v>-4.8603600000000002E-3</v>
      </c>
      <c r="DZ137">
        <v>-5.28803E-3</v>
      </c>
      <c r="EA137">
        <v>4.4017390000000003E-2</v>
      </c>
      <c r="EB137">
        <v>2.8775120000000001E-2</v>
      </c>
      <c r="EC137">
        <v>0.43214838</v>
      </c>
      <c r="ED137">
        <v>4.2473839999999999E-2</v>
      </c>
      <c r="EE137">
        <v>7.1915099999999996E-2</v>
      </c>
      <c r="EF137">
        <v>3.9712959999999999E-2</v>
      </c>
      <c r="EG137">
        <v>0.10411423</v>
      </c>
      <c r="EH137">
        <v>-6.2217100000000001E-3</v>
      </c>
      <c r="EI137">
        <v>8.5704829999999996E-2</v>
      </c>
      <c r="EJ137">
        <v>6.53112E-2</v>
      </c>
      <c r="EK137">
        <v>9.6831139999999996E-2</v>
      </c>
      <c r="EL137">
        <v>0.11689083</v>
      </c>
      <c r="EM137">
        <v>6.4981000000000001E-4</v>
      </c>
      <c r="EN137">
        <v>3.4087739999999998E-2</v>
      </c>
      <c r="EO137">
        <v>3.348251E-2</v>
      </c>
      <c r="EP137">
        <f t="shared" si="4"/>
        <v>0</v>
      </c>
      <c r="EQ137">
        <f>SUMIF('Mi portafolio'!$A$8:$A$19,$A137,'Mi portafolio'!$B$8:$B$19)</f>
        <v>0</v>
      </c>
    </row>
    <row r="138" spans="1:147" x14ac:dyDescent="0.25">
      <c r="A138" s="34" t="s">
        <v>216</v>
      </c>
      <c r="B138">
        <v>6.0394799999999998E-3</v>
      </c>
      <c r="C138">
        <v>1.5776620000000002E-2</v>
      </c>
      <c r="D138">
        <v>1.353387E-2</v>
      </c>
      <c r="E138">
        <v>2.591968E-2</v>
      </c>
      <c r="F138">
        <v>-3.8890499999999998E-3</v>
      </c>
      <c r="G138">
        <v>1.0044839999999999E-2</v>
      </c>
      <c r="H138">
        <v>3.2011999999999999E-2</v>
      </c>
      <c r="I138">
        <v>1.432567E-2</v>
      </c>
      <c r="J138">
        <v>-9.0452099999999997E-3</v>
      </c>
      <c r="K138">
        <v>-1.0367899999999999E-2</v>
      </c>
      <c r="L138">
        <v>1.0801120000000001E-2</v>
      </c>
      <c r="M138">
        <v>4.4436639999999999E-2</v>
      </c>
      <c r="N138">
        <v>3.576149E-2</v>
      </c>
      <c r="O138">
        <v>1.3831680000000001E-2</v>
      </c>
      <c r="P138">
        <v>-6.9548300000000004E-3</v>
      </c>
      <c r="Q138">
        <v>-1.337054E-2</v>
      </c>
      <c r="R138">
        <v>-1.90704E-3</v>
      </c>
      <c r="S138">
        <v>7.7086300000000002E-3</v>
      </c>
      <c r="T138">
        <v>3.0057029999999998E-2</v>
      </c>
      <c r="U138">
        <v>3.3564829999999997E-2</v>
      </c>
      <c r="V138">
        <v>2.541067E-2</v>
      </c>
      <c r="W138">
        <v>2.3234359999999999E-2</v>
      </c>
      <c r="X138">
        <v>3.2697829999999997E-2</v>
      </c>
      <c r="Y138">
        <v>9.2245199999999999E-3</v>
      </c>
      <c r="Z138">
        <v>2.6256160000000001E-2</v>
      </c>
      <c r="AA138">
        <v>1.9228550000000001E-2</v>
      </c>
      <c r="AB138">
        <v>1.5263840000000001E-2</v>
      </c>
      <c r="AC138">
        <v>9.4620599999999996E-3</v>
      </c>
      <c r="AD138">
        <v>9.6189399999999994E-3</v>
      </c>
      <c r="AE138">
        <v>4.1471510000000003E-2</v>
      </c>
      <c r="AF138">
        <v>3.152112E-2</v>
      </c>
      <c r="AG138">
        <v>-1.311884E-2</v>
      </c>
      <c r="AH138">
        <v>-9.3460100000000001E-3</v>
      </c>
      <c r="AI138">
        <v>-1.326802E-2</v>
      </c>
      <c r="AJ138">
        <v>3.0633130000000001E-2</v>
      </c>
      <c r="AK138">
        <v>2.602368E-2</v>
      </c>
      <c r="AL138">
        <v>3.6047469999999998E-2</v>
      </c>
      <c r="AM138">
        <v>3.7549819999999998E-2</v>
      </c>
      <c r="AN138">
        <v>2.8373949999999998E-2</v>
      </c>
      <c r="AO138">
        <v>1.43445E-2</v>
      </c>
      <c r="AP138">
        <v>4.606793E-2</v>
      </c>
      <c r="AQ138">
        <v>-1.864611E-2</v>
      </c>
      <c r="AR138">
        <v>2.8124389999999999E-2</v>
      </c>
      <c r="AS138">
        <v>2.5956429999999999E-2</v>
      </c>
      <c r="AT138">
        <v>4.9668660000000003E-2</v>
      </c>
      <c r="AU138">
        <v>1.40515E-3</v>
      </c>
      <c r="AV138">
        <v>3.8334720000000003E-2</v>
      </c>
      <c r="AW138">
        <v>4.1982800000000001E-2</v>
      </c>
      <c r="AX138">
        <v>3.5827989999999997E-2</v>
      </c>
      <c r="AY138">
        <v>2.892575E-2</v>
      </c>
      <c r="AZ138">
        <v>6.1527510000000001E-2</v>
      </c>
      <c r="BA138">
        <v>3.7263749999999998E-2</v>
      </c>
      <c r="BB138">
        <v>6.0829420000000002E-2</v>
      </c>
      <c r="BC138">
        <v>3.5708589999999998E-2</v>
      </c>
      <c r="BD138">
        <v>3.0624120000000001E-2</v>
      </c>
      <c r="BE138">
        <v>2.161151E-2</v>
      </c>
      <c r="BF138">
        <v>4.5479800000000001E-2</v>
      </c>
      <c r="BG138">
        <v>3.607581E-2</v>
      </c>
      <c r="BH138">
        <v>4.408513E-2</v>
      </c>
      <c r="BI138">
        <v>2.7419349999999999E-2</v>
      </c>
      <c r="BJ138">
        <v>-4.4158000000000001E-3</v>
      </c>
      <c r="BK138">
        <v>4.2296239999999999E-2</v>
      </c>
      <c r="BL138">
        <v>3.4178890000000003E-2</v>
      </c>
      <c r="BM138">
        <v>3.7263270000000001E-2</v>
      </c>
      <c r="BN138">
        <v>8.1455899999999994E-3</v>
      </c>
      <c r="BO138">
        <v>4.8468339999999999E-2</v>
      </c>
      <c r="BP138">
        <v>4.4924270000000002E-2</v>
      </c>
      <c r="BQ138">
        <v>5.7320030000000001E-2</v>
      </c>
      <c r="BR138">
        <v>7.2812689999999999E-2</v>
      </c>
      <c r="BS138">
        <v>-6.6415600000000003E-3</v>
      </c>
      <c r="BT138">
        <v>5.2910159999999998E-2</v>
      </c>
      <c r="BU138">
        <v>3.387503E-2</v>
      </c>
      <c r="BV138">
        <v>3.6859599999999999E-2</v>
      </c>
      <c r="BW138">
        <v>5.6885100000000001E-2</v>
      </c>
      <c r="BX138">
        <v>3.3689629999999998E-2</v>
      </c>
      <c r="BY138">
        <v>7.6760179999999997E-2</v>
      </c>
      <c r="BZ138">
        <v>6.3163289999999997E-2</v>
      </c>
      <c r="CA138">
        <v>3.7913059999999998E-2</v>
      </c>
      <c r="CB138">
        <v>-1.6876430000000001E-2</v>
      </c>
      <c r="CC138">
        <v>2.8811920000000001E-2</v>
      </c>
      <c r="CD138">
        <v>2.99787E-2</v>
      </c>
      <c r="CE138">
        <v>5.3500329999999999E-2</v>
      </c>
      <c r="CF138">
        <v>-1.2666480000000001E-2</v>
      </c>
      <c r="CG138">
        <v>7.7147179999999996E-2</v>
      </c>
      <c r="CH138">
        <v>7.8922969999999995E-2</v>
      </c>
      <c r="CI138">
        <v>-1.6861640000000001E-2</v>
      </c>
      <c r="CJ138">
        <v>4.5402390000000001E-2</v>
      </c>
      <c r="CK138">
        <v>4.8616430000000002E-2</v>
      </c>
      <c r="CL138">
        <v>7.7688149999999997E-2</v>
      </c>
      <c r="CM138">
        <v>4.6446910000000001E-2</v>
      </c>
      <c r="CN138">
        <v>2.051157E-2</v>
      </c>
      <c r="CO138">
        <v>3.8431800000000002E-2</v>
      </c>
      <c r="CP138">
        <v>4.7777510000000002E-2</v>
      </c>
      <c r="CQ138">
        <v>8.604755E-2</v>
      </c>
      <c r="CR138">
        <v>8.3432199999999998E-2</v>
      </c>
      <c r="CS138">
        <v>7.3360209999999995E-2</v>
      </c>
      <c r="CT138">
        <v>0.10840814999999999</v>
      </c>
      <c r="CU138">
        <v>3.121676E-2</v>
      </c>
      <c r="CV138">
        <v>4.900243E-2</v>
      </c>
      <c r="CW138">
        <v>4.680923E-2</v>
      </c>
      <c r="CX138">
        <v>8.3547380000000004E-2</v>
      </c>
      <c r="CY138">
        <v>7.0581389999999994E-2</v>
      </c>
      <c r="CZ138">
        <v>4.4129920000000003E-2</v>
      </c>
      <c r="DA138">
        <v>6.6323289999999993E-2</v>
      </c>
      <c r="DB138">
        <v>0.13667252999999999</v>
      </c>
      <c r="DC138">
        <v>0.10640572</v>
      </c>
      <c r="DD138">
        <v>0.11260535000000001</v>
      </c>
      <c r="DE138">
        <v>0.11580430999999999</v>
      </c>
      <c r="DF138">
        <v>5.0850989999999999E-2</v>
      </c>
      <c r="DG138">
        <v>0.10844031</v>
      </c>
      <c r="DH138">
        <v>9.0498980000000007E-2</v>
      </c>
      <c r="DI138">
        <v>9.3731540000000002E-2</v>
      </c>
      <c r="DJ138">
        <v>7.2185330000000006E-2</v>
      </c>
      <c r="DK138">
        <v>0.10510878</v>
      </c>
      <c r="DL138">
        <v>7.5000040000000004E-2</v>
      </c>
      <c r="DM138">
        <v>0.1010079</v>
      </c>
      <c r="DN138">
        <v>7.7198530000000001E-2</v>
      </c>
      <c r="DO138">
        <v>0.12597997999999999</v>
      </c>
      <c r="DP138">
        <v>7.5295699999999993E-2</v>
      </c>
      <c r="DQ138">
        <v>9.208993E-2</v>
      </c>
      <c r="DR138">
        <v>9.7886749999999995E-2</v>
      </c>
      <c r="DS138">
        <v>-3.6293600000000002E-2</v>
      </c>
      <c r="DT138">
        <v>0.13140219</v>
      </c>
      <c r="DU138">
        <v>0.16914551</v>
      </c>
      <c r="DV138">
        <v>0.11502953</v>
      </c>
      <c r="DW138">
        <v>0.1022902</v>
      </c>
      <c r="DX138">
        <v>0.12765119999999999</v>
      </c>
      <c r="DY138">
        <v>0.12586464</v>
      </c>
      <c r="DZ138">
        <v>7.5974810000000004E-2</v>
      </c>
      <c r="EA138">
        <v>0.10627368</v>
      </c>
      <c r="EB138">
        <v>0.13659478</v>
      </c>
      <c r="EC138">
        <v>4.2473839999999999E-2</v>
      </c>
      <c r="ED138">
        <v>0.49263265000000001</v>
      </c>
      <c r="EE138">
        <v>0.1441924</v>
      </c>
      <c r="EF138">
        <v>5.6387960000000001E-2</v>
      </c>
      <c r="EG138">
        <v>0.13818887999999999</v>
      </c>
      <c r="EH138">
        <v>9.5323539999999998E-2</v>
      </c>
      <c r="EI138">
        <v>0.13234482</v>
      </c>
      <c r="EJ138">
        <v>0.23418379</v>
      </c>
      <c r="EK138">
        <v>0.21699057999999999</v>
      </c>
      <c r="EL138">
        <v>0.17412620000000001</v>
      </c>
      <c r="EM138">
        <v>0.12768809</v>
      </c>
      <c r="EN138">
        <v>0.21255927999999999</v>
      </c>
      <c r="EO138">
        <v>0.15473523</v>
      </c>
      <c r="EP138">
        <f t="shared" si="4"/>
        <v>0</v>
      </c>
      <c r="EQ138">
        <f>SUMIF('Mi portafolio'!$A$8:$A$19,$A138,'Mi portafolio'!$B$8:$B$19)</f>
        <v>0</v>
      </c>
    </row>
    <row r="139" spans="1:147" x14ac:dyDescent="0.25">
      <c r="A139" s="34" t="s">
        <v>217</v>
      </c>
      <c r="B139">
        <v>-1.0421059999999999E-2</v>
      </c>
      <c r="C139">
        <v>3.7962E-3</v>
      </c>
      <c r="D139">
        <v>5.58363E-3</v>
      </c>
      <c r="E139">
        <v>1.000647E-2</v>
      </c>
      <c r="F139">
        <v>-2.505806E-2</v>
      </c>
      <c r="G139">
        <v>4.48051E-3</v>
      </c>
      <c r="H139">
        <v>1.395396E-2</v>
      </c>
      <c r="I139">
        <v>-2.0114130000000001E-2</v>
      </c>
      <c r="J139">
        <v>-2.1690049999999999E-2</v>
      </c>
      <c r="K139">
        <v>-1.125572E-2</v>
      </c>
      <c r="L139">
        <v>1.6207920000000001E-2</v>
      </c>
      <c r="M139">
        <v>3.3156949999999998E-2</v>
      </c>
      <c r="N139">
        <v>-5.5940599999999997E-3</v>
      </c>
      <c r="O139">
        <v>1.5479669999999999E-2</v>
      </c>
      <c r="P139">
        <v>-1.5137960000000001E-2</v>
      </c>
      <c r="Q139">
        <v>9.1227700000000005E-3</v>
      </c>
      <c r="R139">
        <v>-2.164671E-2</v>
      </c>
      <c r="S139">
        <v>6.21778E-3</v>
      </c>
      <c r="T139">
        <v>2.4168769999999999E-2</v>
      </c>
      <c r="U139">
        <v>1.9684070000000001E-2</v>
      </c>
      <c r="V139">
        <v>6.9492299999999998E-3</v>
      </c>
      <c r="W139">
        <v>9.3280700000000008E-3</v>
      </c>
      <c r="X139">
        <v>3.2396269999999998E-2</v>
      </c>
      <c r="Y139">
        <v>-9.4982599999999997E-3</v>
      </c>
      <c r="Z139">
        <v>1.2046869999999999E-2</v>
      </c>
      <c r="AA139">
        <v>1.2885829999999999E-2</v>
      </c>
      <c r="AB139">
        <v>-1.8627350000000001E-2</v>
      </c>
      <c r="AC139">
        <v>1.8823309999999999E-2</v>
      </c>
      <c r="AD139">
        <v>2.9721620000000001E-2</v>
      </c>
      <c r="AE139">
        <v>3.012913E-2</v>
      </c>
      <c r="AF139">
        <v>2.847906E-2</v>
      </c>
      <c r="AG139">
        <v>-2.7144069999999999E-2</v>
      </c>
      <c r="AH139">
        <v>-3.1919240000000002E-2</v>
      </c>
      <c r="AI139">
        <v>-2.8419710000000001E-2</v>
      </c>
      <c r="AJ139">
        <v>1.344833E-2</v>
      </c>
      <c r="AK139">
        <v>3.6220929999999998E-2</v>
      </c>
      <c r="AL139">
        <v>1.9714209999999999E-2</v>
      </c>
      <c r="AM139">
        <v>3.5607939999999998E-2</v>
      </c>
      <c r="AN139">
        <v>1.4281840000000001E-2</v>
      </c>
      <c r="AO139">
        <v>-9.2866700000000003E-3</v>
      </c>
      <c r="AP139">
        <v>1.4427840000000001E-2</v>
      </c>
      <c r="AQ139">
        <v>-3.0045860000000001E-2</v>
      </c>
      <c r="AR139">
        <v>2.5733019999999999E-2</v>
      </c>
      <c r="AS139">
        <v>2.2300270000000001E-2</v>
      </c>
      <c r="AT139">
        <v>2.6998459999999998E-2</v>
      </c>
      <c r="AU139">
        <v>-1.067601E-2</v>
      </c>
      <c r="AV139">
        <v>1.6911280000000001E-2</v>
      </c>
      <c r="AW139">
        <v>3.2382139999999997E-2</v>
      </c>
      <c r="AX139">
        <v>-5.3525500000000002E-3</v>
      </c>
      <c r="AY139">
        <v>1.733956E-2</v>
      </c>
      <c r="AZ139">
        <v>4.9017669999999999E-2</v>
      </c>
      <c r="BA139">
        <v>3.478179E-2</v>
      </c>
      <c r="BB139">
        <v>6.3194459999999994E-2</v>
      </c>
      <c r="BC139">
        <v>2.2105409999999999E-2</v>
      </c>
      <c r="BD139">
        <v>3.5072440000000003E-2</v>
      </c>
      <c r="BE139">
        <v>-1.384734E-2</v>
      </c>
      <c r="BF139">
        <v>4.1280169999999998E-2</v>
      </c>
      <c r="BG139">
        <v>1.8602270000000001E-2</v>
      </c>
      <c r="BH139">
        <v>3.017514E-2</v>
      </c>
      <c r="BI139">
        <v>1.46933E-3</v>
      </c>
      <c r="BJ139">
        <v>8.0545200000000008E-3</v>
      </c>
      <c r="BK139">
        <v>5.2375320000000003E-2</v>
      </c>
      <c r="BL139">
        <v>8.5815500000000003E-2</v>
      </c>
      <c r="BM139">
        <v>9.3130999999999997E-4</v>
      </c>
      <c r="BN139">
        <v>2.7002470000000001E-2</v>
      </c>
      <c r="BO139">
        <v>5.830519E-2</v>
      </c>
      <c r="BP139">
        <v>3.8213629999999998E-2</v>
      </c>
      <c r="BQ139">
        <v>6.9617029999999996E-2</v>
      </c>
      <c r="BR139">
        <v>3.7026589999999998E-2</v>
      </c>
      <c r="BS139">
        <v>-1.277932E-2</v>
      </c>
      <c r="BT139">
        <v>7.3520959999999996E-2</v>
      </c>
      <c r="BU139">
        <v>1.7973119999999999E-2</v>
      </c>
      <c r="BV139">
        <v>6.2542979999999998E-2</v>
      </c>
      <c r="BW139">
        <v>3.1007739999999999E-2</v>
      </c>
      <c r="BX139">
        <v>-2.196789E-2</v>
      </c>
      <c r="BY139">
        <v>4.7727470000000001E-2</v>
      </c>
      <c r="BZ139">
        <v>6.7414769999999999E-2</v>
      </c>
      <c r="CA139">
        <v>2.1880989999999999E-2</v>
      </c>
      <c r="CB139">
        <v>-1.689425E-2</v>
      </c>
      <c r="CC139">
        <v>2.3189620000000001E-2</v>
      </c>
      <c r="CD139">
        <v>3.981697E-2</v>
      </c>
      <c r="CE139">
        <v>8.5344279999999995E-2</v>
      </c>
      <c r="CF139">
        <v>-2.5894980000000001E-2</v>
      </c>
      <c r="CG139">
        <v>1.7674209999999999E-2</v>
      </c>
      <c r="CH139">
        <v>9.4790470000000002E-2</v>
      </c>
      <c r="CI139">
        <v>-2.8140060000000001E-2</v>
      </c>
      <c r="CJ139">
        <v>-1.8883400000000001E-3</v>
      </c>
      <c r="CK139">
        <v>-7.1522599999999997E-3</v>
      </c>
      <c r="CL139">
        <v>6.5215339999999997E-2</v>
      </c>
      <c r="CM139">
        <v>0.13736023</v>
      </c>
      <c r="CN139">
        <v>2.3718900000000001E-2</v>
      </c>
      <c r="CO139">
        <v>4.4539769999999999E-2</v>
      </c>
      <c r="CP139">
        <v>5.9029350000000001E-2</v>
      </c>
      <c r="CQ139">
        <v>0.10214255</v>
      </c>
      <c r="CR139">
        <v>0.18287320000000001</v>
      </c>
      <c r="CS139">
        <v>0.15987209999999999</v>
      </c>
      <c r="CT139">
        <v>8.2310770000000005E-2</v>
      </c>
      <c r="CU139">
        <v>8.4128190000000005E-2</v>
      </c>
      <c r="CV139">
        <v>6.4733089999999993E-2</v>
      </c>
      <c r="CW139">
        <v>3.2665850000000003E-2</v>
      </c>
      <c r="CX139">
        <v>9.5026830000000007E-2</v>
      </c>
      <c r="CY139">
        <v>8.2294619999999999E-2</v>
      </c>
      <c r="CZ139">
        <v>1.421789E-2</v>
      </c>
      <c r="DA139">
        <v>2.8627699999999999E-2</v>
      </c>
      <c r="DB139">
        <v>0.14795422999999999</v>
      </c>
      <c r="DC139">
        <v>8.2658969999999998E-2</v>
      </c>
      <c r="DD139">
        <v>7.2698990000000005E-2</v>
      </c>
      <c r="DE139">
        <v>0.16637191000000001</v>
      </c>
      <c r="DF139">
        <v>-4.7732259999999999E-2</v>
      </c>
      <c r="DG139">
        <v>0.12917987</v>
      </c>
      <c r="DH139">
        <v>0.17288339999999999</v>
      </c>
      <c r="DI139">
        <v>0.11573007</v>
      </c>
      <c r="DJ139">
        <v>7.271176E-2</v>
      </c>
      <c r="DK139">
        <v>0.13880855</v>
      </c>
      <c r="DL139">
        <v>7.8123020000000001E-2</v>
      </c>
      <c r="DM139">
        <v>9.6470059999999996E-2</v>
      </c>
      <c r="DN139">
        <v>3.8290339999999999E-2</v>
      </c>
      <c r="DO139">
        <v>0.19644347000000001</v>
      </c>
      <c r="DP139">
        <v>8.1214690000000006E-2</v>
      </c>
      <c r="DQ139">
        <v>0.14590401</v>
      </c>
      <c r="DR139">
        <v>0.14018949</v>
      </c>
      <c r="DS139">
        <v>1.555876E-2</v>
      </c>
      <c r="DT139">
        <v>0.14262554999999999</v>
      </c>
      <c r="DU139">
        <v>0.15957298</v>
      </c>
      <c r="DV139">
        <v>0.10197373</v>
      </c>
      <c r="DW139">
        <v>3.6789269999999999E-2</v>
      </c>
      <c r="DX139">
        <v>0.26622406999999998</v>
      </c>
      <c r="DY139">
        <v>0.10505911</v>
      </c>
      <c r="DZ139">
        <v>3.875961E-2</v>
      </c>
      <c r="EA139">
        <v>0.12958454999999999</v>
      </c>
      <c r="EB139">
        <v>0.12473619</v>
      </c>
      <c r="EC139">
        <v>7.1915099999999996E-2</v>
      </c>
      <c r="ED139">
        <v>0.1441924</v>
      </c>
      <c r="EE139">
        <v>0.46995247000000001</v>
      </c>
      <c r="EF139">
        <v>0.13935587999999999</v>
      </c>
      <c r="EG139">
        <v>0.35283030999999998</v>
      </c>
      <c r="EH139">
        <v>1.0135659999999999E-2</v>
      </c>
      <c r="EI139">
        <v>0.35471447</v>
      </c>
      <c r="EJ139">
        <v>0.13812919000000001</v>
      </c>
      <c r="EK139">
        <v>0.31514615000000001</v>
      </c>
      <c r="EL139">
        <v>0.34889616000000001</v>
      </c>
      <c r="EM139">
        <v>0.17005256999999999</v>
      </c>
      <c r="EN139">
        <v>9.6602960000000002E-2</v>
      </c>
      <c r="EO139">
        <v>0.16350676</v>
      </c>
      <c r="EP139">
        <f t="shared" si="4"/>
        <v>0</v>
      </c>
      <c r="EQ139">
        <f>SUMIF('Mi portafolio'!$A$8:$A$19,$A139,'Mi portafolio'!$B$8:$B$19)</f>
        <v>0</v>
      </c>
    </row>
    <row r="140" spans="1:147" x14ac:dyDescent="0.25">
      <c r="A140" s="34" t="s">
        <v>218</v>
      </c>
      <c r="B140">
        <v>6.3518400000000001E-3</v>
      </c>
      <c r="C140">
        <v>1.376206E-2</v>
      </c>
      <c r="D140">
        <v>1.21654E-2</v>
      </c>
      <c r="E140">
        <v>9.4322000000000004E-4</v>
      </c>
      <c r="F140">
        <v>-9.7587400000000001E-3</v>
      </c>
      <c r="G140">
        <v>1.125018E-2</v>
      </c>
      <c r="H140">
        <v>-6.0282000000000001E-4</v>
      </c>
      <c r="I140">
        <v>-7.4043000000000004E-4</v>
      </c>
      <c r="J140">
        <v>7.5360899999999996E-3</v>
      </c>
      <c r="K140">
        <v>1.7294500000000001E-2</v>
      </c>
      <c r="L140">
        <v>1.063272E-2</v>
      </c>
      <c r="M140">
        <v>3.8238439999999999E-2</v>
      </c>
      <c r="N140">
        <v>2.4124240000000002E-2</v>
      </c>
      <c r="O140">
        <v>1.165044E-2</v>
      </c>
      <c r="P140">
        <v>-1.049624E-2</v>
      </c>
      <c r="Q140">
        <v>1.07949E-2</v>
      </c>
      <c r="R140">
        <v>1.131066E-2</v>
      </c>
      <c r="S140">
        <v>1.7418500000000001E-3</v>
      </c>
      <c r="T140">
        <v>4.4073950000000001E-2</v>
      </c>
      <c r="U140">
        <v>1.2933979999999999E-2</v>
      </c>
      <c r="V140">
        <v>1.122341E-2</v>
      </c>
      <c r="W140">
        <v>7.6983299999999998E-3</v>
      </c>
      <c r="X140">
        <v>4.8428690000000003E-2</v>
      </c>
      <c r="Y140">
        <v>1.8612900000000002E-2</v>
      </c>
      <c r="Z140">
        <v>2.6399740000000001E-2</v>
      </c>
      <c r="AA140">
        <v>7.0301999999999995E-4</v>
      </c>
      <c r="AB140">
        <v>1.6089780000000001E-2</v>
      </c>
      <c r="AC140">
        <v>-5.4458199999999997E-3</v>
      </c>
      <c r="AD140">
        <v>1.356182E-2</v>
      </c>
      <c r="AE140">
        <v>1.7055029999999999E-2</v>
      </c>
      <c r="AF140">
        <v>2.8690650000000002E-2</v>
      </c>
      <c r="AG140">
        <v>1.7597999999999999E-3</v>
      </c>
      <c r="AH140">
        <v>3.78496E-3</v>
      </c>
      <c r="AI140">
        <v>2.6814600000000001E-3</v>
      </c>
      <c r="AJ140">
        <v>1.799425E-2</v>
      </c>
      <c r="AK140">
        <v>2.5770789999999998E-2</v>
      </c>
      <c r="AL140">
        <v>4.9198640000000002E-2</v>
      </c>
      <c r="AM140">
        <v>2.6094599999999999E-2</v>
      </c>
      <c r="AN140">
        <v>2.4260799999999999E-2</v>
      </c>
      <c r="AO140">
        <v>1.3966E-3</v>
      </c>
      <c r="AP140">
        <v>2.4540849999999999E-2</v>
      </c>
      <c r="AQ140">
        <v>2.72368E-3</v>
      </c>
      <c r="AR140">
        <v>5.258384E-2</v>
      </c>
      <c r="AS140">
        <v>1.7239000000000001E-2</v>
      </c>
      <c r="AT140">
        <v>2.837922E-2</v>
      </c>
      <c r="AU140">
        <v>-1.2053599999999999E-3</v>
      </c>
      <c r="AV140">
        <v>2.1592090000000001E-2</v>
      </c>
      <c r="AW140">
        <v>3.4069509999999997E-2</v>
      </c>
      <c r="AX140">
        <v>-5.8775199999999998E-3</v>
      </c>
      <c r="AY140">
        <v>3.699537E-2</v>
      </c>
      <c r="AZ140">
        <v>2.97655E-2</v>
      </c>
      <c r="BA140">
        <v>3.802316E-2</v>
      </c>
      <c r="BB140">
        <v>6.7803479999999999E-2</v>
      </c>
      <c r="BC140">
        <v>7.6286799999999997E-3</v>
      </c>
      <c r="BD140">
        <v>1.8601119999999999E-2</v>
      </c>
      <c r="BE140">
        <v>2.7772370000000001E-2</v>
      </c>
      <c r="BF140">
        <v>3.1036749999999998E-2</v>
      </c>
      <c r="BG140">
        <v>4.0637140000000002E-2</v>
      </c>
      <c r="BH140">
        <v>1.6867150000000001E-2</v>
      </c>
      <c r="BI140">
        <v>1.339864E-2</v>
      </c>
      <c r="BJ140">
        <v>1.125263E-2</v>
      </c>
      <c r="BK140">
        <v>2.7721559999999999E-2</v>
      </c>
      <c r="BL140">
        <v>0.10478648</v>
      </c>
      <c r="BM140">
        <v>2.1799430000000002E-2</v>
      </c>
      <c r="BN140">
        <v>2.4035870000000001E-2</v>
      </c>
      <c r="BO140">
        <v>1.6903430000000001E-2</v>
      </c>
      <c r="BP140">
        <v>1.5519059999999999E-2</v>
      </c>
      <c r="BQ140">
        <v>6.1920889999999999E-2</v>
      </c>
      <c r="BR140">
        <v>6.0050390000000002E-2</v>
      </c>
      <c r="BS140">
        <v>5.4343200000000003E-3</v>
      </c>
      <c r="BT140">
        <v>7.2038829999999998E-2</v>
      </c>
      <c r="BU140">
        <v>1.043672E-2</v>
      </c>
      <c r="BV140">
        <v>2.682143E-2</v>
      </c>
      <c r="BW140">
        <v>3.5483470000000003E-2</v>
      </c>
      <c r="BX140">
        <v>1.8613499999999999E-3</v>
      </c>
      <c r="BY140">
        <v>3.103827E-2</v>
      </c>
      <c r="BZ140">
        <v>6.9940879999999997E-2</v>
      </c>
      <c r="CA140">
        <v>1.8667179999999998E-2</v>
      </c>
      <c r="CB140">
        <v>1.011716E-2</v>
      </c>
      <c r="CC140">
        <v>2.0012329999999998E-2</v>
      </c>
      <c r="CD140">
        <v>1.7784879999999999E-2</v>
      </c>
      <c r="CE140">
        <v>6.1493109999999997E-2</v>
      </c>
      <c r="CF140">
        <v>5.4413100000000004E-3</v>
      </c>
      <c r="CG140">
        <v>2.1650490000000001E-2</v>
      </c>
      <c r="CH140">
        <v>8.7630330000000006E-2</v>
      </c>
      <c r="CI140">
        <v>2.9177299999999999E-3</v>
      </c>
      <c r="CJ140">
        <v>2.3870120000000002E-2</v>
      </c>
      <c r="CK140">
        <v>3.5162079999999998E-2</v>
      </c>
      <c r="CL140">
        <v>5.1400130000000002E-2</v>
      </c>
      <c r="CM140">
        <v>7.3856379999999999E-2</v>
      </c>
      <c r="CN140">
        <v>1.8237840000000002E-2</v>
      </c>
      <c r="CO140">
        <v>1.6208460000000001E-2</v>
      </c>
      <c r="CP140">
        <v>4.6601789999999997E-2</v>
      </c>
      <c r="CQ140">
        <v>8.9301779999999997E-2</v>
      </c>
      <c r="CR140">
        <v>8.0921010000000002E-2</v>
      </c>
      <c r="CS140">
        <v>9.5395900000000006E-2</v>
      </c>
      <c r="CT140">
        <v>4.1633009999999998E-2</v>
      </c>
      <c r="CU140">
        <v>6.3168870000000002E-2</v>
      </c>
      <c r="CV140">
        <v>4.7163700000000003E-2</v>
      </c>
      <c r="CW140">
        <v>2.6213299999999998E-2</v>
      </c>
      <c r="CX140">
        <v>6.8514220000000001E-2</v>
      </c>
      <c r="CY140">
        <v>7.969511E-2</v>
      </c>
      <c r="CZ140">
        <v>1.443583E-2</v>
      </c>
      <c r="DA140">
        <v>3.1207550000000001E-2</v>
      </c>
      <c r="DB140">
        <v>4.9202570000000001E-2</v>
      </c>
      <c r="DC140">
        <v>4.8492100000000003E-2</v>
      </c>
      <c r="DD140">
        <v>7.3967889999999994E-2</v>
      </c>
      <c r="DE140">
        <v>0.13702792</v>
      </c>
      <c r="DF140">
        <v>6.8665000000000002E-3</v>
      </c>
      <c r="DG140">
        <v>0.12705647</v>
      </c>
      <c r="DH140">
        <v>9.2806369999999999E-2</v>
      </c>
      <c r="DI140">
        <v>7.1896879999999996E-2</v>
      </c>
      <c r="DJ140">
        <v>6.3922240000000005E-2</v>
      </c>
      <c r="DK140">
        <v>0.11123914999999999</v>
      </c>
      <c r="DL140">
        <v>7.7279020000000004E-2</v>
      </c>
      <c r="DM140">
        <v>9.7539500000000001E-2</v>
      </c>
      <c r="DN140">
        <v>6.3977660000000006E-2</v>
      </c>
      <c r="DO140">
        <v>0.11102589</v>
      </c>
      <c r="DP140">
        <v>9.1178090000000003E-2</v>
      </c>
      <c r="DQ140">
        <v>0.10157720000000001</v>
      </c>
      <c r="DR140">
        <v>0.15687603999999999</v>
      </c>
      <c r="DS140">
        <v>2.6456540000000001E-2</v>
      </c>
      <c r="DT140">
        <v>3.9060339999999999E-2</v>
      </c>
      <c r="DU140">
        <v>0.12780246000000001</v>
      </c>
      <c r="DV140">
        <v>8.0918080000000003E-2</v>
      </c>
      <c r="DW140">
        <v>5.7578570000000003E-2</v>
      </c>
      <c r="DX140">
        <v>0.10771987</v>
      </c>
      <c r="DY140">
        <v>0.10756446</v>
      </c>
      <c r="DZ140">
        <v>4.47964E-2</v>
      </c>
      <c r="EA140">
        <v>0.10498464</v>
      </c>
      <c r="EB140">
        <v>0.12111237</v>
      </c>
      <c r="EC140">
        <v>3.9712959999999999E-2</v>
      </c>
      <c r="ED140">
        <v>5.6387960000000001E-2</v>
      </c>
      <c r="EE140">
        <v>0.13935587999999999</v>
      </c>
      <c r="EF140">
        <v>0.4965349</v>
      </c>
      <c r="EG140">
        <v>0.14531461000000001</v>
      </c>
      <c r="EH140">
        <v>2.9857720000000001E-2</v>
      </c>
      <c r="EI140">
        <v>0.16345435</v>
      </c>
      <c r="EJ140">
        <v>5.1793510000000001E-2</v>
      </c>
      <c r="EK140">
        <v>0.16721201999999999</v>
      </c>
      <c r="EL140">
        <v>0.19873584</v>
      </c>
      <c r="EM140">
        <v>0.11424469</v>
      </c>
      <c r="EN140">
        <v>-2.1082000000000002E-3</v>
      </c>
      <c r="EO140">
        <v>2.275245E-2</v>
      </c>
      <c r="EP140">
        <f t="shared" si="4"/>
        <v>0</v>
      </c>
      <c r="EQ140">
        <f>SUMIF('Mi portafolio'!$A$8:$A$19,$A140,'Mi portafolio'!$B$8:$B$19)</f>
        <v>0</v>
      </c>
    </row>
    <row r="141" spans="1:147" x14ac:dyDescent="0.25">
      <c r="A141" s="34" t="s">
        <v>219</v>
      </c>
      <c r="B141">
        <v>-8.2623200000000001E-3</v>
      </c>
      <c r="C141">
        <v>9.8704099999999996E-3</v>
      </c>
      <c r="D141">
        <v>-1.6450799999999999E-3</v>
      </c>
      <c r="E141">
        <v>7.8836400000000008E-3</v>
      </c>
      <c r="F141">
        <v>-1.4710920000000001E-2</v>
      </c>
      <c r="G141">
        <v>8.6555899999999995E-3</v>
      </c>
      <c r="H141">
        <v>1.447763E-2</v>
      </c>
      <c r="I141">
        <v>-2.5751039999999999E-2</v>
      </c>
      <c r="J141">
        <v>-1.6295560000000001E-2</v>
      </c>
      <c r="K141">
        <v>-1.3394929999999999E-2</v>
      </c>
      <c r="L141">
        <v>3.1997249999999998E-2</v>
      </c>
      <c r="M141">
        <v>3.8771390000000003E-2</v>
      </c>
      <c r="N141">
        <v>2.7437899999999999E-3</v>
      </c>
      <c r="O141">
        <v>1.8211430000000001E-2</v>
      </c>
      <c r="P141">
        <v>-1.048813E-2</v>
      </c>
      <c r="Q141">
        <v>1.7412980000000002E-2</v>
      </c>
      <c r="R141">
        <v>-1.8021180000000001E-2</v>
      </c>
      <c r="S141">
        <v>1.7053180000000001E-2</v>
      </c>
      <c r="T141">
        <v>2.3851939999999999E-2</v>
      </c>
      <c r="U141">
        <v>1.6084029999999999E-2</v>
      </c>
      <c r="V141">
        <v>-2.7716999999999998E-4</v>
      </c>
      <c r="W141">
        <v>1.6898349999999999E-2</v>
      </c>
      <c r="X141">
        <v>2.5464770000000001E-2</v>
      </c>
      <c r="Y141">
        <v>-5.8442700000000004E-3</v>
      </c>
      <c r="Z141">
        <v>9.1162399999999994E-3</v>
      </c>
      <c r="AA141">
        <v>2.1230260000000001E-2</v>
      </c>
      <c r="AB141">
        <v>-1.203021E-2</v>
      </c>
      <c r="AC141">
        <v>3.4064199999999998E-3</v>
      </c>
      <c r="AD141">
        <v>3.7125329999999998E-2</v>
      </c>
      <c r="AE141">
        <v>2.6017760000000001E-2</v>
      </c>
      <c r="AF141">
        <v>4.1313709999999997E-2</v>
      </c>
      <c r="AG141">
        <v>-4.1612209999999997E-2</v>
      </c>
      <c r="AH141">
        <v>-3.6682770000000003E-2</v>
      </c>
      <c r="AI141">
        <v>-3.0496209999999999E-2</v>
      </c>
      <c r="AJ141">
        <v>8.1559700000000002E-3</v>
      </c>
      <c r="AK141">
        <v>4.0980259999999998E-2</v>
      </c>
      <c r="AL141">
        <v>1.8529589999999999E-2</v>
      </c>
      <c r="AM141">
        <v>2.2944050000000001E-2</v>
      </c>
      <c r="AN141">
        <v>1.6829070000000002E-2</v>
      </c>
      <c r="AO141">
        <v>-1.5998510000000001E-2</v>
      </c>
      <c r="AP141">
        <v>6.8806400000000004E-3</v>
      </c>
      <c r="AQ141">
        <v>-3.0980210000000001E-2</v>
      </c>
      <c r="AR141">
        <v>1.8205989999999998E-2</v>
      </c>
      <c r="AS141">
        <v>2.6534019999999998E-2</v>
      </c>
      <c r="AT141">
        <v>2.3393799999999999E-2</v>
      </c>
      <c r="AU141">
        <v>-4.0706900000000001E-3</v>
      </c>
      <c r="AV141">
        <v>2.2551439999999999E-2</v>
      </c>
      <c r="AW141">
        <v>4.8275770000000003E-2</v>
      </c>
      <c r="AX141">
        <v>-7.7116199999999998E-3</v>
      </c>
      <c r="AY141">
        <v>3.9530000000000003E-2</v>
      </c>
      <c r="AZ141">
        <v>5.556933E-2</v>
      </c>
      <c r="BA141">
        <v>4.114429E-2</v>
      </c>
      <c r="BB141">
        <v>6.4276669999999994E-2</v>
      </c>
      <c r="BC141">
        <v>1.9551559999999999E-2</v>
      </c>
      <c r="BD141">
        <v>2.9697029999999999E-2</v>
      </c>
      <c r="BE141">
        <v>2.2598100000000001E-3</v>
      </c>
      <c r="BF141">
        <v>3.1794269999999999E-2</v>
      </c>
      <c r="BG141">
        <v>1.5642920000000001E-2</v>
      </c>
      <c r="BH141">
        <v>1.865756E-2</v>
      </c>
      <c r="BI141">
        <v>1.498969E-2</v>
      </c>
      <c r="BJ141">
        <v>1.471256E-2</v>
      </c>
      <c r="BK141">
        <v>4.1205510000000001E-2</v>
      </c>
      <c r="BL141">
        <v>8.4434380000000003E-2</v>
      </c>
      <c r="BM141">
        <v>9.4859000000000002E-4</v>
      </c>
      <c r="BN141">
        <v>1.3993830000000001E-2</v>
      </c>
      <c r="BO141">
        <v>5.8588679999999997E-2</v>
      </c>
      <c r="BP141">
        <v>9.9610800000000006E-3</v>
      </c>
      <c r="BQ141">
        <v>6.8675260000000002E-2</v>
      </c>
      <c r="BR141">
        <v>4.6256119999999998E-2</v>
      </c>
      <c r="BS141">
        <v>-1.5338310000000001E-2</v>
      </c>
      <c r="BT141">
        <v>6.7803539999999995E-2</v>
      </c>
      <c r="BU141">
        <v>9.0318299999999994E-3</v>
      </c>
      <c r="BV141">
        <v>5.4796490000000003E-2</v>
      </c>
      <c r="BW141">
        <v>2.5349569999999998E-2</v>
      </c>
      <c r="BX141">
        <v>-4.5312199999999999E-3</v>
      </c>
      <c r="BY141">
        <v>4.0589600000000003E-2</v>
      </c>
      <c r="BZ141">
        <v>7.3424279999999995E-2</v>
      </c>
      <c r="CA141">
        <v>2.8643519999999999E-2</v>
      </c>
      <c r="CB141">
        <v>-9.5958299999999996E-3</v>
      </c>
      <c r="CC141">
        <v>2.2926080000000001E-2</v>
      </c>
      <c r="CD141">
        <v>1.0591740000000001E-2</v>
      </c>
      <c r="CE141">
        <v>7.3625800000000005E-2</v>
      </c>
      <c r="CF141">
        <v>-1.7072380000000002E-2</v>
      </c>
      <c r="CG141">
        <v>2.4689579999999999E-2</v>
      </c>
      <c r="CH141">
        <v>9.8910659999999997E-2</v>
      </c>
      <c r="CI141">
        <v>-3.5835930000000002E-2</v>
      </c>
      <c r="CJ141">
        <v>-1.6654539999999999E-2</v>
      </c>
      <c r="CK141">
        <v>-5.2923800000000002E-3</v>
      </c>
      <c r="CL141">
        <v>3.8994309999999997E-2</v>
      </c>
      <c r="CM141">
        <v>0.11656344</v>
      </c>
      <c r="CN141">
        <v>2.3268790000000001E-2</v>
      </c>
      <c r="CO141">
        <v>4.8202050000000003E-2</v>
      </c>
      <c r="CP141">
        <v>6.6106410000000004E-2</v>
      </c>
      <c r="CQ141">
        <v>8.9073769999999997E-2</v>
      </c>
      <c r="CR141">
        <v>0.16588438999999999</v>
      </c>
      <c r="CS141">
        <v>0.15610869999999999</v>
      </c>
      <c r="CT141">
        <v>6.5958050000000004E-2</v>
      </c>
      <c r="CU141">
        <v>5.5345459999999999E-2</v>
      </c>
      <c r="CV141">
        <v>5.786285E-2</v>
      </c>
      <c r="CW141">
        <v>1.0319190000000001E-2</v>
      </c>
      <c r="CX141">
        <v>7.1218379999999998E-2</v>
      </c>
      <c r="CY141">
        <v>9.2682799999999996E-2</v>
      </c>
      <c r="CZ141">
        <v>2.4009329999999999E-2</v>
      </c>
      <c r="DA141">
        <v>1.1239900000000001E-3</v>
      </c>
      <c r="DB141">
        <v>0.13715421</v>
      </c>
      <c r="DC141">
        <v>9.973514E-2</v>
      </c>
      <c r="DD141">
        <v>6.4205490000000004E-2</v>
      </c>
      <c r="DE141">
        <v>0.14248377000000001</v>
      </c>
      <c r="DF141">
        <v>-3.8388180000000001E-2</v>
      </c>
      <c r="DG141">
        <v>9.8323789999999994E-2</v>
      </c>
      <c r="DH141">
        <v>0.16180407999999999</v>
      </c>
      <c r="DI141">
        <v>0.1147425</v>
      </c>
      <c r="DJ141">
        <v>7.1660249999999995E-2</v>
      </c>
      <c r="DK141">
        <v>0.13703837999999999</v>
      </c>
      <c r="DL141">
        <v>7.1745970000000006E-2</v>
      </c>
      <c r="DM141">
        <v>8.9633470000000007E-2</v>
      </c>
      <c r="DN141">
        <v>5.0737339999999999E-2</v>
      </c>
      <c r="DO141">
        <v>0.20892547</v>
      </c>
      <c r="DP141">
        <v>7.8553230000000002E-2</v>
      </c>
      <c r="DQ141">
        <v>0.10588195</v>
      </c>
      <c r="DR141">
        <v>0.13224653</v>
      </c>
      <c r="DS141">
        <v>-9.8527700000000003E-3</v>
      </c>
      <c r="DT141">
        <v>9.919915E-2</v>
      </c>
      <c r="DU141">
        <v>0.1097361</v>
      </c>
      <c r="DV141">
        <v>4.9432139999999999E-2</v>
      </c>
      <c r="DW141">
        <v>1.005585E-2</v>
      </c>
      <c r="DX141">
        <v>0.27978071999999998</v>
      </c>
      <c r="DY141">
        <v>9.9940959999999995E-2</v>
      </c>
      <c r="DZ141">
        <v>4.6516229999999999E-2</v>
      </c>
      <c r="EA141">
        <v>0.11687742</v>
      </c>
      <c r="EB141">
        <v>0.10260996</v>
      </c>
      <c r="EC141">
        <v>0.10411423</v>
      </c>
      <c r="ED141">
        <v>0.13818887999999999</v>
      </c>
      <c r="EE141">
        <v>0.35283030999999998</v>
      </c>
      <c r="EF141">
        <v>0.14531461000000001</v>
      </c>
      <c r="EG141">
        <v>0.59853701999999998</v>
      </c>
      <c r="EH141">
        <v>2.2849209999999998E-2</v>
      </c>
      <c r="EI141">
        <v>0.37560644999999998</v>
      </c>
      <c r="EJ141">
        <v>0.13466532000000001</v>
      </c>
      <c r="EK141">
        <v>0.26295636999999999</v>
      </c>
      <c r="EL141">
        <v>0.29916239999999999</v>
      </c>
      <c r="EM141">
        <v>0.11175488</v>
      </c>
      <c r="EN141">
        <v>0.11194773</v>
      </c>
      <c r="EO141">
        <v>0.1190278</v>
      </c>
      <c r="EP141">
        <f t="shared" si="4"/>
        <v>0</v>
      </c>
      <c r="EQ141">
        <f>SUMIF('Mi portafolio'!$A$8:$A$19,$A141,'Mi portafolio'!$B$8:$B$19)</f>
        <v>0</v>
      </c>
    </row>
    <row r="142" spans="1:147" x14ac:dyDescent="0.25">
      <c r="A142" s="34" t="s">
        <v>220</v>
      </c>
      <c r="B142">
        <v>8.54188E-3</v>
      </c>
      <c r="C142">
        <v>-2.9546999999999999E-4</v>
      </c>
      <c r="D142">
        <v>1.0786799999999999E-2</v>
      </c>
      <c r="E142">
        <v>-3.5125600000000001E-3</v>
      </c>
      <c r="F142">
        <v>9.1148500000000007E-3</v>
      </c>
      <c r="G142">
        <v>-1.1106909999999999E-2</v>
      </c>
      <c r="H142">
        <v>-7.04909E-3</v>
      </c>
      <c r="I142">
        <v>2.2695460000000001E-2</v>
      </c>
      <c r="J142">
        <v>2.3186000000000001E-3</v>
      </c>
      <c r="K142">
        <v>-6.9278000000000005E-4</v>
      </c>
      <c r="L142">
        <v>-1.235E-5</v>
      </c>
      <c r="M142">
        <v>2.3978300000000001E-2</v>
      </c>
      <c r="N142">
        <v>1.9474640000000001E-2</v>
      </c>
      <c r="O142">
        <v>-2.0731940000000001E-2</v>
      </c>
      <c r="P142">
        <v>1.420983E-2</v>
      </c>
      <c r="Q142">
        <v>2.75603E-3</v>
      </c>
      <c r="R142">
        <v>2.6659700000000001E-3</v>
      </c>
      <c r="S142">
        <v>-1.4081369999999999E-2</v>
      </c>
      <c r="T142">
        <v>2.3203029999999999E-2</v>
      </c>
      <c r="U142">
        <v>-5.6756699999999998E-3</v>
      </c>
      <c r="V142">
        <v>-1.488545E-2</v>
      </c>
      <c r="W142">
        <v>-4.9132300000000002E-3</v>
      </c>
      <c r="X142">
        <v>9.0059600000000004E-3</v>
      </c>
      <c r="Y142">
        <v>4.0500420000000002E-2</v>
      </c>
      <c r="Z142">
        <v>4.34878E-3</v>
      </c>
      <c r="AA142">
        <v>3.4018899999999999E-3</v>
      </c>
      <c r="AB142">
        <v>3.9945229999999998E-2</v>
      </c>
      <c r="AC142">
        <v>-1.948956E-2</v>
      </c>
      <c r="AD142">
        <v>-1.524344E-2</v>
      </c>
      <c r="AE142">
        <v>-1.2940439999999999E-2</v>
      </c>
      <c r="AF142">
        <v>-2.5380380000000001E-2</v>
      </c>
      <c r="AG142">
        <v>7.8949199999999997E-3</v>
      </c>
      <c r="AH142">
        <v>6.156E-4</v>
      </c>
      <c r="AI142">
        <v>-1.1749010000000001E-2</v>
      </c>
      <c r="AJ142">
        <v>-7.40722E-3</v>
      </c>
      <c r="AK142">
        <v>-7.7894399999999999E-3</v>
      </c>
      <c r="AL142">
        <v>4.4087170000000002E-2</v>
      </c>
      <c r="AM142">
        <v>9.9942199999999998E-3</v>
      </c>
      <c r="AN142">
        <v>1.895372E-2</v>
      </c>
      <c r="AO142">
        <v>1.5651040000000001E-2</v>
      </c>
      <c r="AP142">
        <v>4.1845680000000003E-2</v>
      </c>
      <c r="AQ142">
        <v>-1.494733E-2</v>
      </c>
      <c r="AR142">
        <v>3.1475749999999997E-2</v>
      </c>
      <c r="AS142">
        <v>-6.9011899999999998E-3</v>
      </c>
      <c r="AT142">
        <v>5.8282420000000001E-2</v>
      </c>
      <c r="AU142">
        <v>8.4552E-4</v>
      </c>
      <c r="AV142">
        <v>8.7553500000000003E-3</v>
      </c>
      <c r="AW142">
        <v>-8.3831900000000004E-3</v>
      </c>
      <c r="AX142">
        <v>7.28292E-3</v>
      </c>
      <c r="AY142">
        <v>3.2365539999999998E-2</v>
      </c>
      <c r="AZ142">
        <v>-3.2920699999999998E-3</v>
      </c>
      <c r="BA142">
        <v>1.5055699999999999E-3</v>
      </c>
      <c r="BB142">
        <v>4.9428720000000002E-2</v>
      </c>
      <c r="BC142">
        <v>8.4873499999999994E-3</v>
      </c>
      <c r="BD142">
        <v>1.357045E-2</v>
      </c>
      <c r="BE142">
        <v>1.9876080000000001E-2</v>
      </c>
      <c r="BF142">
        <v>9.6719000000000004E-4</v>
      </c>
      <c r="BG142">
        <v>4.7564339999999997E-2</v>
      </c>
      <c r="BH142">
        <v>5.4889400000000003E-3</v>
      </c>
      <c r="BI142">
        <v>-1.5789480000000002E-2</v>
      </c>
      <c r="BJ142">
        <v>-2.7265890000000001E-2</v>
      </c>
      <c r="BK142">
        <v>-1.4361530000000001E-2</v>
      </c>
      <c r="BL142">
        <v>5.3022199999999998E-3</v>
      </c>
      <c r="BM142">
        <v>3.583302E-2</v>
      </c>
      <c r="BN142">
        <v>-1.111495E-2</v>
      </c>
      <c r="BO142">
        <v>5.6962529999999997E-2</v>
      </c>
      <c r="BP142">
        <v>7.1798029999999999E-2</v>
      </c>
      <c r="BQ142">
        <v>4.52901E-3</v>
      </c>
      <c r="BR142">
        <v>5.6883290000000003E-2</v>
      </c>
      <c r="BS142">
        <v>-1.2313960000000001E-2</v>
      </c>
      <c r="BT142">
        <v>2.6454709999999999E-2</v>
      </c>
      <c r="BU142">
        <v>-1.6480559999999998E-2</v>
      </c>
      <c r="BV142">
        <v>7.200426E-2</v>
      </c>
      <c r="BW142">
        <v>4.8741659999999999E-2</v>
      </c>
      <c r="BX142">
        <v>4.0226030000000003E-2</v>
      </c>
      <c r="BY142">
        <v>3.5604089999999998E-2</v>
      </c>
      <c r="BZ142">
        <v>5.2761259999999997E-2</v>
      </c>
      <c r="CA142">
        <v>-3.098294E-2</v>
      </c>
      <c r="CB142">
        <v>1.91624E-3</v>
      </c>
      <c r="CC142">
        <v>3.4178050000000001E-2</v>
      </c>
      <c r="CD142">
        <v>7.3101849999999996E-2</v>
      </c>
      <c r="CE142">
        <v>5.95066E-3</v>
      </c>
      <c r="CF142">
        <v>-1.091553E-2</v>
      </c>
      <c r="CG142">
        <v>8.9834280000000002E-2</v>
      </c>
      <c r="CH142">
        <v>-2.1911219999999999E-2</v>
      </c>
      <c r="CI142">
        <v>-3.1379650000000002E-2</v>
      </c>
      <c r="CJ142">
        <v>9.4245449999999995E-2</v>
      </c>
      <c r="CK142">
        <v>5.3875409999999999E-2</v>
      </c>
      <c r="CL142">
        <v>4.1447100000000001E-2</v>
      </c>
      <c r="CM142">
        <v>3.9117829999999999E-2</v>
      </c>
      <c r="CN142">
        <v>-2.2221959999999999E-2</v>
      </c>
      <c r="CO142">
        <v>2.5883860000000002E-2</v>
      </c>
      <c r="CP142">
        <v>5.2373019999999999E-2</v>
      </c>
      <c r="CQ142">
        <v>5.0313429999999999E-2</v>
      </c>
      <c r="CR142">
        <v>3.0827219999999999E-2</v>
      </c>
      <c r="CS142">
        <v>-2.0308050000000001E-2</v>
      </c>
      <c r="CT142">
        <v>6.6773910000000006E-2</v>
      </c>
      <c r="CU142">
        <v>4.2385100000000002E-2</v>
      </c>
      <c r="CV142">
        <v>5.7066359999999997E-2</v>
      </c>
      <c r="CW142">
        <v>0.1087236</v>
      </c>
      <c r="CX142">
        <v>7.3986399999999994E-2</v>
      </c>
      <c r="CY142">
        <v>5.4670160000000002E-2</v>
      </c>
      <c r="CZ142">
        <v>0.10410792000000001</v>
      </c>
      <c r="DA142">
        <v>0.13803890999999999</v>
      </c>
      <c r="DB142">
        <v>4.7233989999999997E-2</v>
      </c>
      <c r="DC142">
        <v>5.5942000000000003E-4</v>
      </c>
      <c r="DD142">
        <v>0.13365044000000001</v>
      </c>
      <c r="DE142">
        <v>6.6254299999999999E-3</v>
      </c>
      <c r="DF142">
        <v>0.1207994</v>
      </c>
      <c r="DG142">
        <v>2.6417599999999999E-3</v>
      </c>
      <c r="DH142">
        <v>4.271871E-2</v>
      </c>
      <c r="DI142">
        <v>6.071124E-2</v>
      </c>
      <c r="DJ142">
        <v>4.1047960000000001E-2</v>
      </c>
      <c r="DK142">
        <v>5.621636E-2</v>
      </c>
      <c r="DL142">
        <v>-4.1839220000000003E-2</v>
      </c>
      <c r="DM142">
        <v>6.0870359999999998E-2</v>
      </c>
      <c r="DN142">
        <v>0.10308633</v>
      </c>
      <c r="DO142">
        <v>-2.2873199999999998E-3</v>
      </c>
      <c r="DP142">
        <v>8.1430649999999993E-2</v>
      </c>
      <c r="DQ142">
        <v>3.5891079999999999E-2</v>
      </c>
      <c r="DR142">
        <v>1.393528E-2</v>
      </c>
      <c r="DS142">
        <v>9.8336590000000001E-2</v>
      </c>
      <c r="DT142">
        <v>8.1664089999999995E-2</v>
      </c>
      <c r="DU142">
        <v>0.13294180999999999</v>
      </c>
      <c r="DV142">
        <v>0.11190905</v>
      </c>
      <c r="DW142">
        <v>0.20190115</v>
      </c>
      <c r="DX142">
        <v>6.8064999999999998E-4</v>
      </c>
      <c r="DY142">
        <v>0.17381750000000001</v>
      </c>
      <c r="DZ142">
        <v>0.12919243</v>
      </c>
      <c r="EA142">
        <v>3.1358949999999997E-2</v>
      </c>
      <c r="EB142">
        <v>0.19004461</v>
      </c>
      <c r="EC142">
        <v>-6.2217100000000001E-3</v>
      </c>
      <c r="ED142">
        <v>9.5323539999999998E-2</v>
      </c>
      <c r="EE142">
        <v>1.0135659999999999E-2</v>
      </c>
      <c r="EF142">
        <v>2.9857720000000001E-2</v>
      </c>
      <c r="EG142">
        <v>2.2849209999999998E-2</v>
      </c>
      <c r="EH142">
        <v>0.63029473000000003</v>
      </c>
      <c r="EI142">
        <v>3.1500630000000002E-2</v>
      </c>
      <c r="EJ142">
        <v>0.1311233</v>
      </c>
      <c r="EK142">
        <v>0.1256958</v>
      </c>
      <c r="EL142">
        <v>8.513656E-2</v>
      </c>
      <c r="EM142">
        <v>0.29020443000000001</v>
      </c>
      <c r="EN142">
        <v>0.11495515000000001</v>
      </c>
      <c r="EO142">
        <v>8.9999319999999994E-2</v>
      </c>
      <c r="EP142">
        <f t="shared" si="4"/>
        <v>0</v>
      </c>
      <c r="EQ142">
        <f>SUMIF('Mi portafolio'!$A$8:$A$19,$A142,'Mi portafolio'!$B$8:$B$19)</f>
        <v>0</v>
      </c>
    </row>
    <row r="143" spans="1:147" x14ac:dyDescent="0.25">
      <c r="A143" s="34" t="s">
        <v>221</v>
      </c>
      <c r="B143">
        <v>-2.6351670000000001E-2</v>
      </c>
      <c r="C143">
        <v>2.71397E-3</v>
      </c>
      <c r="D143">
        <v>9.2971700000000004E-3</v>
      </c>
      <c r="E143">
        <v>-3.3923E-3</v>
      </c>
      <c r="F143">
        <v>-3.352807E-2</v>
      </c>
      <c r="G143">
        <v>1.4867700000000001E-3</v>
      </c>
      <c r="H143">
        <v>5.0791500000000002E-3</v>
      </c>
      <c r="I143">
        <v>-3.8017500000000003E-2</v>
      </c>
      <c r="J143">
        <v>-3.0563130000000001E-2</v>
      </c>
      <c r="K143">
        <v>-4.0831010000000001E-2</v>
      </c>
      <c r="L143">
        <v>1.3461829999999999E-2</v>
      </c>
      <c r="M143">
        <v>3.2544799999999999E-2</v>
      </c>
      <c r="N143">
        <v>-6.6416399999999999E-3</v>
      </c>
      <c r="O143">
        <v>1.94297E-3</v>
      </c>
      <c r="P143">
        <v>-3.5490580000000001E-2</v>
      </c>
      <c r="Q143">
        <v>1.31066E-3</v>
      </c>
      <c r="R143">
        <v>-4.7570929999999997E-2</v>
      </c>
      <c r="S143">
        <v>6.4820000000000003E-4</v>
      </c>
      <c r="T143">
        <v>1.324784E-2</v>
      </c>
      <c r="U143">
        <v>3.3086499999999998E-3</v>
      </c>
      <c r="V143">
        <v>-4.6475199999999996E-3</v>
      </c>
      <c r="W143">
        <v>3.6159500000000002E-3</v>
      </c>
      <c r="X143">
        <v>1.7593089999999999E-2</v>
      </c>
      <c r="Y143">
        <v>-2.361686E-2</v>
      </c>
      <c r="Z143">
        <v>1.8402089999999999E-2</v>
      </c>
      <c r="AA143">
        <v>1.1654609999999999E-2</v>
      </c>
      <c r="AB143">
        <v>-2.7780920000000001E-2</v>
      </c>
      <c r="AC143">
        <v>4.3097500000000002E-3</v>
      </c>
      <c r="AD143">
        <v>2.263014E-2</v>
      </c>
      <c r="AE143">
        <v>3.5316630000000002E-2</v>
      </c>
      <c r="AF143">
        <v>2.4293390000000002E-2</v>
      </c>
      <c r="AG143">
        <v>-4.7925719999999998E-2</v>
      </c>
      <c r="AH143">
        <v>-4.4824240000000001E-2</v>
      </c>
      <c r="AI143">
        <v>-4.140804E-2</v>
      </c>
      <c r="AJ143">
        <v>1.5182380000000001E-2</v>
      </c>
      <c r="AK143">
        <v>3.496602E-2</v>
      </c>
      <c r="AL143">
        <v>-3.2920000000000003E-5</v>
      </c>
      <c r="AM143">
        <v>5.1030299999999997E-3</v>
      </c>
      <c r="AN143">
        <v>2.6348700000000001E-3</v>
      </c>
      <c r="AO143">
        <v>-2.1653180000000001E-2</v>
      </c>
      <c r="AP143">
        <v>-2.0003960000000001E-2</v>
      </c>
      <c r="AQ143">
        <v>-3.4538199999999998E-2</v>
      </c>
      <c r="AR143">
        <v>6.3470100000000002E-3</v>
      </c>
      <c r="AS143">
        <v>2.4735070000000001E-2</v>
      </c>
      <c r="AT143">
        <v>1.6577439999999999E-2</v>
      </c>
      <c r="AU143">
        <v>-3.5597030000000002E-2</v>
      </c>
      <c r="AV143">
        <v>-5.4049000000000002E-4</v>
      </c>
      <c r="AW143">
        <v>3.256448E-2</v>
      </c>
      <c r="AX143">
        <v>-2.5124270000000001E-2</v>
      </c>
      <c r="AY143">
        <v>1.9130250000000001E-2</v>
      </c>
      <c r="AZ143">
        <v>6.5994620000000004E-2</v>
      </c>
      <c r="BA143">
        <v>4.479942E-2</v>
      </c>
      <c r="BB143">
        <v>6.4491469999999995E-2</v>
      </c>
      <c r="BC143">
        <v>1.6464039999999999E-2</v>
      </c>
      <c r="BD143">
        <v>2.253343E-2</v>
      </c>
      <c r="BE143">
        <v>-5.7387699999999998E-3</v>
      </c>
      <c r="BF143">
        <v>2.4060129999999999E-2</v>
      </c>
      <c r="BG143">
        <v>1.2377279999999999E-2</v>
      </c>
      <c r="BH143">
        <v>1.7108180000000001E-2</v>
      </c>
      <c r="BI143">
        <v>3.4692199999999999E-3</v>
      </c>
      <c r="BJ143">
        <v>2.066057E-2</v>
      </c>
      <c r="BK143">
        <v>4.2789199999999999E-2</v>
      </c>
      <c r="BL143">
        <v>8.3887349999999999E-2</v>
      </c>
      <c r="BM143">
        <v>-1.9407839999999999E-2</v>
      </c>
      <c r="BN143">
        <v>8.8459100000000002E-3</v>
      </c>
      <c r="BO143">
        <v>4.278498E-2</v>
      </c>
      <c r="BP143">
        <v>1.286382E-2</v>
      </c>
      <c r="BQ143">
        <v>7.0761829999999998E-2</v>
      </c>
      <c r="BR143">
        <v>4.0680029999999999E-2</v>
      </c>
      <c r="BS143">
        <v>-5.8806600000000002E-3</v>
      </c>
      <c r="BT143">
        <v>7.4921059999999998E-2</v>
      </c>
      <c r="BU143">
        <v>1.7485420000000002E-2</v>
      </c>
      <c r="BV143">
        <v>4.7895710000000001E-2</v>
      </c>
      <c r="BW143">
        <v>3.2551650000000001E-2</v>
      </c>
      <c r="BX143">
        <v>-8.2885700000000003E-3</v>
      </c>
      <c r="BY143">
        <v>4.6704969999999998E-2</v>
      </c>
      <c r="BZ143">
        <v>6.7415069999999994E-2</v>
      </c>
      <c r="CA143">
        <v>1.165974E-2</v>
      </c>
      <c r="CB143">
        <v>-5.8781600000000003E-3</v>
      </c>
      <c r="CC143">
        <v>5.9166899999999996E-3</v>
      </c>
      <c r="CD143">
        <v>3.1495240000000001E-2</v>
      </c>
      <c r="CE143">
        <v>7.0322190000000007E-2</v>
      </c>
      <c r="CF143">
        <v>-2.464477E-2</v>
      </c>
      <c r="CG143">
        <v>1.1895589999999999E-2</v>
      </c>
      <c r="CH143">
        <v>0.11421351</v>
      </c>
      <c r="CI143">
        <v>-3.478208E-2</v>
      </c>
      <c r="CJ143">
        <v>-3.3029059999999999E-2</v>
      </c>
      <c r="CK143">
        <v>-2.9652870000000001E-2</v>
      </c>
      <c r="CL143">
        <v>7.4559639999999996E-2</v>
      </c>
      <c r="CM143">
        <v>0.13880160999999999</v>
      </c>
      <c r="CN143">
        <v>1.4374629999999999E-2</v>
      </c>
      <c r="CO143">
        <v>2.83909E-2</v>
      </c>
      <c r="CP143">
        <v>2.4138630000000001E-2</v>
      </c>
      <c r="CQ143">
        <v>9.6764089999999997E-2</v>
      </c>
      <c r="CR143">
        <v>0.20297082999999999</v>
      </c>
      <c r="CS143">
        <v>0.18423623</v>
      </c>
      <c r="CT143">
        <v>4.5174150000000003E-2</v>
      </c>
      <c r="CU143">
        <v>5.6279599999999999E-2</v>
      </c>
      <c r="CV143">
        <v>3.251097E-2</v>
      </c>
      <c r="CW143">
        <v>1.066331E-2</v>
      </c>
      <c r="CX143">
        <v>8.1508979999999995E-2</v>
      </c>
      <c r="CY143">
        <v>8.434672E-2</v>
      </c>
      <c r="CZ143">
        <v>1.0330700000000001E-3</v>
      </c>
      <c r="DA143">
        <v>-5.1089100000000004E-3</v>
      </c>
      <c r="DB143">
        <v>0.1289893</v>
      </c>
      <c r="DC143">
        <v>9.9705210000000002E-2</v>
      </c>
      <c r="DD143">
        <v>6.375219E-2</v>
      </c>
      <c r="DE143">
        <v>0.18748113</v>
      </c>
      <c r="DF143">
        <v>-5.621893E-2</v>
      </c>
      <c r="DG143">
        <v>0.14939844999999999</v>
      </c>
      <c r="DH143">
        <v>0.19041384</v>
      </c>
      <c r="DI143">
        <v>0.10424837000000001</v>
      </c>
      <c r="DJ143">
        <v>6.7905569999999998E-2</v>
      </c>
      <c r="DK143">
        <v>0.12920938000000001</v>
      </c>
      <c r="DL143">
        <v>0.11076914</v>
      </c>
      <c r="DM143">
        <v>8.9794369999999998E-2</v>
      </c>
      <c r="DN143">
        <v>3.1907070000000003E-2</v>
      </c>
      <c r="DO143">
        <v>0.17611239000000001</v>
      </c>
      <c r="DP143">
        <v>7.7139020000000003E-2</v>
      </c>
      <c r="DQ143">
        <v>0.16049339000000001</v>
      </c>
      <c r="DR143">
        <v>0.16395841999999999</v>
      </c>
      <c r="DS143">
        <v>-2.1796550000000001E-2</v>
      </c>
      <c r="DT143">
        <v>0.14662966</v>
      </c>
      <c r="DU143">
        <v>0.13602750999999999</v>
      </c>
      <c r="DV143">
        <v>6.4381670000000002E-2</v>
      </c>
      <c r="DW143">
        <v>2.2189939999999998E-2</v>
      </c>
      <c r="DX143">
        <v>0.35638800999999998</v>
      </c>
      <c r="DY143">
        <v>0.10764414</v>
      </c>
      <c r="DZ143">
        <v>4.5691240000000001E-2</v>
      </c>
      <c r="EA143">
        <v>0.12592497</v>
      </c>
      <c r="EB143">
        <v>9.8475919999999995E-2</v>
      </c>
      <c r="EC143">
        <v>8.5704829999999996E-2</v>
      </c>
      <c r="ED143">
        <v>0.13234482</v>
      </c>
      <c r="EE143">
        <v>0.35471447</v>
      </c>
      <c r="EF143">
        <v>0.16345435</v>
      </c>
      <c r="EG143">
        <v>0.37560644999999998</v>
      </c>
      <c r="EH143">
        <v>3.1500630000000002E-2</v>
      </c>
      <c r="EI143">
        <v>0.65212714000000005</v>
      </c>
      <c r="EJ143">
        <v>9.0406860000000006E-2</v>
      </c>
      <c r="EK143">
        <v>0.31131240999999998</v>
      </c>
      <c r="EL143">
        <v>0.38512531999999999</v>
      </c>
      <c r="EM143">
        <v>0.17148822</v>
      </c>
      <c r="EN143">
        <v>0.11827124999999999</v>
      </c>
      <c r="EO143">
        <v>9.2029730000000004E-2</v>
      </c>
      <c r="EP143">
        <f t="shared" si="4"/>
        <v>0</v>
      </c>
      <c r="EQ143">
        <f>SUMIF('Mi portafolio'!$A$8:$A$19,$A143,'Mi portafolio'!$B$8:$B$19)</f>
        <v>0</v>
      </c>
    </row>
    <row r="144" spans="1:147" x14ac:dyDescent="0.25">
      <c r="A144" s="34" t="s">
        <v>222</v>
      </c>
      <c r="B144">
        <v>8.4089899999999999E-3</v>
      </c>
      <c r="C144">
        <v>-3.0343200000000001E-3</v>
      </c>
      <c r="D144">
        <v>9.4436899999999994E-3</v>
      </c>
      <c r="E144">
        <v>2.9259469999999999E-2</v>
      </c>
      <c r="F144">
        <v>3.5180400000000001E-3</v>
      </c>
      <c r="G144">
        <v>1.9347110000000001E-2</v>
      </c>
      <c r="H144">
        <v>1.7931949999999999E-2</v>
      </c>
      <c r="I144">
        <v>5.1375800000000001E-3</v>
      </c>
      <c r="J144">
        <v>-6.61737E-3</v>
      </c>
      <c r="K144">
        <v>1.3794499999999999E-3</v>
      </c>
      <c r="L144">
        <v>2.5480510000000001E-2</v>
      </c>
      <c r="M144">
        <v>5.9347789999999997E-2</v>
      </c>
      <c r="N144">
        <v>4.6458480000000003E-2</v>
      </c>
      <c r="O144">
        <v>1.690757E-2</v>
      </c>
      <c r="P144">
        <v>2.4208900000000002E-3</v>
      </c>
      <c r="Q144">
        <v>-2.8504200000000002E-3</v>
      </c>
      <c r="R144">
        <v>1.032313E-2</v>
      </c>
      <c r="S144">
        <v>1.263043E-2</v>
      </c>
      <c r="T144">
        <v>3.6754450000000001E-2</v>
      </c>
      <c r="U144">
        <v>3.7635469999999997E-2</v>
      </c>
      <c r="V144">
        <v>1.184556E-2</v>
      </c>
      <c r="W144">
        <v>3.5192999999999997E-4</v>
      </c>
      <c r="X144">
        <v>3.757344E-2</v>
      </c>
      <c r="Y144">
        <v>1.3885430000000001E-2</v>
      </c>
      <c r="Z144">
        <v>3.4951490000000002E-2</v>
      </c>
      <c r="AA144">
        <v>2.0053060000000001E-2</v>
      </c>
      <c r="AB144">
        <v>1.8176230000000002E-2</v>
      </c>
      <c r="AC144">
        <v>2.0100099999999999E-2</v>
      </c>
      <c r="AD144">
        <v>2.7420369999999999E-2</v>
      </c>
      <c r="AE144">
        <v>4.9199020000000003E-2</v>
      </c>
      <c r="AF144">
        <v>3.1879680000000001E-2</v>
      </c>
      <c r="AG144">
        <v>-6.5269600000000001E-3</v>
      </c>
      <c r="AH144">
        <v>-4.6475199999999996E-3</v>
      </c>
      <c r="AI144">
        <v>-6.5284599999999998E-3</v>
      </c>
      <c r="AJ144">
        <v>1.4816080000000001E-2</v>
      </c>
      <c r="AK144">
        <v>3.177808E-2</v>
      </c>
      <c r="AL144">
        <v>4.2265539999999997E-2</v>
      </c>
      <c r="AM144">
        <v>5.0792999999999998E-2</v>
      </c>
      <c r="AN144">
        <v>3.7191410000000001E-2</v>
      </c>
      <c r="AO144">
        <v>2.3695830000000001E-2</v>
      </c>
      <c r="AP144">
        <v>5.2612520000000003E-2</v>
      </c>
      <c r="AQ144">
        <v>-1.356216E-2</v>
      </c>
      <c r="AR144">
        <v>5.1029310000000001E-2</v>
      </c>
      <c r="AS144">
        <v>3.5962639999999997E-2</v>
      </c>
      <c r="AT144">
        <v>7.1303409999999998E-2</v>
      </c>
      <c r="AU144">
        <v>-2.2173399999999999E-3</v>
      </c>
      <c r="AV144">
        <v>3.9280580000000002E-2</v>
      </c>
      <c r="AW144">
        <v>3.4703190000000002E-2</v>
      </c>
      <c r="AX144">
        <v>5.6713979999999997E-2</v>
      </c>
      <c r="AY144">
        <v>3.358133E-2</v>
      </c>
      <c r="AZ144">
        <v>5.1474470000000001E-2</v>
      </c>
      <c r="BA144">
        <v>3.9416090000000001E-2</v>
      </c>
      <c r="BB144">
        <v>6.7431820000000003E-2</v>
      </c>
      <c r="BC144">
        <v>3.5090980000000001E-2</v>
      </c>
      <c r="BD144">
        <v>4.3097280000000002E-2</v>
      </c>
      <c r="BE144">
        <v>4.6733749999999998E-2</v>
      </c>
      <c r="BF144">
        <v>5.3284749999999999E-2</v>
      </c>
      <c r="BG144">
        <v>5.7048359999999999E-2</v>
      </c>
      <c r="BH144">
        <v>3.7208909999999998E-2</v>
      </c>
      <c r="BI144">
        <v>2.8590109999999998E-2</v>
      </c>
      <c r="BJ144">
        <v>-2.4677000000000002E-3</v>
      </c>
      <c r="BK144">
        <v>5.0773949999999998E-2</v>
      </c>
      <c r="BL144">
        <v>3.9649669999999998E-2</v>
      </c>
      <c r="BM144">
        <v>3.4107459999999999E-2</v>
      </c>
      <c r="BN144">
        <v>5.7695899999999998E-3</v>
      </c>
      <c r="BO144">
        <v>6.5952150000000001E-2</v>
      </c>
      <c r="BP144">
        <v>4.9362200000000002E-2</v>
      </c>
      <c r="BQ144">
        <v>5.354888E-2</v>
      </c>
      <c r="BR144">
        <v>4.8315909999999997E-2</v>
      </c>
      <c r="BS144">
        <v>6.8104999999999997E-3</v>
      </c>
      <c r="BT144">
        <v>6.7578219999999994E-2</v>
      </c>
      <c r="BU144">
        <v>3.392208E-2</v>
      </c>
      <c r="BV144">
        <v>5.4035470000000002E-2</v>
      </c>
      <c r="BW144">
        <v>4.5351580000000002E-2</v>
      </c>
      <c r="BX144">
        <v>5.5419910000000003E-2</v>
      </c>
      <c r="BY144">
        <v>8.1810040000000001E-2</v>
      </c>
      <c r="BZ144">
        <v>7.7742270000000002E-2</v>
      </c>
      <c r="CA144">
        <v>4.5543300000000002E-2</v>
      </c>
      <c r="CB144">
        <v>1.125893E-2</v>
      </c>
      <c r="CC144">
        <v>3.4401040000000001E-2</v>
      </c>
      <c r="CD144">
        <v>7.1817850000000003E-2</v>
      </c>
      <c r="CE144">
        <v>2.891937E-2</v>
      </c>
      <c r="CF144">
        <v>-1.5547E-3</v>
      </c>
      <c r="CG144">
        <v>6.1364759999999997E-2</v>
      </c>
      <c r="CH144">
        <v>6.7902760000000006E-2</v>
      </c>
      <c r="CI144">
        <v>-1.2086600000000001E-3</v>
      </c>
      <c r="CJ144">
        <v>2.6790120000000001E-2</v>
      </c>
      <c r="CK144">
        <v>5.863372E-2</v>
      </c>
      <c r="CL144">
        <v>0.10305514</v>
      </c>
      <c r="CM144">
        <v>4.8037969999999999E-2</v>
      </c>
      <c r="CN144">
        <v>3.8169889999999998E-2</v>
      </c>
      <c r="CO144">
        <v>5.7103889999999997E-2</v>
      </c>
      <c r="CP144">
        <v>2.910892E-2</v>
      </c>
      <c r="CQ144">
        <v>0.13123439000000001</v>
      </c>
      <c r="CR144">
        <v>0.10150987</v>
      </c>
      <c r="CS144">
        <v>8.0509579999999997E-2</v>
      </c>
      <c r="CT144">
        <v>8.8006870000000001E-2</v>
      </c>
      <c r="CU144">
        <v>6.307372E-2</v>
      </c>
      <c r="CV144">
        <v>5.845674E-2</v>
      </c>
      <c r="CW144">
        <v>5.5966889999999998E-2</v>
      </c>
      <c r="CX144">
        <v>9.3821119999999994E-2</v>
      </c>
      <c r="CY144">
        <v>0.12330326</v>
      </c>
      <c r="CZ144">
        <v>7.6575550000000006E-2</v>
      </c>
      <c r="DA144">
        <v>0.1220212</v>
      </c>
      <c r="DB144">
        <v>0.12396151</v>
      </c>
      <c r="DC144">
        <v>0.10679919</v>
      </c>
      <c r="DD144">
        <v>0.12121723</v>
      </c>
      <c r="DE144">
        <v>7.6059860000000007E-2</v>
      </c>
      <c r="DF144">
        <v>6.2349109999999999E-2</v>
      </c>
      <c r="DG144">
        <v>5.2228160000000003E-2</v>
      </c>
      <c r="DH144">
        <v>8.3647159999999998E-2</v>
      </c>
      <c r="DI144">
        <v>0.13254121999999999</v>
      </c>
      <c r="DJ144">
        <v>0.14764300999999999</v>
      </c>
      <c r="DK144">
        <v>0.14968577</v>
      </c>
      <c r="DL144">
        <v>2.393282E-2</v>
      </c>
      <c r="DM144">
        <v>0.13460311</v>
      </c>
      <c r="DN144">
        <v>5.7481699999999997E-2</v>
      </c>
      <c r="DO144">
        <v>0.1045259</v>
      </c>
      <c r="DP144">
        <v>0.13661977</v>
      </c>
      <c r="DQ144">
        <v>9.7610470000000005E-2</v>
      </c>
      <c r="DR144">
        <v>0.11835988</v>
      </c>
      <c r="DS144">
        <v>7.6854740000000005E-2</v>
      </c>
      <c r="DT144">
        <v>0.140014</v>
      </c>
      <c r="DU144">
        <v>0.16223915</v>
      </c>
      <c r="DV144">
        <v>9.6240809999999996E-2</v>
      </c>
      <c r="DW144">
        <v>0.11391039999999999</v>
      </c>
      <c r="DX144">
        <v>9.4723680000000005E-2</v>
      </c>
      <c r="DY144">
        <v>0.11234892</v>
      </c>
      <c r="DZ144">
        <v>7.1759589999999998E-2</v>
      </c>
      <c r="EA144">
        <v>0.17793513999999999</v>
      </c>
      <c r="EB144">
        <v>0.18729728000000001</v>
      </c>
      <c r="EC144">
        <v>6.53112E-2</v>
      </c>
      <c r="ED144">
        <v>0.23418379</v>
      </c>
      <c r="EE144">
        <v>0.13812919000000001</v>
      </c>
      <c r="EF144">
        <v>5.1793510000000001E-2</v>
      </c>
      <c r="EG144">
        <v>0.13466532000000001</v>
      </c>
      <c r="EH144">
        <v>0.1311233</v>
      </c>
      <c r="EI144">
        <v>9.0406860000000006E-2</v>
      </c>
      <c r="EJ144">
        <v>0.69958759999999998</v>
      </c>
      <c r="EK144">
        <v>0.24938724000000001</v>
      </c>
      <c r="EL144">
        <v>0.21853724999999999</v>
      </c>
      <c r="EM144">
        <v>0.29881144999999998</v>
      </c>
      <c r="EN144">
        <v>0.24795305000000001</v>
      </c>
      <c r="EO144">
        <v>0.11656583</v>
      </c>
      <c r="EP144">
        <f t="shared" si="4"/>
        <v>0</v>
      </c>
      <c r="EQ144">
        <f>SUMIF('Mi portafolio'!$A$8:$A$19,$A144,'Mi portafolio'!$B$8:$B$19)</f>
        <v>0</v>
      </c>
    </row>
    <row r="145" spans="1:147" x14ac:dyDescent="0.25">
      <c r="A145" s="34" t="s">
        <v>223</v>
      </c>
      <c r="B145">
        <v>-4.2043999999999996E-3</v>
      </c>
      <c r="C145">
        <v>5.9463299999999997E-3</v>
      </c>
      <c r="D145">
        <v>6.6701699999999996E-3</v>
      </c>
      <c r="E145">
        <v>9.8461E-3</v>
      </c>
      <c r="F145">
        <v>-8.3944899999999992E-3</v>
      </c>
      <c r="G145">
        <v>8.5692800000000003E-3</v>
      </c>
      <c r="H145">
        <v>9.9930000000000001E-3</v>
      </c>
      <c r="I145">
        <v>-1.76889E-3</v>
      </c>
      <c r="J145">
        <v>-1.4690689999999999E-2</v>
      </c>
      <c r="K145">
        <v>-1.315408E-2</v>
      </c>
      <c r="L145">
        <v>1.9856550000000001E-2</v>
      </c>
      <c r="M145">
        <v>5.2775120000000002E-2</v>
      </c>
      <c r="N145">
        <v>2.0439570000000001E-2</v>
      </c>
      <c r="O145">
        <v>1.5765729999999999E-2</v>
      </c>
      <c r="P145">
        <v>-7.5288600000000001E-3</v>
      </c>
      <c r="Q145">
        <v>2.68797E-3</v>
      </c>
      <c r="R145">
        <v>-3.8741399999999999E-3</v>
      </c>
      <c r="S145">
        <v>-9.44358E-3</v>
      </c>
      <c r="T145">
        <v>3.7709409999999999E-2</v>
      </c>
      <c r="U145">
        <v>2.7519419999999999E-2</v>
      </c>
      <c r="V145">
        <v>7.7187499999999999E-3</v>
      </c>
      <c r="W145">
        <v>2.414732E-2</v>
      </c>
      <c r="X145">
        <v>5.9574759999999997E-2</v>
      </c>
      <c r="Y145">
        <v>1.69673E-3</v>
      </c>
      <c r="Z145">
        <v>2.5784230000000002E-2</v>
      </c>
      <c r="AA145">
        <v>1.053286E-2</v>
      </c>
      <c r="AB145">
        <v>-2.0038899999999999E-3</v>
      </c>
      <c r="AC145">
        <v>2.9828449999999999E-2</v>
      </c>
      <c r="AD145">
        <v>2.3557410000000001E-2</v>
      </c>
      <c r="AE145">
        <v>2.2517949999999998E-2</v>
      </c>
      <c r="AF145">
        <v>2.189203E-2</v>
      </c>
      <c r="AG145">
        <v>-9.8216699999999994E-3</v>
      </c>
      <c r="AH145">
        <v>-7.2876099999999999E-3</v>
      </c>
      <c r="AI145">
        <v>1.041972E-2</v>
      </c>
      <c r="AJ145">
        <v>2.7220459999999998E-2</v>
      </c>
      <c r="AK145">
        <v>3.1416800000000002E-2</v>
      </c>
      <c r="AL145">
        <v>1.709196E-2</v>
      </c>
      <c r="AM145">
        <v>3.8526379999999999E-2</v>
      </c>
      <c r="AN145">
        <v>2.0007339999999998E-2</v>
      </c>
      <c r="AO145">
        <v>-8.8759999999999997E-5</v>
      </c>
      <c r="AP145">
        <v>3.5531510000000002E-2</v>
      </c>
      <c r="AQ145">
        <v>4.0009700000000004E-3</v>
      </c>
      <c r="AR145">
        <v>4.4626600000000002E-2</v>
      </c>
      <c r="AS145">
        <v>2.2611309999999999E-2</v>
      </c>
      <c r="AT145">
        <v>4.9977760000000003E-2</v>
      </c>
      <c r="AU145">
        <v>-4.8392499999999998E-3</v>
      </c>
      <c r="AV145">
        <v>3.9541300000000001E-2</v>
      </c>
      <c r="AW145">
        <v>3.3081949999999999E-2</v>
      </c>
      <c r="AX145">
        <v>2.727485E-2</v>
      </c>
      <c r="AY145">
        <v>3.449696E-2</v>
      </c>
      <c r="AZ145">
        <v>3.5769120000000001E-2</v>
      </c>
      <c r="BA145">
        <v>4.3281439999999997E-2</v>
      </c>
      <c r="BB145">
        <v>8.7204589999999998E-2</v>
      </c>
      <c r="BC145">
        <v>4.751068E-2</v>
      </c>
      <c r="BD145">
        <v>4.1289659999999999E-2</v>
      </c>
      <c r="BE145">
        <v>2.4531819999999999E-2</v>
      </c>
      <c r="BF145">
        <v>3.9428610000000003E-2</v>
      </c>
      <c r="BG145">
        <v>5.1694259999999999E-2</v>
      </c>
      <c r="BH145">
        <v>4.5818369999999997E-2</v>
      </c>
      <c r="BI145">
        <v>5.83308E-3</v>
      </c>
      <c r="BJ145">
        <v>1.639179E-2</v>
      </c>
      <c r="BK145">
        <v>4.1587079999999998E-2</v>
      </c>
      <c r="BL145">
        <v>8.3175669999999993E-2</v>
      </c>
      <c r="BM145">
        <v>3.2570109999999999E-2</v>
      </c>
      <c r="BN145">
        <v>1.578541E-2</v>
      </c>
      <c r="BO145">
        <v>5.895587E-2</v>
      </c>
      <c r="BP145">
        <v>7.7036729999999998E-2</v>
      </c>
      <c r="BQ145">
        <v>8.0564739999999996E-2</v>
      </c>
      <c r="BR145">
        <v>6.8022340000000001E-2</v>
      </c>
      <c r="BS145">
        <v>2.4127800000000001E-2</v>
      </c>
      <c r="BT145">
        <v>7.9114390000000007E-2</v>
      </c>
      <c r="BU145">
        <v>2.1810499999999999E-3</v>
      </c>
      <c r="BV145">
        <v>7.2171680000000002E-2</v>
      </c>
      <c r="BW145">
        <v>5.037382E-2</v>
      </c>
      <c r="BX145">
        <v>2.2289360000000001E-2</v>
      </c>
      <c r="BY145">
        <v>7.5088699999999994E-2</v>
      </c>
      <c r="BZ145">
        <v>8.4514699999999998E-2</v>
      </c>
      <c r="CA145">
        <v>3.7872980000000001E-2</v>
      </c>
      <c r="CB145">
        <v>5.5096299999999997E-3</v>
      </c>
      <c r="CC145">
        <v>4.6524509999999998E-2</v>
      </c>
      <c r="CD145">
        <v>4.640946E-2</v>
      </c>
      <c r="CE145">
        <v>8.2924049999999999E-2</v>
      </c>
      <c r="CF145">
        <v>1.238031E-2</v>
      </c>
      <c r="CG145">
        <v>2.955961E-2</v>
      </c>
      <c r="CH145">
        <v>0.11367339</v>
      </c>
      <c r="CI145">
        <v>2.4793140000000002E-2</v>
      </c>
      <c r="CJ145">
        <v>4.4944379999999999E-2</v>
      </c>
      <c r="CK145">
        <v>6.2501299999999996E-3</v>
      </c>
      <c r="CL145">
        <v>7.294921E-2</v>
      </c>
      <c r="CM145">
        <v>0.12857405</v>
      </c>
      <c r="CN145">
        <v>3.6947809999999998E-2</v>
      </c>
      <c r="CO145">
        <v>1.7382450000000001E-2</v>
      </c>
      <c r="CP145">
        <v>5.8987619999999998E-2</v>
      </c>
      <c r="CQ145">
        <v>0.10856993</v>
      </c>
      <c r="CR145">
        <v>0.16262452999999999</v>
      </c>
      <c r="CS145">
        <v>0.16913479000000001</v>
      </c>
      <c r="CT145">
        <v>9.8652290000000004E-2</v>
      </c>
      <c r="CU145">
        <v>0.101073</v>
      </c>
      <c r="CV145">
        <v>3.4712819999999998E-2</v>
      </c>
      <c r="CW145">
        <v>7.0951689999999998E-2</v>
      </c>
      <c r="CX145">
        <v>0.11832006</v>
      </c>
      <c r="CY145">
        <v>7.8660270000000004E-2</v>
      </c>
      <c r="CZ145">
        <v>4.9157310000000003E-2</v>
      </c>
      <c r="DA145">
        <v>9.1585100000000003E-2</v>
      </c>
      <c r="DB145">
        <v>0.15447163</v>
      </c>
      <c r="DC145">
        <v>7.3286400000000002E-2</v>
      </c>
      <c r="DD145">
        <v>0.14297051999999999</v>
      </c>
      <c r="DE145">
        <v>0.18494657</v>
      </c>
      <c r="DF145">
        <v>2.2141350000000001E-2</v>
      </c>
      <c r="DG145">
        <v>0.16761989999999999</v>
      </c>
      <c r="DH145">
        <v>0.16459773</v>
      </c>
      <c r="DI145">
        <v>0.12346303</v>
      </c>
      <c r="DJ145">
        <v>5.4496820000000001E-2</v>
      </c>
      <c r="DK145">
        <v>0.14578874999999999</v>
      </c>
      <c r="DL145">
        <v>0.11289196</v>
      </c>
      <c r="DM145">
        <v>8.6307129999999996E-2</v>
      </c>
      <c r="DN145">
        <v>8.0702490000000002E-2</v>
      </c>
      <c r="DO145">
        <v>0.15215492999999999</v>
      </c>
      <c r="DP145">
        <v>7.1854340000000003E-2</v>
      </c>
      <c r="DQ145">
        <v>0.11590082</v>
      </c>
      <c r="DR145">
        <v>0.15478083000000001</v>
      </c>
      <c r="DS145">
        <v>-3.3381600000000002E-3</v>
      </c>
      <c r="DT145">
        <v>0.18576202999999999</v>
      </c>
      <c r="DU145">
        <v>0.25923246</v>
      </c>
      <c r="DV145">
        <v>0.13227947000000001</v>
      </c>
      <c r="DW145">
        <v>8.4772429999999996E-2</v>
      </c>
      <c r="DX145">
        <v>0.24390877999999999</v>
      </c>
      <c r="DY145">
        <v>0.15832995999999999</v>
      </c>
      <c r="DZ145">
        <v>6.9540149999999995E-2</v>
      </c>
      <c r="EA145">
        <v>0.13744845</v>
      </c>
      <c r="EB145">
        <v>0.22994164</v>
      </c>
      <c r="EC145">
        <v>9.6831139999999996E-2</v>
      </c>
      <c r="ED145">
        <v>0.21699057999999999</v>
      </c>
      <c r="EE145">
        <v>0.31514615000000001</v>
      </c>
      <c r="EF145">
        <v>0.16721201999999999</v>
      </c>
      <c r="EG145">
        <v>0.26295636999999999</v>
      </c>
      <c r="EH145">
        <v>0.1256958</v>
      </c>
      <c r="EI145">
        <v>0.31131240999999998</v>
      </c>
      <c r="EJ145">
        <v>0.24938724000000001</v>
      </c>
      <c r="EK145">
        <v>0.73070519</v>
      </c>
      <c r="EL145">
        <v>0.58426765999999997</v>
      </c>
      <c r="EM145">
        <v>0.23914779999999999</v>
      </c>
      <c r="EN145">
        <v>0.21700138999999999</v>
      </c>
      <c r="EO145">
        <v>0.27755521</v>
      </c>
      <c r="EP145">
        <f t="shared" si="4"/>
        <v>0</v>
      </c>
      <c r="EQ145">
        <f>SUMIF('Mi portafolio'!$A$8:$A$19,$A145,'Mi portafolio'!$B$8:$B$19)</f>
        <v>0</v>
      </c>
    </row>
    <row r="146" spans="1:147" x14ac:dyDescent="0.25">
      <c r="A146" s="34" t="s">
        <v>224</v>
      </c>
      <c r="B146">
        <v>-1.566089E-2</v>
      </c>
      <c r="C146">
        <v>2.4552799999999998E-3</v>
      </c>
      <c r="D146">
        <v>1.5168640000000001E-2</v>
      </c>
      <c r="E146">
        <v>1.4793239999999999E-2</v>
      </c>
      <c r="F146">
        <v>-2.8382870000000001E-2</v>
      </c>
      <c r="G146">
        <v>8.6228099999999998E-3</v>
      </c>
      <c r="H146">
        <v>1.731297E-2</v>
      </c>
      <c r="I146">
        <v>-1.7207739999999999E-2</v>
      </c>
      <c r="J146">
        <v>-1.36148E-2</v>
      </c>
      <c r="K146">
        <v>-1.7562330000000001E-2</v>
      </c>
      <c r="L146">
        <v>2.5659089999999999E-2</v>
      </c>
      <c r="M146">
        <v>6.097023E-2</v>
      </c>
      <c r="N146">
        <v>3.5249499999999998E-3</v>
      </c>
      <c r="O146">
        <v>3.3510600000000001E-2</v>
      </c>
      <c r="P146">
        <v>-1.793577E-2</v>
      </c>
      <c r="Q146">
        <v>5.10985E-3</v>
      </c>
      <c r="R146">
        <v>-2.6731069999999999E-2</v>
      </c>
      <c r="S146">
        <v>1.80536E-3</v>
      </c>
      <c r="T146">
        <v>4.3767199999999999E-2</v>
      </c>
      <c r="U146">
        <v>4.2977559999999998E-2</v>
      </c>
      <c r="V146">
        <v>2.318572E-2</v>
      </c>
      <c r="W146">
        <v>2.5103239999999999E-2</v>
      </c>
      <c r="X146">
        <v>5.5438540000000001E-2</v>
      </c>
      <c r="Y146">
        <v>-1.1124719999999999E-2</v>
      </c>
      <c r="Z146">
        <v>2.480104E-2</v>
      </c>
      <c r="AA146">
        <v>2.302835E-2</v>
      </c>
      <c r="AB146">
        <v>-1.374073E-2</v>
      </c>
      <c r="AC146">
        <v>2.6674349999999999E-2</v>
      </c>
      <c r="AD146">
        <v>3.4596950000000001E-2</v>
      </c>
      <c r="AE146">
        <v>4.1571829999999997E-2</v>
      </c>
      <c r="AF146">
        <v>3.7810200000000002E-2</v>
      </c>
      <c r="AG146">
        <v>-4.0728350000000003E-2</v>
      </c>
      <c r="AH146">
        <v>-4.4661800000000001E-2</v>
      </c>
      <c r="AI146">
        <v>-3.9319479999999997E-2</v>
      </c>
      <c r="AJ146">
        <v>3.9189469999999997E-2</v>
      </c>
      <c r="AK146">
        <v>6.1615660000000003E-2</v>
      </c>
      <c r="AL146">
        <v>2.3432580000000001E-2</v>
      </c>
      <c r="AM146">
        <v>5.2149319999999999E-2</v>
      </c>
      <c r="AN146">
        <v>3.0110080000000001E-2</v>
      </c>
      <c r="AO146">
        <v>-1.1513260000000001E-2</v>
      </c>
      <c r="AP146">
        <v>2.533111E-2</v>
      </c>
      <c r="AQ146">
        <v>-3.3087289999999998E-2</v>
      </c>
      <c r="AR146">
        <v>3.8037910000000001E-2</v>
      </c>
      <c r="AS146">
        <v>4.0613040000000003E-2</v>
      </c>
      <c r="AT146">
        <v>4.8102190000000003E-2</v>
      </c>
      <c r="AU146">
        <v>-4.52082E-3</v>
      </c>
      <c r="AV146">
        <v>4.1616470000000003E-2</v>
      </c>
      <c r="AW146">
        <v>4.1796199999999999E-2</v>
      </c>
      <c r="AX146">
        <v>2.1492000000000001E-4</v>
      </c>
      <c r="AY146">
        <v>3.3219319999999997E-2</v>
      </c>
      <c r="AZ146">
        <v>6.1862439999999998E-2</v>
      </c>
      <c r="BA146">
        <v>4.2247720000000002E-2</v>
      </c>
      <c r="BB146">
        <v>9.9812410000000004E-2</v>
      </c>
      <c r="BC146">
        <v>4.029547E-2</v>
      </c>
      <c r="BD146">
        <v>6.0534249999999998E-2</v>
      </c>
      <c r="BE146">
        <v>1.718043E-2</v>
      </c>
      <c r="BF146">
        <v>4.5524210000000002E-2</v>
      </c>
      <c r="BG146">
        <v>4.7233860000000003E-2</v>
      </c>
      <c r="BH146">
        <v>4.3258570000000003E-2</v>
      </c>
      <c r="BI146">
        <v>2.6808229999999999E-2</v>
      </c>
      <c r="BJ146">
        <v>3.117108E-2</v>
      </c>
      <c r="BK146">
        <v>5.8911079999999998E-2</v>
      </c>
      <c r="BL146">
        <v>9.8521810000000001E-2</v>
      </c>
      <c r="BM146">
        <v>2.0341479999999999E-2</v>
      </c>
      <c r="BN146">
        <v>-4.9858699999999999E-3</v>
      </c>
      <c r="BO146">
        <v>5.7630269999999997E-2</v>
      </c>
      <c r="BP146">
        <v>6.8390880000000001E-2</v>
      </c>
      <c r="BQ146">
        <v>9.6135559999999995E-2</v>
      </c>
      <c r="BR146">
        <v>8.0823900000000004E-2</v>
      </c>
      <c r="BS146">
        <v>-2.7323549999999999E-2</v>
      </c>
      <c r="BT146">
        <v>0.11910651999999999</v>
      </c>
      <c r="BU146">
        <v>2.959171E-2</v>
      </c>
      <c r="BV146">
        <v>6.4413360000000003E-2</v>
      </c>
      <c r="BW146">
        <v>5.5203339999999997E-2</v>
      </c>
      <c r="BX146">
        <v>1.894769E-2</v>
      </c>
      <c r="BY146">
        <v>6.975779E-2</v>
      </c>
      <c r="BZ146">
        <v>9.4493350000000004E-2</v>
      </c>
      <c r="CA146">
        <v>5.8922599999999999E-2</v>
      </c>
      <c r="CB146">
        <v>-2.4055730000000001E-2</v>
      </c>
      <c r="CC146">
        <v>1.4566620000000001E-2</v>
      </c>
      <c r="CD146">
        <v>5.2592359999999998E-2</v>
      </c>
      <c r="CE146">
        <v>6.6792560000000001E-2</v>
      </c>
      <c r="CF146">
        <v>-4.4515300000000001E-2</v>
      </c>
      <c r="CG146">
        <v>2.3570210000000001E-2</v>
      </c>
      <c r="CH146">
        <v>0.15254164000000001</v>
      </c>
      <c r="CI146">
        <v>-4.074477E-2</v>
      </c>
      <c r="CJ146">
        <v>-1.057263E-2</v>
      </c>
      <c r="CK146">
        <v>-8.9010600000000006E-3</v>
      </c>
      <c r="CL146">
        <v>7.0483630000000005E-2</v>
      </c>
      <c r="CM146">
        <v>0.14400357</v>
      </c>
      <c r="CN146">
        <v>4.7419429999999999E-2</v>
      </c>
      <c r="CO146">
        <v>2.7881340000000001E-2</v>
      </c>
      <c r="CP146">
        <v>4.6402739999999998E-2</v>
      </c>
      <c r="CQ146">
        <v>0.13079588</v>
      </c>
      <c r="CR146">
        <v>0.20044724999999999</v>
      </c>
      <c r="CS146">
        <v>0.18591461000000001</v>
      </c>
      <c r="CT146">
        <v>9.0949920000000004E-2</v>
      </c>
      <c r="CU146">
        <v>0.10315972</v>
      </c>
      <c r="CV146">
        <v>4.2924070000000002E-2</v>
      </c>
      <c r="CW146">
        <v>8.1856559999999995E-2</v>
      </c>
      <c r="CX146">
        <v>0.1264702</v>
      </c>
      <c r="CY146">
        <v>0.11126319</v>
      </c>
      <c r="CZ146">
        <v>2.882622E-2</v>
      </c>
      <c r="DA146">
        <v>5.7045430000000001E-2</v>
      </c>
      <c r="DB146">
        <v>0.14468745999999999</v>
      </c>
      <c r="DC146">
        <v>0.12807117000000001</v>
      </c>
      <c r="DD146">
        <v>0.1172497</v>
      </c>
      <c r="DE146">
        <v>0.21629324999999999</v>
      </c>
      <c r="DF146">
        <v>-2.556866E-2</v>
      </c>
      <c r="DG146">
        <v>0.19847970000000001</v>
      </c>
      <c r="DH146">
        <v>0.17676799000000001</v>
      </c>
      <c r="DI146">
        <v>0.13884292000000001</v>
      </c>
      <c r="DJ146">
        <v>9.2983369999999996E-2</v>
      </c>
      <c r="DK146">
        <v>0.18310683</v>
      </c>
      <c r="DL146">
        <v>0.15831281999999999</v>
      </c>
      <c r="DM146">
        <v>0.12732914000000001</v>
      </c>
      <c r="DN146">
        <v>3.9274669999999998E-2</v>
      </c>
      <c r="DO146">
        <v>0.15570523</v>
      </c>
      <c r="DP146">
        <v>0.11654675</v>
      </c>
      <c r="DQ146">
        <v>0.13429584999999999</v>
      </c>
      <c r="DR146">
        <v>0.17781116999999999</v>
      </c>
      <c r="DS146">
        <v>1.1260640000000001E-2</v>
      </c>
      <c r="DT146">
        <v>0.18519361000000001</v>
      </c>
      <c r="DU146">
        <v>0.25106393999999999</v>
      </c>
      <c r="DV146">
        <v>0.10330307</v>
      </c>
      <c r="DW146">
        <v>9.4377009999999997E-2</v>
      </c>
      <c r="DX146">
        <v>0.29069713000000003</v>
      </c>
      <c r="DY146">
        <v>0.16325820999999999</v>
      </c>
      <c r="DZ146">
        <v>4.8747169999999999E-2</v>
      </c>
      <c r="EA146">
        <v>0.16372249</v>
      </c>
      <c r="EB146">
        <v>0.21004231000000001</v>
      </c>
      <c r="EC146">
        <v>0.11689083</v>
      </c>
      <c r="ED146">
        <v>0.17412620000000001</v>
      </c>
      <c r="EE146">
        <v>0.34889616000000001</v>
      </c>
      <c r="EF146">
        <v>0.19873584</v>
      </c>
      <c r="EG146">
        <v>0.29916239999999999</v>
      </c>
      <c r="EH146">
        <v>8.513656E-2</v>
      </c>
      <c r="EI146">
        <v>0.38512531999999999</v>
      </c>
      <c r="EJ146">
        <v>0.21853724999999999</v>
      </c>
      <c r="EK146">
        <v>0.58426765999999997</v>
      </c>
      <c r="EL146">
        <v>0.77148317</v>
      </c>
      <c r="EM146">
        <v>0.27857307999999997</v>
      </c>
      <c r="EN146">
        <v>0.17954568000000001</v>
      </c>
      <c r="EO146">
        <v>0.21183942</v>
      </c>
      <c r="EP146">
        <f t="shared" si="4"/>
        <v>0</v>
      </c>
      <c r="EQ146">
        <f>SUMIF('Mi portafolio'!$A$8:$A$19,$A146,'Mi portafolio'!$B$8:$B$19)</f>
        <v>0</v>
      </c>
    </row>
    <row r="147" spans="1:147" x14ac:dyDescent="0.25">
      <c r="A147" s="34" t="s">
        <v>225</v>
      </c>
      <c r="B147">
        <v>-1.3793079999999999E-2</v>
      </c>
      <c r="C147">
        <v>-1.1070699999999999E-2</v>
      </c>
      <c r="D147">
        <v>4.7182999999999999E-3</v>
      </c>
      <c r="E147">
        <v>8.7273300000000002E-3</v>
      </c>
      <c r="F147">
        <v>-1.905225E-2</v>
      </c>
      <c r="G147">
        <v>-9.6544899999999999E-3</v>
      </c>
      <c r="H147">
        <v>5.4065199999999997E-3</v>
      </c>
      <c r="I147">
        <v>-2.3139999999999999E-4</v>
      </c>
      <c r="J147">
        <v>-1.8992720000000001E-2</v>
      </c>
      <c r="K147">
        <v>-2.0917439999999999E-2</v>
      </c>
      <c r="L147">
        <v>3.9113100000000003E-3</v>
      </c>
      <c r="M147">
        <v>4.3065730000000003E-2</v>
      </c>
      <c r="N147">
        <v>1.865286E-2</v>
      </c>
      <c r="O147">
        <v>8.5646999999999997E-3</v>
      </c>
      <c r="P147">
        <v>-4.2390339999999999E-2</v>
      </c>
      <c r="Q147">
        <v>6.9740000000000004E-4</v>
      </c>
      <c r="R147">
        <v>-1.8072899999999999E-2</v>
      </c>
      <c r="S147">
        <v>7.45848E-3</v>
      </c>
      <c r="T147">
        <v>1.797549E-2</v>
      </c>
      <c r="U147">
        <v>2.3477069999999999E-2</v>
      </c>
      <c r="V147">
        <v>-2.5808049999999999E-2</v>
      </c>
      <c r="W147">
        <v>3.90304E-3</v>
      </c>
      <c r="X147">
        <v>3.0234440000000001E-2</v>
      </c>
      <c r="Y147">
        <v>-4.4280600000000002E-3</v>
      </c>
      <c r="Z147">
        <v>2.1018519999999999E-2</v>
      </c>
      <c r="AA147">
        <v>-3.44385E-3</v>
      </c>
      <c r="AB147">
        <v>1.426435E-2</v>
      </c>
      <c r="AC147">
        <v>-2.2209600000000001E-3</v>
      </c>
      <c r="AD147">
        <v>1.6401829999999999E-2</v>
      </c>
      <c r="AE147">
        <v>-1.550345E-2</v>
      </c>
      <c r="AF147">
        <v>3.1240399999999998E-3</v>
      </c>
      <c r="AG147">
        <v>-2.1844619999999999E-2</v>
      </c>
      <c r="AH147">
        <v>-9.8882399999999995E-3</v>
      </c>
      <c r="AI147">
        <v>-1.9427429999999999E-2</v>
      </c>
      <c r="AJ147">
        <v>7.1061099999999997E-3</v>
      </c>
      <c r="AK147">
        <v>3.81124E-3</v>
      </c>
      <c r="AL147">
        <v>2.2091699999999999E-2</v>
      </c>
      <c r="AM147">
        <v>3.2777859999999999E-2</v>
      </c>
      <c r="AN147">
        <v>1.0880809999999999E-2</v>
      </c>
      <c r="AO147">
        <v>-1.229629E-2</v>
      </c>
      <c r="AP147">
        <v>4.8230759999999998E-2</v>
      </c>
      <c r="AQ147">
        <v>-1.6686650000000001E-2</v>
      </c>
      <c r="AR147">
        <v>2.4235179999999999E-2</v>
      </c>
      <c r="AS147">
        <v>-8.7221299999999998E-3</v>
      </c>
      <c r="AT147">
        <v>3.5328070000000003E-2</v>
      </c>
      <c r="AU147">
        <v>-1.442857E-2</v>
      </c>
      <c r="AV147">
        <v>1.172953E-2</v>
      </c>
      <c r="AW147">
        <v>1.5790370000000001E-2</v>
      </c>
      <c r="AX147">
        <v>9.6378000000000002E-3</v>
      </c>
      <c r="AY147">
        <v>2.447187E-2</v>
      </c>
      <c r="AZ147">
        <v>-1.3766250000000001E-2</v>
      </c>
      <c r="BA147">
        <v>5.7950410000000001E-2</v>
      </c>
      <c r="BB147">
        <v>4.411905E-2</v>
      </c>
      <c r="BC147">
        <v>2.045951E-2</v>
      </c>
      <c r="BD147">
        <v>2.730175E-2</v>
      </c>
      <c r="BE147">
        <v>2.0204030000000001E-2</v>
      </c>
      <c r="BF147">
        <v>-1.0405920000000001E-2</v>
      </c>
      <c r="BG147">
        <v>5.1077490000000003E-2</v>
      </c>
      <c r="BH147">
        <v>3.6819400000000002E-2</v>
      </c>
      <c r="BI147">
        <v>2.7191750000000001E-2</v>
      </c>
      <c r="BJ147">
        <v>1.1003239999999999E-2</v>
      </c>
      <c r="BK147">
        <v>-2.338867E-2</v>
      </c>
      <c r="BL147">
        <v>3.1324270000000001E-2</v>
      </c>
      <c r="BM147">
        <v>2.3800350000000001E-2</v>
      </c>
      <c r="BN147">
        <v>-8.7235000000000004E-4</v>
      </c>
      <c r="BO147">
        <v>5.6391330000000003E-2</v>
      </c>
      <c r="BP147">
        <v>0.11008776000000001</v>
      </c>
      <c r="BQ147">
        <v>4.7374609999999998E-2</v>
      </c>
      <c r="BR147">
        <v>7.0002289999999995E-2</v>
      </c>
      <c r="BS147">
        <v>-7.5457600000000003E-3</v>
      </c>
      <c r="BT147">
        <v>6.8462410000000001E-2</v>
      </c>
      <c r="BU147">
        <v>3.0978169999999999E-2</v>
      </c>
      <c r="BV147">
        <v>6.8933330000000001E-2</v>
      </c>
      <c r="BW147">
        <v>7.0960850000000006E-2</v>
      </c>
      <c r="BX147">
        <v>4.1748470000000003E-2</v>
      </c>
      <c r="BY147">
        <v>3.3910460000000003E-2</v>
      </c>
      <c r="BZ147">
        <v>0.10054630000000001</v>
      </c>
      <c r="CA147">
        <v>-1.3741389999999999E-2</v>
      </c>
      <c r="CB147">
        <v>-3.5237000000000002E-4</v>
      </c>
      <c r="CC147">
        <v>2.1182059999999999E-2</v>
      </c>
      <c r="CD147">
        <v>9.0374990000000002E-2</v>
      </c>
      <c r="CE147">
        <v>2.753092E-2</v>
      </c>
      <c r="CF147">
        <v>-1.9939200000000002E-3</v>
      </c>
      <c r="CG147">
        <v>4.985498E-2</v>
      </c>
      <c r="CH147">
        <v>7.4368660000000003E-2</v>
      </c>
      <c r="CI147">
        <v>-5.82081E-3</v>
      </c>
      <c r="CJ147">
        <v>3.9054569999999997E-2</v>
      </c>
      <c r="CK147">
        <v>5.8603089999999997E-2</v>
      </c>
      <c r="CL147">
        <v>9.5759040000000004E-2</v>
      </c>
      <c r="CM147">
        <v>9.009607E-2</v>
      </c>
      <c r="CN147">
        <v>4.0430430000000003E-2</v>
      </c>
      <c r="CO147">
        <v>2.249601E-2</v>
      </c>
      <c r="CP147">
        <v>6.21776E-2</v>
      </c>
      <c r="CQ147">
        <v>8.6208350000000003E-2</v>
      </c>
      <c r="CR147">
        <v>8.9065610000000003E-2</v>
      </c>
      <c r="CS147">
        <v>3.2471809999999997E-2</v>
      </c>
      <c r="CT147">
        <v>7.3845400000000002E-3</v>
      </c>
      <c r="CU147">
        <v>4.0825729999999998E-2</v>
      </c>
      <c r="CV147">
        <v>4.7677480000000001E-2</v>
      </c>
      <c r="CW147">
        <v>6.9696750000000002E-2</v>
      </c>
      <c r="CX147">
        <v>0.13945874999999999</v>
      </c>
      <c r="CY147">
        <v>5.4097739999999998E-2</v>
      </c>
      <c r="CZ147">
        <v>7.8951590000000002E-2</v>
      </c>
      <c r="DA147">
        <v>5.5119139999999997E-2</v>
      </c>
      <c r="DB147">
        <v>7.4284269999999999E-2</v>
      </c>
      <c r="DC147">
        <v>3.9800849999999999E-2</v>
      </c>
      <c r="DD147">
        <v>0.11433321</v>
      </c>
      <c r="DE147">
        <v>8.4589520000000001E-2</v>
      </c>
      <c r="DF147">
        <v>0.10034574</v>
      </c>
      <c r="DG147">
        <v>7.7155440000000006E-2</v>
      </c>
      <c r="DH147">
        <v>9.6644389999999997E-2</v>
      </c>
      <c r="DI147">
        <v>8.802567E-2</v>
      </c>
      <c r="DJ147">
        <v>6.8331199999999995E-2</v>
      </c>
      <c r="DK147">
        <v>0.11319293</v>
      </c>
      <c r="DL147">
        <v>1.73938E-3</v>
      </c>
      <c r="DM147">
        <v>7.1828230000000007E-2</v>
      </c>
      <c r="DN147">
        <v>8.1160670000000004E-2</v>
      </c>
      <c r="DO147">
        <v>6.8653610000000004E-2</v>
      </c>
      <c r="DP147">
        <v>9.3362970000000003E-2</v>
      </c>
      <c r="DQ147">
        <v>0.13946632</v>
      </c>
      <c r="DR147">
        <v>0.14331119</v>
      </c>
      <c r="DS147">
        <v>0.10269154</v>
      </c>
      <c r="DT147">
        <v>0.23134288</v>
      </c>
      <c r="DU147">
        <v>0.22481689999999999</v>
      </c>
      <c r="DV147">
        <v>0.20952359000000001</v>
      </c>
      <c r="DW147">
        <v>0.15599366000000001</v>
      </c>
      <c r="DX147">
        <v>8.5760310000000006E-2</v>
      </c>
      <c r="DY147">
        <v>0.14270172</v>
      </c>
      <c r="DZ147">
        <v>0.15789569000000001</v>
      </c>
      <c r="EA147">
        <v>0.19859261</v>
      </c>
      <c r="EB147">
        <v>0.22727739999999999</v>
      </c>
      <c r="EC147">
        <v>6.4981000000000001E-4</v>
      </c>
      <c r="ED147">
        <v>0.12768809</v>
      </c>
      <c r="EE147">
        <v>0.17005256999999999</v>
      </c>
      <c r="EF147">
        <v>0.11424469</v>
      </c>
      <c r="EG147">
        <v>0.11175488</v>
      </c>
      <c r="EH147">
        <v>0.29020443000000001</v>
      </c>
      <c r="EI147">
        <v>0.17148822</v>
      </c>
      <c r="EJ147">
        <v>0.29881144999999998</v>
      </c>
      <c r="EK147">
        <v>0.23914779999999999</v>
      </c>
      <c r="EL147">
        <v>0.27857307999999997</v>
      </c>
      <c r="EM147">
        <v>1.2596237699999999</v>
      </c>
      <c r="EN147">
        <v>0.19493142999999999</v>
      </c>
      <c r="EO147">
        <v>0.11181263</v>
      </c>
      <c r="EP147">
        <f t="shared" si="4"/>
        <v>0</v>
      </c>
      <c r="EQ147">
        <f>SUMIF('Mi portafolio'!$A$8:$A$19,$A147,'Mi portafolio'!$B$8:$B$19)</f>
        <v>0</v>
      </c>
    </row>
    <row r="148" spans="1:147" x14ac:dyDescent="0.25">
      <c r="A148" s="34" t="s">
        <v>226</v>
      </c>
      <c r="B148">
        <v>3.7576300000000001E-3</v>
      </c>
      <c r="C148">
        <v>-3.1549799999999999E-3</v>
      </c>
      <c r="D148">
        <v>2.4907800000000002E-3</v>
      </c>
      <c r="E148">
        <v>8.0595900000000002E-3</v>
      </c>
      <c r="F148">
        <v>2.1244829999999999E-2</v>
      </c>
      <c r="G148">
        <v>9.4336100000000003E-3</v>
      </c>
      <c r="H148">
        <v>7.4776499999999997E-3</v>
      </c>
      <c r="I148">
        <v>2.4813040000000001E-2</v>
      </c>
      <c r="J148">
        <v>3.8183620000000001E-2</v>
      </c>
      <c r="K148">
        <v>2.734232E-2</v>
      </c>
      <c r="L148">
        <v>3.8957E-4</v>
      </c>
      <c r="M148">
        <v>5.8270710000000003E-2</v>
      </c>
      <c r="N148">
        <v>8.2738419999999993E-2</v>
      </c>
      <c r="O148">
        <v>-3.4888300000000001E-3</v>
      </c>
      <c r="P148">
        <v>6.1983000000000003E-3</v>
      </c>
      <c r="Q148">
        <v>-1.924474E-2</v>
      </c>
      <c r="R148">
        <v>2.9728859999999999E-2</v>
      </c>
      <c r="S148">
        <v>2.1363110000000001E-2</v>
      </c>
      <c r="T148">
        <v>1.8933769999999999E-2</v>
      </c>
      <c r="U148">
        <v>5.5584620000000001E-2</v>
      </c>
      <c r="V148">
        <v>-3.9493200000000001E-3</v>
      </c>
      <c r="W148">
        <v>3.2906770000000002E-2</v>
      </c>
      <c r="X148">
        <v>2.4036269999999998E-2</v>
      </c>
      <c r="Y148">
        <v>2.6326100000000002E-2</v>
      </c>
      <c r="Z148">
        <v>3.2178690000000003E-2</v>
      </c>
      <c r="AA148">
        <v>4.7740749999999998E-2</v>
      </c>
      <c r="AB148">
        <v>2.3970020000000002E-2</v>
      </c>
      <c r="AC148">
        <v>8.1668000000000001E-3</v>
      </c>
      <c r="AD148">
        <v>1.2883E-2</v>
      </c>
      <c r="AE148">
        <v>2.2817199999999999E-2</v>
      </c>
      <c r="AF148">
        <v>1.3860330000000001E-2</v>
      </c>
      <c r="AG148">
        <v>-1.550809E-2</v>
      </c>
      <c r="AH148">
        <v>-6.8139100000000003E-3</v>
      </c>
      <c r="AI148">
        <v>-1.9846220000000001E-2</v>
      </c>
      <c r="AJ148">
        <v>3.832315E-2</v>
      </c>
      <c r="AK148">
        <v>1.102593E-2</v>
      </c>
      <c r="AL148">
        <v>6.0003460000000002E-2</v>
      </c>
      <c r="AM148">
        <v>4.1997600000000003E-2</v>
      </c>
      <c r="AN148">
        <v>6.7735740000000003E-2</v>
      </c>
      <c r="AO148">
        <v>7.6351180000000005E-2</v>
      </c>
      <c r="AP148">
        <v>8.6744180000000004E-2</v>
      </c>
      <c r="AQ148">
        <v>-2.8014170000000001E-2</v>
      </c>
      <c r="AR148">
        <v>1.496567E-2</v>
      </c>
      <c r="AS148">
        <v>2.447237E-2</v>
      </c>
      <c r="AT148">
        <v>6.5626699999999996E-2</v>
      </c>
      <c r="AU148">
        <v>2.62989E-2</v>
      </c>
      <c r="AV148">
        <v>8.4580899999999997E-3</v>
      </c>
      <c r="AW148">
        <v>3.1129670000000002E-2</v>
      </c>
      <c r="AX148">
        <v>8.6853970000000003E-2</v>
      </c>
      <c r="AY148">
        <v>3.3733150000000003E-2</v>
      </c>
      <c r="AZ148">
        <v>4.3565600000000003E-2</v>
      </c>
      <c r="BA148">
        <v>2.421034E-2</v>
      </c>
      <c r="BB148">
        <v>2.9502090000000002E-2</v>
      </c>
      <c r="BC148">
        <v>1.0333770000000001E-2</v>
      </c>
      <c r="BD148">
        <v>2.1633400000000001E-2</v>
      </c>
      <c r="BE148">
        <v>0.18067743999999999</v>
      </c>
      <c r="BF148">
        <v>3.4381380000000003E-2</v>
      </c>
      <c r="BG148">
        <v>9.4909389999999996E-2</v>
      </c>
      <c r="BH148">
        <v>2.3123189999999998E-2</v>
      </c>
      <c r="BI148">
        <v>1.020999E-2</v>
      </c>
      <c r="BJ148">
        <v>1.3890059999999999E-2</v>
      </c>
      <c r="BK148">
        <v>3.1510259999999998E-2</v>
      </c>
      <c r="BL148">
        <v>5.1380040000000002E-2</v>
      </c>
      <c r="BM148">
        <v>5.2280930000000003E-2</v>
      </c>
      <c r="BN148">
        <v>9.5293500000000007E-3</v>
      </c>
      <c r="BO148">
        <v>6.0222270000000001E-2</v>
      </c>
      <c r="BP148">
        <v>3.1058390000000002E-2</v>
      </c>
      <c r="BQ148">
        <v>2.6199589999999998E-2</v>
      </c>
      <c r="BR148">
        <v>1.8525900000000001E-2</v>
      </c>
      <c r="BS148">
        <v>-2.3076619999999999E-2</v>
      </c>
      <c r="BT148">
        <v>2.5462370000000002E-2</v>
      </c>
      <c r="BU148">
        <v>4.48683E-2</v>
      </c>
      <c r="BV148">
        <v>6.6302899999999998E-2</v>
      </c>
      <c r="BW148">
        <v>5.4971279999999997E-2</v>
      </c>
      <c r="BX148">
        <v>0.11095052</v>
      </c>
      <c r="BY148">
        <v>6.0428660000000002E-2</v>
      </c>
      <c r="BZ148">
        <v>6.8396440000000003E-2</v>
      </c>
      <c r="CA148">
        <v>3.9659769999999997E-2</v>
      </c>
      <c r="CB148">
        <v>-3.6911260000000001E-2</v>
      </c>
      <c r="CC148">
        <v>4.6888590000000001E-2</v>
      </c>
      <c r="CD148">
        <v>0.1172131</v>
      </c>
      <c r="CE148">
        <v>2.1792760000000001E-2</v>
      </c>
      <c r="CF148">
        <v>-1.7068199999999999E-2</v>
      </c>
      <c r="CG148">
        <v>0.11542961</v>
      </c>
      <c r="CH148">
        <v>7.6984730000000001E-2</v>
      </c>
      <c r="CI148">
        <v>-1.499964E-2</v>
      </c>
      <c r="CJ148">
        <v>7.7822870000000002E-2</v>
      </c>
      <c r="CK148">
        <v>7.2792850000000006E-2</v>
      </c>
      <c r="CL148">
        <v>9.1663590000000003E-2</v>
      </c>
      <c r="CM148">
        <v>2.0236179999999999E-2</v>
      </c>
      <c r="CN148">
        <v>2.7029900000000002E-3</v>
      </c>
      <c r="CO148">
        <v>3.6546769999999999E-2</v>
      </c>
      <c r="CP148">
        <v>7.1942210000000006E-2</v>
      </c>
      <c r="CQ148">
        <v>5.2410859999999997E-2</v>
      </c>
      <c r="CR148">
        <v>6.038847E-2</v>
      </c>
      <c r="CS148">
        <v>2.6318009999999999E-2</v>
      </c>
      <c r="CT148">
        <v>7.7648190000000006E-2</v>
      </c>
      <c r="CU148">
        <v>1.452909E-2</v>
      </c>
      <c r="CV148">
        <v>5.0831269999999998E-2</v>
      </c>
      <c r="CW148">
        <v>0.12926599999999999</v>
      </c>
      <c r="CX148">
        <v>0.10097531</v>
      </c>
      <c r="CY148">
        <v>7.3047000000000001E-2</v>
      </c>
      <c r="CZ148">
        <v>6.1721499999999999E-2</v>
      </c>
      <c r="DA148">
        <v>7.1780189999999994E-2</v>
      </c>
      <c r="DB148">
        <v>0.11819554</v>
      </c>
      <c r="DC148">
        <v>6.2374209999999999E-2</v>
      </c>
      <c r="DD148">
        <v>0.12602042999999999</v>
      </c>
      <c r="DE148">
        <v>0.13615313000000001</v>
      </c>
      <c r="DF148">
        <v>5.5153500000000001E-2</v>
      </c>
      <c r="DG148">
        <v>0.17700083999999999</v>
      </c>
      <c r="DH148">
        <v>1.268973E-2</v>
      </c>
      <c r="DI148">
        <v>8.2589529999999994E-2</v>
      </c>
      <c r="DJ148">
        <v>9.2213050000000005E-2</v>
      </c>
      <c r="DK148">
        <v>7.4615849999999997E-2</v>
      </c>
      <c r="DL148">
        <v>7.7650949999999996E-2</v>
      </c>
      <c r="DM148">
        <v>9.9455849999999998E-2</v>
      </c>
      <c r="DN148">
        <v>8.2120029999999997E-2</v>
      </c>
      <c r="DO148">
        <v>9.4637499999999999E-2</v>
      </c>
      <c r="DP148">
        <v>9.8731520000000003E-2</v>
      </c>
      <c r="DQ148">
        <v>7.3004910000000006E-2</v>
      </c>
      <c r="DR148">
        <v>0.11930035999999999</v>
      </c>
      <c r="DS148">
        <v>9.4347630000000002E-2</v>
      </c>
      <c r="DT148">
        <v>8.1174659999999996E-2</v>
      </c>
      <c r="DU148">
        <v>0.1596233</v>
      </c>
      <c r="DV148">
        <v>0.12319355999999999</v>
      </c>
      <c r="DW148">
        <v>0.10243807000000001</v>
      </c>
      <c r="DX148">
        <v>5.3424159999999998E-2</v>
      </c>
      <c r="DY148">
        <v>0.17102934</v>
      </c>
      <c r="DZ148">
        <v>2.5317860000000001E-2</v>
      </c>
      <c r="EA148">
        <v>0.38876057000000003</v>
      </c>
      <c r="EB148">
        <v>0.21161537999999999</v>
      </c>
      <c r="EC148">
        <v>3.4087739999999998E-2</v>
      </c>
      <c r="ED148">
        <v>0.21255927999999999</v>
      </c>
      <c r="EE148">
        <v>9.6602960000000002E-2</v>
      </c>
      <c r="EF148">
        <v>-2.1082000000000002E-3</v>
      </c>
      <c r="EG148">
        <v>0.11194773</v>
      </c>
      <c r="EH148">
        <v>0.11495515000000001</v>
      </c>
      <c r="EI148">
        <v>0.11827124999999999</v>
      </c>
      <c r="EJ148">
        <v>0.24795305000000001</v>
      </c>
      <c r="EK148">
        <v>0.21700138999999999</v>
      </c>
      <c r="EL148">
        <v>0.17954568000000001</v>
      </c>
      <c r="EM148">
        <v>0.19493142999999999</v>
      </c>
      <c r="EN148">
        <v>1.68248234</v>
      </c>
      <c r="EO148">
        <v>0.25289767000000002</v>
      </c>
      <c r="EP148">
        <f t="shared" si="4"/>
        <v>0</v>
      </c>
      <c r="EQ148">
        <f>SUMIF('Mi portafolio'!$A$8:$A$19,$A148,'Mi portafolio'!$B$8:$B$19)</f>
        <v>0</v>
      </c>
    </row>
    <row r="149" spans="1:147" x14ac:dyDescent="0.25">
      <c r="A149" s="34" t="s">
        <v>227</v>
      </c>
      <c r="B149">
        <v>-9.5233000000000004E-4</v>
      </c>
      <c r="C149">
        <v>1.2462630000000001E-2</v>
      </c>
      <c r="D149">
        <v>-2.7737319999999999E-2</v>
      </c>
      <c r="E149">
        <v>8.3510200000000007E-3</v>
      </c>
      <c r="F149">
        <v>3.1865270000000001E-2</v>
      </c>
      <c r="G149">
        <v>2.8785229999999998E-2</v>
      </c>
      <c r="H149">
        <v>8.2820600000000008E-3</v>
      </c>
      <c r="I149">
        <v>8.9950299999999993E-3</v>
      </c>
      <c r="J149">
        <v>-1.05521E-2</v>
      </c>
      <c r="K149">
        <v>7.4067999999999998E-3</v>
      </c>
      <c r="L149">
        <v>1.4187979999999999E-2</v>
      </c>
      <c r="M149">
        <v>4.2635909999999999E-2</v>
      </c>
      <c r="N149">
        <v>1.273964E-2</v>
      </c>
      <c r="O149">
        <v>8.2692200000000007E-3</v>
      </c>
      <c r="P149">
        <v>6.0511899999999997E-3</v>
      </c>
      <c r="Q149">
        <v>8.4468600000000005E-3</v>
      </c>
      <c r="R149">
        <v>1.2266880000000001E-2</v>
      </c>
      <c r="S149">
        <v>-2.2385579999999999E-2</v>
      </c>
      <c r="T149">
        <v>2.2164440000000001E-2</v>
      </c>
      <c r="U149">
        <v>3.0318459999999998E-2</v>
      </c>
      <c r="V149">
        <v>1.37488E-3</v>
      </c>
      <c r="W149">
        <v>-3.9415400000000003E-3</v>
      </c>
      <c r="X149">
        <v>3.0843430000000002E-2</v>
      </c>
      <c r="Y149">
        <v>1.6469109999999999E-2</v>
      </c>
      <c r="Z149">
        <v>2.345912E-2</v>
      </c>
      <c r="AA149">
        <v>-8.1677199999999998E-3</v>
      </c>
      <c r="AB149">
        <v>1.788787E-2</v>
      </c>
      <c r="AC149">
        <v>9.0978900000000008E-3</v>
      </c>
      <c r="AD149">
        <v>-1.4017470000000001E-2</v>
      </c>
      <c r="AE149">
        <v>2.1459300000000001E-2</v>
      </c>
      <c r="AF149">
        <v>-2.6179250000000001E-2</v>
      </c>
      <c r="AG149">
        <v>-4.3681240000000003E-2</v>
      </c>
      <c r="AH149">
        <v>-1.559984E-2</v>
      </c>
      <c r="AI149">
        <v>-7.3339199999999998E-3</v>
      </c>
      <c r="AJ149">
        <v>1.015752E-2</v>
      </c>
      <c r="AK149">
        <v>3.1999529999999998E-2</v>
      </c>
      <c r="AL149">
        <v>5.5462459999999998E-2</v>
      </c>
      <c r="AM149">
        <v>2.5232319999999999E-2</v>
      </c>
      <c r="AN149">
        <v>6.2081869999999997E-2</v>
      </c>
      <c r="AO149">
        <v>1.4597870000000001E-2</v>
      </c>
      <c r="AP149">
        <v>8.9927339999999995E-2</v>
      </c>
      <c r="AQ149">
        <v>-5.6791300000000001E-3</v>
      </c>
      <c r="AR149">
        <v>2.7729469999999999E-2</v>
      </c>
      <c r="AS149">
        <v>5.970901E-2</v>
      </c>
      <c r="AT149">
        <v>7.64706E-2</v>
      </c>
      <c r="AU149">
        <v>-1.35406E-3</v>
      </c>
      <c r="AV149">
        <v>4.2340889999999999E-2</v>
      </c>
      <c r="AW149">
        <v>1.37155E-2</v>
      </c>
      <c r="AX149">
        <v>3.6114109999999998E-2</v>
      </c>
      <c r="AY149">
        <v>2.0719620000000001E-2</v>
      </c>
      <c r="AZ149">
        <v>-2.2107000000000002E-2</v>
      </c>
      <c r="BA149">
        <v>5.5828339999999997E-2</v>
      </c>
      <c r="BB149">
        <v>5.7732159999999998E-2</v>
      </c>
      <c r="BC149">
        <v>-3.6282790000000002E-2</v>
      </c>
      <c r="BD149">
        <v>6.3996140000000007E-2</v>
      </c>
      <c r="BE149">
        <v>3.5914370000000001E-2</v>
      </c>
      <c r="BF149">
        <v>7.1719889999999994E-2</v>
      </c>
      <c r="BG149">
        <v>8.4786829999999994E-2</v>
      </c>
      <c r="BH149">
        <v>3.3510249999999998E-2</v>
      </c>
      <c r="BI149">
        <v>-3.3884110000000002E-2</v>
      </c>
      <c r="BJ149">
        <v>-2.8616929999999999E-2</v>
      </c>
      <c r="BK149">
        <v>-6.3150330000000005E-2</v>
      </c>
      <c r="BL149">
        <v>8.0943100000000004E-2</v>
      </c>
      <c r="BM149">
        <v>0.10063336000000001</v>
      </c>
      <c r="BN149">
        <v>2.8758200000000001E-2</v>
      </c>
      <c r="BO149">
        <v>5.8152200000000001E-2</v>
      </c>
      <c r="BP149">
        <v>6.0570840000000001E-2</v>
      </c>
      <c r="BQ149">
        <v>-5.1224699999999996E-3</v>
      </c>
      <c r="BR149">
        <v>6.8306889999999995E-2</v>
      </c>
      <c r="BS149">
        <v>-2.1113400000000002E-3</v>
      </c>
      <c r="BT149">
        <v>7.1797369999999999E-2</v>
      </c>
      <c r="BU149">
        <v>3.5317979999999999E-2</v>
      </c>
      <c r="BV149">
        <v>0.10100662000000001</v>
      </c>
      <c r="BW149">
        <v>6.3685989999999998E-2</v>
      </c>
      <c r="BX149">
        <v>1.651861E-2</v>
      </c>
      <c r="BY149">
        <v>0.18064494</v>
      </c>
      <c r="BZ149">
        <v>9.0213699999999994E-2</v>
      </c>
      <c r="CA149">
        <v>-2.4433590000000002E-2</v>
      </c>
      <c r="CB149">
        <v>-5.2559420000000003E-2</v>
      </c>
      <c r="CC149">
        <v>5.2167970000000001E-2</v>
      </c>
      <c r="CD149">
        <v>6.5180680000000005E-2</v>
      </c>
      <c r="CE149">
        <v>6.3164139999999994E-2</v>
      </c>
      <c r="CF149">
        <v>-2.8325690000000001E-2</v>
      </c>
      <c r="CG149">
        <v>0.10435831</v>
      </c>
      <c r="CH149">
        <v>6.6695340000000006E-2</v>
      </c>
      <c r="CI149">
        <v>-2.1309519999999998E-2</v>
      </c>
      <c r="CJ149">
        <v>0.10208963</v>
      </c>
      <c r="CK149">
        <v>9.1788759999999997E-2</v>
      </c>
      <c r="CL149">
        <v>9.6882019999999999E-2</v>
      </c>
      <c r="CM149">
        <v>7.2198289999999998E-2</v>
      </c>
      <c r="CN149">
        <v>1.665664E-2</v>
      </c>
      <c r="CO149">
        <v>1.1837759999999999E-2</v>
      </c>
      <c r="CP149">
        <v>6.3167719999999997E-2</v>
      </c>
      <c r="CQ149">
        <v>9.346749E-2</v>
      </c>
      <c r="CR149">
        <v>9.0557760000000001E-2</v>
      </c>
      <c r="CS149">
        <v>6.5202549999999998E-2</v>
      </c>
      <c r="CT149">
        <v>0.13035943</v>
      </c>
      <c r="CU149">
        <v>8.8306280000000001E-2</v>
      </c>
      <c r="CV149">
        <v>5.6329539999999997E-2</v>
      </c>
      <c r="CW149">
        <v>0.11097897</v>
      </c>
      <c r="CX149">
        <v>9.8729609999999995E-2</v>
      </c>
      <c r="CY149">
        <v>9.5535659999999994E-2</v>
      </c>
      <c r="CZ149">
        <v>6.4316209999999999E-2</v>
      </c>
      <c r="DA149">
        <v>9.3865069999999995E-2</v>
      </c>
      <c r="DB149">
        <v>0.1309467</v>
      </c>
      <c r="DC149">
        <v>7.9804949999999999E-2</v>
      </c>
      <c r="DD149">
        <v>0.17129331</v>
      </c>
      <c r="DE149">
        <v>0.12792799999999999</v>
      </c>
      <c r="DF149">
        <v>0.11935447</v>
      </c>
      <c r="DG149">
        <v>3.3189280000000002E-2</v>
      </c>
      <c r="DH149">
        <v>5.242728E-2</v>
      </c>
      <c r="DI149">
        <v>8.7628170000000005E-2</v>
      </c>
      <c r="DJ149">
        <v>0.14113543000000001</v>
      </c>
      <c r="DK149">
        <v>8.8743169999999996E-2</v>
      </c>
      <c r="DL149">
        <v>2.033983E-2</v>
      </c>
      <c r="DM149">
        <v>0.16150719999999999</v>
      </c>
      <c r="DN149">
        <v>0.15169105999999999</v>
      </c>
      <c r="DO149">
        <v>9.5464129999999994E-2</v>
      </c>
      <c r="DP149">
        <v>0.15884290000000001</v>
      </c>
      <c r="DQ149">
        <v>3.2445590000000003E-2</v>
      </c>
      <c r="DR149">
        <v>5.6830159999999998E-2</v>
      </c>
      <c r="DS149">
        <v>0.13140492000000001</v>
      </c>
      <c r="DT149">
        <v>0.14504348</v>
      </c>
      <c r="DU149">
        <v>0.22475970000000001</v>
      </c>
      <c r="DV149">
        <v>0.14568571</v>
      </c>
      <c r="DW149">
        <v>0.10718013</v>
      </c>
      <c r="DX149">
        <v>0.10561542</v>
      </c>
      <c r="DY149">
        <v>0.25775533</v>
      </c>
      <c r="DZ149">
        <v>0.10940614999999999</v>
      </c>
      <c r="EA149">
        <v>0.1102971</v>
      </c>
      <c r="EB149">
        <v>0.31284174999999997</v>
      </c>
      <c r="EC149">
        <v>3.348251E-2</v>
      </c>
      <c r="ED149">
        <v>0.15473523</v>
      </c>
      <c r="EE149">
        <v>0.16350676</v>
      </c>
      <c r="EF149">
        <v>2.275245E-2</v>
      </c>
      <c r="EG149">
        <v>0.1190278</v>
      </c>
      <c r="EH149">
        <v>8.9999319999999994E-2</v>
      </c>
      <c r="EI149">
        <v>9.2029730000000004E-2</v>
      </c>
      <c r="EJ149">
        <v>0.11656583</v>
      </c>
      <c r="EK149">
        <v>0.27755521</v>
      </c>
      <c r="EL149">
        <v>0.21183942</v>
      </c>
      <c r="EM149">
        <v>0.11181263</v>
      </c>
      <c r="EN149">
        <v>0.25289767000000002</v>
      </c>
      <c r="EO149">
        <v>2.8941734600000002</v>
      </c>
      <c r="EP149">
        <f t="shared" si="4"/>
        <v>0</v>
      </c>
      <c r="EQ149">
        <f>SUMIF('Mi portafolio'!$A$8:$A$19,$A149,'Mi portafolio'!$B$8:$B$19)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Leeme</vt:lpstr>
      <vt:lpstr>Mi portafolio</vt:lpstr>
      <vt:lpstr>Acciones</vt:lpstr>
      <vt:lpstr>Correlaciones</vt:lpstr>
      <vt:lpstr>Covarianza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EMILIO MARTINEZ CANSECO</cp:lastModifiedBy>
  <dcterms:created xsi:type="dcterms:W3CDTF">2026-10-08T16:30:44Z</dcterms:created>
  <dcterms:modified xsi:type="dcterms:W3CDTF">2026-10-08T16:31:34Z</dcterms:modified>
</cp:coreProperties>
</file>