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de mortalidad" sheetId="1" state="visible" r:id="rId3"/>
    <sheet name="Insumos" sheetId="2" state="visible" r:id="rId4"/>
  </sheets>
  <definedNames>
    <definedName function="false" hidden="false" localSheetId="0" name="_xlnm.Print_Titles" vbProcedure="false">'Tabla de mortalidad'!$3:$4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Selene:
Los que han sobrevivido a determina edad</t>
        </r>
      </text>
    </comment>
  </commentList>
</comments>
</file>

<file path=xl/sharedStrings.xml><?xml version="1.0" encoding="utf-8"?>
<sst xmlns="http://schemas.openxmlformats.org/spreadsheetml/2006/main" count="43" uniqueCount="42">
  <si>
    <t xml:space="preserve">Tabla de mortalidad</t>
  </si>
  <si>
    <t xml:space="preserve">Cuadro: Tabla de mortalidad de México, 2019, ambos sexos (INEGI)</t>
  </si>
  <si>
    <t xml:space="preserve">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</si>
  <si>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</si>
  <si>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</si>
  <si>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</si>
  <si>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</si>
  <si>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</si>
  <si>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</si>
  <si>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Nota técnica  (qx)</t>
  </si>
  <si>
    <t xml:space="preserve">Probabilidad de muerte: defunciones xi/PI</t>
  </si>
  <si>
    <t xml:space="preserve">Supervivientes a una edad exacto</t>
  </si>
  <si>
    <t xml:space="preserve">Defunciones xi</t>
  </si>
  <si>
    <t xml:space="preserve">Años vividos entre aniversario</t>
  </si>
  <si>
    <t xml:space="preserve">Años vividos acumulados: Años que quedan por vivir</t>
  </si>
  <si>
    <t xml:space="preserve">La media de vida una generación hasta su extinción</t>
  </si>
  <si>
    <t xml:space="preserve">q(x): Probabilidad de muerte</t>
  </si>
  <si>
    <t xml:space="preserve">Nacimientos</t>
  </si>
  <si>
    <t xml:space="preserve">Defunciones (menores de 1 año)</t>
  </si>
  <si>
    <t xml:space="preserve">q(x)</t>
  </si>
  <si>
    <t xml:space="preserve">q(0) = defunciones de menores de 1 año / nacimientos</t>
  </si>
  <si>
    <t xml:space="preserve">q(x), x = 1…99 = defunciones / (población + defunciones/2)</t>
  </si>
  <si>
    <t xml:space="preserve">Los que han sobrevivido a una determinada edad</t>
  </si>
  <si>
    <t xml:space="preserve">Lx= lx+1+(dx/2)</t>
  </si>
  <si>
    <t xml:space="preserve">Año de referencia</t>
  </si>
  <si>
    <t xml:space="preserve">Defunciones y nacimientos ocurridos en 2019; población del Censo 2020</t>
  </si>
  <si>
    <t xml:space="preserve">Defunciones y población de cada edad: hoja Insumos (preparadas en el libro 1_Preparacion_datos_INEGI_2019.xlsx)</t>
  </si>
  <si>
    <t xml:space="preserve">Tx = Lx + L(x+1) + … + L100</t>
  </si>
  <si>
    <t xml:space="preserve">ex = Tx / lx</t>
  </si>
  <si>
    <t xml:space="preserve">Edad 100 = grupo abierto (100 y más): qx = 1</t>
  </si>
  <si>
    <t xml:space="preserve">Control: suma de dx − radix</t>
  </si>
  <si>
    <t xml:space="preserve">Fuente: INEGI (Estadística de Nacimientos Registrados, Estadísticas de Defunciones Registradas y Censo de Población y Vivienda 2020).</t>
  </si>
  <si>
    <t xml:space="preserve">Datos: hoja Insumos. Cómo se obtuvieron: libro 1_Preparacion_datos_INEGI_2019.xlsx y carpeta bases_de_datos_INEGI/.</t>
  </si>
  <si>
    <t xml:space="preserve">Insumos de la tabla de mortalidad: defunciones y población usadas, México 2019, ambos sexos</t>
  </si>
  <si>
    <t xml:space="preserve">Valores tomados del libro 1_Preparacion_datos_INEGI_2019.xlsx (hoja Preparación, columnas D y F). Aquí solo se leen; la tabla los usa en la fórmula q(x) = D / (P + D/2).</t>
  </si>
  <si>
    <t xml:space="preserve">Edad x</t>
  </si>
  <si>
    <t xml:space="preserve">Defunciones usadas (D)</t>
  </si>
  <si>
    <t xml:space="preserve">Población usada (P)</t>
  </si>
  <si>
    <t xml:space="preserve">Dato</t>
  </si>
  <si>
    <t xml:space="preserve">Valor</t>
  </si>
  <si>
    <t xml:space="preserve">Nacimientos 2019 (ENR)</t>
  </si>
  <si>
    <t xml:space="preserve">Edad 0: defunciones de menores de 1 año (se divide entre nacimientos, no entre población). Edad 100: grupo abierto, q = 1.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</si>
</sst>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0"/>
    <numFmt numFmtId="166" formatCode="#,##0"/>
    <numFmt numFmtId="167" formatCode="0.00"/>
    <numFmt numFmtId="168" formatCode="_-* #,##0.00_-;\-* #,##0.00_-;_-* \-??_-;_-@_-"/>
    <numFmt numFmtId="169" formatCode="0;\-0;0"/>
    <numFmt numFmtId="170" formatCode="0\+"/>
    <numFmt numFmtId="171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badi ExtraLight"/>
      <family val="2"/>
      <charset val="1"/>
    </font>
    <font>
      <b val="true"/>
      <sz val="9.5"/>
      <name val="Cambria"/>
      <family val="1"/>
      <charset val="1"/>
    </font>
    <font>
      <b val="true"/>
      <i val="true"/>
      <sz val="9.5"/>
      <name val="Calibri"/>
      <family val="2"/>
      <charset val="1"/>
    </font>
    <font>
      <b val="true"/>
      <sz val="9.5"/>
      <name val="Calibri"/>
      <family val="2"/>
      <charset val="1"/>
    </font>
    <font>
      <b val="true"/>
      <sz val="9.5"/>
      <color rgb="FFFF0000"/>
      <name val="Calibri"/>
      <family val="2"/>
      <charset val="1"/>
    </font>
    <font>
      <sz val="9.5"/>
      <name val="Calibri"/>
      <family val="2"/>
      <charset val="1"/>
    </font>
    <font>
      <sz val="9.5"/>
      <color rgb="FFFF0000"/>
      <name val="Calibri"/>
      <family val="2"/>
      <charset val="1"/>
    </font>
    <font>
      <sz val="11"/>
      <color rgb="FF008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  <font>
      <b val="true"/>
      <sz val="13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2F2F2"/>
      </patternFill>
    </fill>
    <fill>
      <patternFill patternType="solid">
        <fgColor theme="2"/>
        <bgColor rgb="FFF2F2F2"/>
      </patternFill>
    </fill>
    <fill>
      <patternFill patternType="solid">
        <fgColor rgb="FFF2F2F2"/>
        <bgColor rgb="FFE7E6E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2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10" fillId="3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10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11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7" fontId="10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2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6" fontId="10" fillId="0" borderId="0" xfId="2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6" fontId="10" fillId="3" borderId="0" xfId="2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6" fontId="12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10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K16" activeCellId="0" sqref="K16"/>
    </sheetView>
  </sheetViews>
  <sheetFormatPr defaultColWidth="11.42578125" defaultRowHeight="14.25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1" width="5.4"/>
    <col collapsed="false" customWidth="true" hidden="false" outlineLevel="0" max="3" min="3" style="0" width="35.3"/>
    <col collapsed="false" customWidth="true" hidden="false" outlineLevel="0" max="4" min="4" style="0" width="26.6"/>
    <col collapsed="false" customWidth="true" hidden="false" outlineLevel="0" max="5" min="5" style="0" width="12.61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20"/>
    <col collapsed="false" customWidth="true" hidden="false" outlineLevel="0" max="11" min="11" style="0" width="38"/>
    <col collapsed="false" customWidth="true" hidden="false" outlineLevel="0" max="12" min="12" style="0" width="24"/>
  </cols>
  <sheetData>
    <row r="1" customFormat="false" ht="1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3" customFormat="false" ht="14.25" hidden="false" customHeight="false" outlineLevel="0" collapsed="false">
      <c r="B3" s="4" t="s">
        <v>2</v>
      </c>
      <c r="C3" s="5" t="s">
        <v>3</v>
      </c>
      <c r="D3" s="6" t="s">
        <v>4</v>
      </c>
      <c r="E3" s="5" t="s">
        <v>5</v>
      </c>
      <c r="F3" s="7" t="s">
        <v>6</v>
      </c>
      <c r="G3" s="8" t="s">
        <v>7</v>
      </c>
      <c r="H3" s="9" t="s">
        <v>8</v>
      </c>
      <c r="K3" s="10" t="s">
        <v>9</v>
      </c>
    </row>
    <row r="4" customFormat="false" ht="62.25" hidden="false" customHeight="true" outlineLevel="0" collapsed="false">
      <c r="B4" s="11"/>
      <c r="C4" s="12" t="s">
        <v>10</v>
      </c>
      <c r="D4" s="13" t="s">
        <v>11</v>
      </c>
      <c r="E4" s="12" t="s">
        <v>12</v>
      </c>
      <c r="F4" s="14" t="s">
        <v>13</v>
      </c>
      <c r="G4" s="15" t="s">
        <v>14</v>
      </c>
      <c r="H4" s="16" t="s">
        <v>15</v>
      </c>
      <c r="K4" s="10" t="s">
        <v>16</v>
      </c>
    </row>
    <row r="5" customFormat="false" ht="14.25" hidden="false" customHeight="false" outlineLevel="0" collapsed="false">
      <c r="B5" s="17" t="n">
        <v>0</v>
      </c>
      <c r="C5" s="18" t="n">
        <f aca="false">L9</f>
        <v>0.012423606379248</v>
      </c>
      <c r="D5" s="19" t="n">
        <v>100000</v>
      </c>
      <c r="E5" s="20" t="n">
        <f aca="false">ROUND(D5*C5,0)</f>
        <v>1242</v>
      </c>
      <c r="F5" s="21" t="n">
        <f aca="false">ROUND(D6+(E5/2),0)</f>
        <v>99379</v>
      </c>
      <c r="G5" s="19" t="n">
        <f aca="false">SUM(F5:F$105)</f>
        <v>7598754</v>
      </c>
      <c r="H5" s="22" t="n">
        <f aca="false">G5/D5</f>
        <v>75.98754</v>
      </c>
    </row>
    <row r="6" customFormat="false" ht="14.25" hidden="false" customHeight="false" outlineLevel="0" collapsed="false">
      <c r="B6" s="23" t="n">
        <v>1</v>
      </c>
      <c r="C6" s="24" t="n">
        <f aca="false">Insumos!B6/(Insumos!C6+Insumos!B6/2)</f>
        <v>0.00112119467317172</v>
      </c>
      <c r="D6" s="25" t="n">
        <f aca="false">D5-E5</f>
        <v>98758</v>
      </c>
      <c r="E6" s="20" t="n">
        <f aca="false">ROUND(D6*C6,0)</f>
        <v>111</v>
      </c>
      <c r="F6" s="21" t="n">
        <f aca="false">ROUND(D7+(E6/2),0)</f>
        <v>98703</v>
      </c>
      <c r="G6" s="26" t="n">
        <f aca="false">SUM(F6:F$105)</f>
        <v>7499375</v>
      </c>
      <c r="H6" s="22" t="n">
        <f aca="false">G6/D6</f>
        <v>75.936886125681</v>
      </c>
      <c r="K6" s="10" t="s">
        <v>17</v>
      </c>
      <c r="L6" s="27" t="n">
        <f aca="false">Insumos!F5</f>
        <v>1844913</v>
      </c>
    </row>
    <row r="7" customFormat="false" ht="14.25" hidden="false" customHeight="false" outlineLevel="0" collapsed="false">
      <c r="B7" s="23" t="n">
        <v>2</v>
      </c>
      <c r="C7" s="24" t="n">
        <f aca="false">Insumos!B7/(Insumos!C7+Insumos!B7/2)</f>
        <v>0.000546639312836013</v>
      </c>
      <c r="D7" s="25" t="n">
        <f aca="false">D6-E6</f>
        <v>98647</v>
      </c>
      <c r="E7" s="20" t="n">
        <f aca="false">ROUND(D7*C7,0)</f>
        <v>54</v>
      </c>
      <c r="F7" s="21" t="n">
        <f aca="false">ROUND(D8+(E7/2),0)</f>
        <v>98620</v>
      </c>
      <c r="G7" s="26" t="n">
        <f aca="false">SUM(F7:F$105)</f>
        <v>7400672</v>
      </c>
      <c r="H7" s="22" t="n">
        <f aca="false">G7/D7</f>
        <v>75.0217644733241</v>
      </c>
      <c r="K7" s="10" t="s">
        <v>18</v>
      </c>
      <c r="L7" s="27" t="n">
        <f aca="false">Insumos!B5</f>
        <v>22920.4729159576</v>
      </c>
    </row>
    <row r="8" customFormat="false" ht="14.25" hidden="false" customHeight="false" outlineLevel="0" collapsed="false">
      <c r="B8" s="23" t="n">
        <v>3</v>
      </c>
      <c r="C8" s="24" t="n">
        <f aca="false">Insumos!B8/(Insumos!C8+Insumos!B8/2)</f>
        <v>0.000361887738247588</v>
      </c>
      <c r="D8" s="25" t="n">
        <f aca="false">D7-E7</f>
        <v>98593</v>
      </c>
      <c r="E8" s="20" t="n">
        <f aca="false">ROUND(D8*C8,0)</f>
        <v>36</v>
      </c>
      <c r="F8" s="21" t="n">
        <f aca="false">ROUND(D9+(E8/2),0)</f>
        <v>98575</v>
      </c>
      <c r="G8" s="26" t="n">
        <f aca="false">SUM(F8:F$105)</f>
        <v>7302052</v>
      </c>
      <c r="H8" s="22" t="n">
        <f aca="false">G8/D8</f>
        <v>74.062580507744</v>
      </c>
    </row>
    <row r="9" customFormat="false" ht="14.25" hidden="false" customHeight="false" outlineLevel="0" collapsed="false">
      <c r="B9" s="23" t="n">
        <v>4</v>
      </c>
      <c r="C9" s="24" t="n">
        <f aca="false">Insumos!B9/(Insumos!C9+Insumos!B9/2)</f>
        <v>0.000292131421701076</v>
      </c>
      <c r="D9" s="25" t="n">
        <f aca="false">D8-E8</f>
        <v>98557</v>
      </c>
      <c r="E9" s="20" t="n">
        <f aca="false">ROUND(D9*C9,0)</f>
        <v>29</v>
      </c>
      <c r="F9" s="21" t="n">
        <f aca="false">ROUND(D10+(E9/2),0)</f>
        <v>98543</v>
      </c>
      <c r="G9" s="26" t="n">
        <f aca="false">SUM(F9:F$105)</f>
        <v>7203477</v>
      </c>
      <c r="H9" s="22" t="n">
        <f aca="false">G9/D9</f>
        <v>73.0894507746786</v>
      </c>
      <c r="K9" s="10" t="s">
        <v>19</v>
      </c>
      <c r="L9" s="28" t="n">
        <f aca="false">L7/L6</f>
        <v>0.012423606379248</v>
      </c>
    </row>
    <row r="10" customFormat="false" ht="14.25" hidden="false" customHeight="false" outlineLevel="0" collapsed="false">
      <c r="B10" s="23" t="n">
        <v>5</v>
      </c>
      <c r="C10" s="24" t="n">
        <f aca="false">Insumos!B10/(Insumos!C10+Insumos!B10/2)</f>
        <v>0.000253766920133824</v>
      </c>
      <c r="D10" s="25" t="n">
        <f aca="false">D9-E9</f>
        <v>98528</v>
      </c>
      <c r="E10" s="20" t="n">
        <f aca="false">ROUND(D10*C10,0)</f>
        <v>25</v>
      </c>
      <c r="F10" s="21" t="n">
        <f aca="false">ROUND(D11+(E10/2),0)</f>
        <v>98516</v>
      </c>
      <c r="G10" s="26" t="n">
        <f aca="false">SUM(F10:F$105)</f>
        <v>7104934</v>
      </c>
      <c r="H10" s="22" t="n">
        <f aca="false">G10/D10</f>
        <v>72.1108111399805</v>
      </c>
      <c r="K10" s="29" t="s">
        <v>20</v>
      </c>
    </row>
    <row r="11" customFormat="false" ht="14.25" hidden="false" customHeight="false" outlineLevel="0" collapsed="false">
      <c r="B11" s="23" t="n">
        <v>6</v>
      </c>
      <c r="C11" s="24" t="n">
        <f aca="false">Insumos!B11/(Insumos!C11+Insumos!B11/2)</f>
        <v>0.000227424637389945</v>
      </c>
      <c r="D11" s="25" t="n">
        <f aca="false">D10-E10</f>
        <v>98503</v>
      </c>
      <c r="E11" s="20" t="n">
        <f aca="false">ROUND(D11*C11,0)</f>
        <v>22</v>
      </c>
      <c r="F11" s="21" t="n">
        <f aca="false">ROUND(D12+(E11/2),0)</f>
        <v>98492</v>
      </c>
      <c r="G11" s="26" t="n">
        <f aca="false">SUM(F11:F$105)</f>
        <v>7006418</v>
      </c>
      <c r="H11" s="22" t="n">
        <f aca="false">G11/D11</f>
        <v>71.1289808432231</v>
      </c>
      <c r="K11" s="29" t="s">
        <v>21</v>
      </c>
    </row>
    <row r="12" customFormat="false" ht="14.25" hidden="false" customHeight="false" outlineLevel="0" collapsed="false">
      <c r="B12" s="23" t="n">
        <v>7</v>
      </c>
      <c r="C12" s="24" t="n">
        <f aca="false">Insumos!B12/(Insumos!C12+Insumos!B12/2)</f>
        <v>0.000229520748597036</v>
      </c>
      <c r="D12" s="25" t="n">
        <f aca="false">D11-E11</f>
        <v>98481</v>
      </c>
      <c r="E12" s="20" t="n">
        <f aca="false">ROUND(D12*C12,0)</f>
        <v>23</v>
      </c>
      <c r="F12" s="21" t="n">
        <f aca="false">ROUND(D13+(E12/2),0)</f>
        <v>98470</v>
      </c>
      <c r="G12" s="26" t="n">
        <f aca="false">SUM(F12:F$105)</f>
        <v>6907926</v>
      </c>
      <c r="H12" s="22" t="n">
        <f aca="false">G12/D12</f>
        <v>70.1447588875011</v>
      </c>
      <c r="K12" s="10" t="s">
        <v>6</v>
      </c>
      <c r="L12" s="10" t="s">
        <v>22</v>
      </c>
    </row>
    <row r="13" customFormat="false" ht="14.25" hidden="false" customHeight="false" outlineLevel="0" collapsed="false">
      <c r="B13" s="23" t="n">
        <v>8</v>
      </c>
      <c r="C13" s="24" t="n">
        <f aca="false">Insumos!B13/(Insumos!C13+Insumos!B13/2)</f>
        <v>0.000201117280336122</v>
      </c>
      <c r="D13" s="25" t="n">
        <f aca="false">D12-E12</f>
        <v>98458</v>
      </c>
      <c r="E13" s="20" t="n">
        <f aca="false">ROUND(D13*C13,0)</f>
        <v>20</v>
      </c>
      <c r="F13" s="21" t="n">
        <f aca="false">ROUND(D14+(E13/2),0)</f>
        <v>98448</v>
      </c>
      <c r="G13" s="26" t="n">
        <f aca="false">SUM(F13:F$105)</f>
        <v>6809456</v>
      </c>
      <c r="H13" s="22" t="n">
        <f aca="false">G13/D13</f>
        <v>69.1610229742631</v>
      </c>
    </row>
    <row r="14" customFormat="false" ht="14.25" hidden="false" customHeight="false" outlineLevel="0" collapsed="false">
      <c r="B14" s="23" t="n">
        <v>9</v>
      </c>
      <c r="C14" s="24" t="n">
        <f aca="false">Insumos!B14/(Insumos!C14+Insumos!B14/2)</f>
        <v>0.000244502107201248</v>
      </c>
      <c r="D14" s="25" t="n">
        <f aca="false">D13-E13</f>
        <v>98438</v>
      </c>
      <c r="E14" s="20" t="n">
        <f aca="false">ROUND(D14*C14,0)</f>
        <v>24</v>
      </c>
      <c r="F14" s="21" t="n">
        <f aca="false">ROUND(D15+(E14/2),0)</f>
        <v>98426</v>
      </c>
      <c r="G14" s="26" t="n">
        <f aca="false">SUM(F14:F$105)</f>
        <v>6711008</v>
      </c>
      <c r="H14" s="22" t="n">
        <f aca="false">G14/D14</f>
        <v>68.1749730795018</v>
      </c>
      <c r="K14" s="10" t="s">
        <v>23</v>
      </c>
    </row>
    <row r="15" customFormat="false" ht="14.25" hidden="false" customHeight="false" outlineLevel="0" collapsed="false">
      <c r="B15" s="23" t="n">
        <v>10</v>
      </c>
      <c r="C15" s="24" t="n">
        <f aca="false">Insumos!B15/(Insumos!C15+Insumos!B15/2)</f>
        <v>0.00023455249519469</v>
      </c>
      <c r="D15" s="25" t="n">
        <f aca="false">D14-E14</f>
        <v>98414</v>
      </c>
      <c r="E15" s="20" t="n">
        <f aca="false">ROUND(D15*C15,0)</f>
        <v>23</v>
      </c>
      <c r="F15" s="21" t="n">
        <f aca="false">ROUND(D16+(E15/2),0)</f>
        <v>98403</v>
      </c>
      <c r="G15" s="26" t="n">
        <f aca="false">SUM(F15:F$105)</f>
        <v>6612582</v>
      </c>
      <c r="H15" s="22" t="n">
        <f aca="false">G15/D15</f>
        <v>67.1914768224033</v>
      </c>
    </row>
    <row r="16" customFormat="false" ht="14.25" hidden="false" customHeight="false" outlineLevel="0" collapsed="false">
      <c r="B16" s="23" t="n">
        <v>11</v>
      </c>
      <c r="C16" s="24" t="n">
        <f aca="false">Insumos!B16/(Insumos!C16+Insumos!B16/2)</f>
        <v>0.000259257624761094</v>
      </c>
      <c r="D16" s="25" t="n">
        <f aca="false">D15-E15</f>
        <v>98391</v>
      </c>
      <c r="E16" s="20" t="n">
        <f aca="false">ROUND(D16*C16,0)</f>
        <v>26</v>
      </c>
      <c r="F16" s="21" t="n">
        <f aca="false">ROUND(D17+(E16/2),0)</f>
        <v>98378</v>
      </c>
      <c r="G16" s="26" t="n">
        <f aca="false">SUM(F16:F$105)</f>
        <v>6514179</v>
      </c>
      <c r="H16" s="22" t="n">
        <f aca="false">G16/D16</f>
        <v>66.2070616214898</v>
      </c>
      <c r="K16" s="30" t="s">
        <v>24</v>
      </c>
      <c r="L16" s="31" t="n">
        <v>2019</v>
      </c>
    </row>
    <row r="17" customFormat="false" ht="14.25" hidden="false" customHeight="false" outlineLevel="0" collapsed="false">
      <c r="B17" s="23" t="n">
        <v>12</v>
      </c>
      <c r="C17" s="24" t="n">
        <f aca="false">Insumos!B17/(Insumos!C17+Insumos!B17/2)</f>
        <v>0.000289462720031504</v>
      </c>
      <c r="D17" s="25" t="n">
        <f aca="false">D16-E16</f>
        <v>98365</v>
      </c>
      <c r="E17" s="20" t="n">
        <f aca="false">ROUND(D17*C17,0)</f>
        <v>28</v>
      </c>
      <c r="F17" s="21" t="n">
        <f aca="false">ROUND(D18+(E17/2),0)</f>
        <v>98351</v>
      </c>
      <c r="G17" s="26" t="n">
        <f aca="false">SUM(F17:F$105)</f>
        <v>6415801</v>
      </c>
      <c r="H17" s="22" t="n">
        <f aca="false">G17/D17</f>
        <v>65.2244294210339</v>
      </c>
      <c r="K17" s="29" t="s">
        <v>25</v>
      </c>
    </row>
    <row r="18" customFormat="false" ht="14.25" hidden="false" customHeight="false" outlineLevel="0" collapsed="false">
      <c r="B18" s="23" t="n">
        <v>13</v>
      </c>
      <c r="C18" s="24" t="n">
        <f aca="false">Insumos!B18/(Insumos!C18+Insumos!B18/2)</f>
        <v>0.000350520857123599</v>
      </c>
      <c r="D18" s="25" t="n">
        <f aca="false">D17-E17</f>
        <v>98337</v>
      </c>
      <c r="E18" s="20" t="n">
        <f aca="false">ROUND(D18*C18,0)</f>
        <v>34</v>
      </c>
      <c r="F18" s="21" t="n">
        <f aca="false">ROUND(D19+(E18/2),0)</f>
        <v>98320</v>
      </c>
      <c r="G18" s="26" t="n">
        <f aca="false">SUM(F18:F$105)</f>
        <v>6317450</v>
      </c>
      <c r="H18" s="22" t="n">
        <f aca="false">G18/D18</f>
        <v>64.2428587408605</v>
      </c>
    </row>
    <row r="19" customFormat="false" ht="14.25" hidden="false" customHeight="false" outlineLevel="0" collapsed="false">
      <c r="B19" s="23" t="n">
        <v>14</v>
      </c>
      <c r="C19" s="24" t="n">
        <f aca="false">Insumos!B19/(Insumos!C19+Insumos!B19/2)</f>
        <v>0.000446097515377046</v>
      </c>
      <c r="D19" s="25" t="n">
        <f aca="false">D18-E18</f>
        <v>98303</v>
      </c>
      <c r="E19" s="20" t="n">
        <f aca="false">ROUND(D19*C19,0)</f>
        <v>44</v>
      </c>
      <c r="F19" s="21" t="n">
        <f aca="false">ROUND(D20+(E19/2),0)</f>
        <v>98281</v>
      </c>
      <c r="G19" s="26" t="n">
        <f aca="false">SUM(F19:F$105)</f>
        <v>6219130</v>
      </c>
      <c r="H19" s="22" t="n">
        <f aca="false">G19/D19</f>
        <v>63.2649054454086</v>
      </c>
      <c r="K19" s="29" t="s">
        <v>26</v>
      </c>
    </row>
    <row r="20" customFormat="false" ht="14.25" hidden="false" customHeight="false" outlineLevel="0" collapsed="false">
      <c r="B20" s="23" t="n">
        <v>15</v>
      </c>
      <c r="C20" s="24" t="n">
        <f aca="false">Insumos!B20/(Insumos!C20+Insumos!B20/2)</f>
        <v>0.000558882982893937</v>
      </c>
      <c r="D20" s="25" t="n">
        <f aca="false">D19-E19</f>
        <v>98259</v>
      </c>
      <c r="E20" s="20" t="n">
        <f aca="false">ROUND(D20*C20,0)</f>
        <v>55</v>
      </c>
      <c r="F20" s="21" t="n">
        <f aca="false">ROUND(D21+(E20/2),0)</f>
        <v>98232</v>
      </c>
      <c r="G20" s="26" t="n">
        <f aca="false">SUM(F20:F$105)</f>
        <v>6120849</v>
      </c>
      <c r="H20" s="22" t="n">
        <f aca="false">G20/D20</f>
        <v>62.2930113272067</v>
      </c>
    </row>
    <row r="21" customFormat="false" ht="14.25" hidden="false" customHeight="false" outlineLevel="0" collapsed="false">
      <c r="B21" s="23" t="n">
        <v>16</v>
      </c>
      <c r="C21" s="24" t="n">
        <f aca="false">Insumos!B21/(Insumos!C21+Insumos!B21/2)</f>
        <v>0.000687332180307395</v>
      </c>
      <c r="D21" s="25" t="n">
        <f aca="false">D20-E20</f>
        <v>98204</v>
      </c>
      <c r="E21" s="20" t="n">
        <f aca="false">ROUND(D21*C21,0)</f>
        <v>67</v>
      </c>
      <c r="F21" s="21" t="n">
        <f aca="false">ROUND(D22+(E21/2),0)</f>
        <v>98171</v>
      </c>
      <c r="G21" s="26" t="n">
        <f aca="false">SUM(F21:F$105)</f>
        <v>6022617</v>
      </c>
      <c r="H21" s="22" t="n">
        <f aca="false">G21/D21</f>
        <v>61.3276139464788</v>
      </c>
      <c r="K21" s="29" t="s">
        <v>27</v>
      </c>
    </row>
    <row r="22" customFormat="false" ht="14.25" hidden="false" customHeight="false" outlineLevel="0" collapsed="false">
      <c r="B22" s="23" t="n">
        <v>17</v>
      </c>
      <c r="C22" s="24" t="n">
        <f aca="false">Insumos!B22/(Insumos!C22+Insumos!B22/2)</f>
        <v>0.000840082199840163</v>
      </c>
      <c r="D22" s="25" t="n">
        <f aca="false">D21-E21</f>
        <v>98137</v>
      </c>
      <c r="E22" s="20" t="n">
        <f aca="false">ROUND(D22*C22,0)</f>
        <v>82</v>
      </c>
      <c r="F22" s="21" t="n">
        <f aca="false">ROUND(D23+(E22/2),0)</f>
        <v>98096</v>
      </c>
      <c r="G22" s="26" t="n">
        <f aca="false">SUM(F22:F$105)</f>
        <v>5924446</v>
      </c>
      <c r="H22" s="22" t="n">
        <f aca="false">G22/D22</f>
        <v>60.3691370227335</v>
      </c>
      <c r="K22" s="29" t="s">
        <v>28</v>
      </c>
    </row>
    <row r="23" customFormat="false" ht="14.25" hidden="false" customHeight="false" outlineLevel="0" collapsed="false">
      <c r="B23" s="23" t="n">
        <v>18</v>
      </c>
      <c r="C23" s="24" t="n">
        <f aca="false">Insumos!B23/(Insumos!C23+Insumos!B23/2)</f>
        <v>0.000976742647406302</v>
      </c>
      <c r="D23" s="25" t="n">
        <f aca="false">D22-E22</f>
        <v>98055</v>
      </c>
      <c r="E23" s="20" t="n">
        <f aca="false">ROUND(D23*C23,0)</f>
        <v>96</v>
      </c>
      <c r="F23" s="21" t="n">
        <f aca="false">ROUND(D24+(E23/2),0)</f>
        <v>98007</v>
      </c>
      <c r="G23" s="26" t="n">
        <f aca="false">SUM(F23:F$105)</f>
        <v>5826350</v>
      </c>
      <c r="H23" s="22" t="n">
        <f aca="false">G23/D23</f>
        <v>59.4192035082352</v>
      </c>
      <c r="K23" s="29" t="s">
        <v>29</v>
      </c>
    </row>
    <row r="24" customFormat="false" ht="14.25" hidden="false" customHeight="false" outlineLevel="0" collapsed="false">
      <c r="B24" s="23" t="n">
        <v>19</v>
      </c>
      <c r="C24" s="24" t="n">
        <f aca="false">Insumos!B24/(Insumos!C24+Insumos!B24/2)</f>
        <v>0.00111800778499004</v>
      </c>
      <c r="D24" s="25" t="n">
        <f aca="false">D23-E23</f>
        <v>97959</v>
      </c>
      <c r="E24" s="20" t="n">
        <f aca="false">ROUND(D24*C24,0)</f>
        <v>110</v>
      </c>
      <c r="F24" s="21" t="n">
        <f aca="false">ROUND(D25+(E24/2),0)</f>
        <v>97904</v>
      </c>
      <c r="G24" s="26" t="n">
        <f aca="false">SUM(F24:F$105)</f>
        <v>5728343</v>
      </c>
      <c r="H24" s="22" t="n">
        <f aca="false">G24/D24</f>
        <v>58.4769444359375</v>
      </c>
    </row>
    <row r="25" customFormat="false" ht="14.25" hidden="false" customHeight="false" outlineLevel="0" collapsed="false">
      <c r="B25" s="23" t="n">
        <v>20</v>
      </c>
      <c r="C25" s="24" t="n">
        <f aca="false">Insumos!B25/(Insumos!C25+Insumos!B25/2)</f>
        <v>0.00123340812916362</v>
      </c>
      <c r="D25" s="25" t="n">
        <f aca="false">D24-E24</f>
        <v>97849</v>
      </c>
      <c r="E25" s="20" t="n">
        <f aca="false">ROUND(D25*C25,0)</f>
        <v>121</v>
      </c>
      <c r="F25" s="21" t="n">
        <f aca="false">ROUND(D26+(E25/2),0)</f>
        <v>97789</v>
      </c>
      <c r="G25" s="26" t="n">
        <f aca="false">SUM(F25:F$105)</f>
        <v>5630439</v>
      </c>
      <c r="H25" s="22" t="n">
        <f aca="false">G25/D25</f>
        <v>57.5421210232092</v>
      </c>
      <c r="K25" s="29" t="s">
        <v>30</v>
      </c>
      <c r="L25" s="32" t="n">
        <f aca="false">SUM(E5:E105)-D5</f>
        <v>0</v>
      </c>
    </row>
    <row r="26" customFormat="false" ht="14.25" hidden="false" customHeight="false" outlineLevel="0" collapsed="false">
      <c r="B26" s="23" t="n">
        <v>21</v>
      </c>
      <c r="C26" s="24" t="n">
        <f aca="false">Insumos!B26/(Insumos!C26+Insumos!B26/2)</f>
        <v>0.0013665091794352</v>
      </c>
      <c r="D26" s="25" t="n">
        <f aca="false">D25-E25</f>
        <v>97728</v>
      </c>
      <c r="E26" s="20" t="n">
        <f aca="false">ROUND(D26*C26,0)</f>
        <v>134</v>
      </c>
      <c r="F26" s="21" t="n">
        <f aca="false">ROUND(D27+(E26/2),0)</f>
        <v>97661</v>
      </c>
      <c r="G26" s="26" t="n">
        <f aca="false">SUM(F26:F$105)</f>
        <v>5532650</v>
      </c>
      <c r="H26" s="22" t="n">
        <f aca="false">G26/D26</f>
        <v>56.612741486575</v>
      </c>
    </row>
    <row r="27" customFormat="false" ht="14.25" hidden="false" customHeight="false" outlineLevel="0" collapsed="false">
      <c r="B27" s="23" t="n">
        <v>22</v>
      </c>
      <c r="C27" s="24" t="n">
        <f aca="false">Insumos!B27/(Insumos!C27+Insumos!B27/2)</f>
        <v>0.00144596607026434</v>
      </c>
      <c r="D27" s="25" t="n">
        <f aca="false">D26-E26</f>
        <v>97594</v>
      </c>
      <c r="E27" s="20" t="n">
        <f aca="false">ROUND(D27*C27,0)</f>
        <v>141</v>
      </c>
      <c r="F27" s="21" t="n">
        <f aca="false">ROUND(D28+(E27/2),0)</f>
        <v>97524</v>
      </c>
      <c r="G27" s="26" t="n">
        <f aca="false">SUM(F27:F$105)</f>
        <v>5434989</v>
      </c>
      <c r="H27" s="22" t="n">
        <f aca="false">G27/D27</f>
        <v>55.6897862573519</v>
      </c>
      <c r="K27" s="29" t="s">
        <v>31</v>
      </c>
    </row>
    <row r="28" customFormat="false" ht="14.25" hidden="false" customHeight="false" outlineLevel="0" collapsed="false">
      <c r="B28" s="23" t="n">
        <v>23</v>
      </c>
      <c r="C28" s="24" t="n">
        <f aca="false">Insumos!B28/(Insumos!C28+Insumos!B28/2)</f>
        <v>0.0015462703157002</v>
      </c>
      <c r="D28" s="25" t="n">
        <f aca="false">D27-E27</f>
        <v>97453</v>
      </c>
      <c r="E28" s="20" t="n">
        <f aca="false">ROUND(D28*C28,0)</f>
        <v>151</v>
      </c>
      <c r="F28" s="21" t="n">
        <f aca="false">ROUND(D29+(E28/2),0)</f>
        <v>97378</v>
      </c>
      <c r="G28" s="26" t="n">
        <f aca="false">SUM(F28:F$105)</f>
        <v>5337465</v>
      </c>
      <c r="H28" s="22" t="n">
        <f aca="false">G28/D28</f>
        <v>54.7696325408146</v>
      </c>
      <c r="K28" s="29" t="s">
        <v>32</v>
      </c>
    </row>
    <row r="29" customFormat="false" ht="14.25" hidden="false" customHeight="false" outlineLevel="0" collapsed="false">
      <c r="B29" s="23" t="n">
        <v>24</v>
      </c>
      <c r="C29" s="24" t="n">
        <f aca="false">Insumos!B29/(Insumos!C29+Insumos!B29/2)</f>
        <v>0.00159575716142076</v>
      </c>
      <c r="D29" s="25" t="n">
        <f aca="false">D28-E28</f>
        <v>97302</v>
      </c>
      <c r="E29" s="20" t="n">
        <f aca="false">ROUND(D29*C29,0)</f>
        <v>155</v>
      </c>
      <c r="F29" s="21" t="n">
        <f aca="false">ROUND(D30+(E29/2),0)</f>
        <v>97225</v>
      </c>
      <c r="G29" s="26" t="n">
        <f aca="false">SUM(F29:F$105)</f>
        <v>5240087</v>
      </c>
      <c r="H29" s="22" t="n">
        <f aca="false">G29/D29</f>
        <v>53.8538467862942</v>
      </c>
    </row>
    <row r="30" customFormat="false" ht="14.25" hidden="false" customHeight="false" outlineLevel="0" collapsed="false">
      <c r="B30" s="23" t="n">
        <v>25</v>
      </c>
      <c r="C30" s="24" t="n">
        <f aca="false">Insumos!B30/(Insumos!C30+Insumos!B30/2)</f>
        <v>0.00169613797195842</v>
      </c>
      <c r="D30" s="25" t="n">
        <f aca="false">D29-E29</f>
        <v>97147</v>
      </c>
      <c r="E30" s="20" t="n">
        <f aca="false">ROUND(D30*C30,0)</f>
        <v>165</v>
      </c>
      <c r="F30" s="21" t="n">
        <f aca="false">ROUND(D31+(E30/2),0)</f>
        <v>97065</v>
      </c>
      <c r="G30" s="26" t="n">
        <f aca="false">SUM(F30:F$105)</f>
        <v>5142862</v>
      </c>
      <c r="H30" s="22" t="n">
        <f aca="false">G30/D30</f>
        <v>52.9389687792727</v>
      </c>
    </row>
    <row r="31" customFormat="false" ht="14.25" hidden="false" customHeight="false" outlineLevel="0" collapsed="false">
      <c r="B31" s="23" t="n">
        <v>26</v>
      </c>
      <c r="C31" s="24" t="n">
        <f aca="false">Insumos!B31/(Insumos!C31+Insumos!B31/2)</f>
        <v>0.0017366626628428</v>
      </c>
      <c r="D31" s="25" t="n">
        <f aca="false">D30-E30</f>
        <v>96982</v>
      </c>
      <c r="E31" s="20" t="n">
        <f aca="false">ROUND(D31*C31,0)</f>
        <v>168</v>
      </c>
      <c r="F31" s="21" t="n">
        <f aca="false">ROUND(D32+(E31/2),0)</f>
        <v>96898</v>
      </c>
      <c r="G31" s="26" t="n">
        <f aca="false">SUM(F31:F$105)</f>
        <v>5045797</v>
      </c>
      <c r="H31" s="22" t="n">
        <f aca="false">G31/D31</f>
        <v>52.0281804871007</v>
      </c>
    </row>
    <row r="32" customFormat="false" ht="14.25" hidden="false" customHeight="false" outlineLevel="0" collapsed="false">
      <c r="B32" s="23" t="n">
        <v>27</v>
      </c>
      <c r="C32" s="24" t="n">
        <f aca="false">Insumos!B32/(Insumos!C32+Insumos!B32/2)</f>
        <v>0.0018041345276326</v>
      </c>
      <c r="D32" s="25" t="n">
        <f aca="false">D31-E31</f>
        <v>96814</v>
      </c>
      <c r="E32" s="20" t="n">
        <f aca="false">ROUND(D32*C32,0)</f>
        <v>175</v>
      </c>
      <c r="F32" s="21" t="n">
        <f aca="false">ROUND(D33+(E32/2),0)</f>
        <v>96727</v>
      </c>
      <c r="G32" s="26" t="n">
        <f aca="false">SUM(F32:F$105)</f>
        <v>4948899</v>
      </c>
      <c r="H32" s="22" t="n">
        <f aca="false">G32/D32</f>
        <v>51.1175966285868</v>
      </c>
    </row>
    <row r="33" customFormat="false" ht="14.25" hidden="false" customHeight="false" outlineLevel="0" collapsed="false">
      <c r="B33" s="23" t="n">
        <v>28</v>
      </c>
      <c r="C33" s="24" t="n">
        <f aca="false">Insumos!B33/(Insumos!C33+Insumos!B33/2)</f>
        <v>0.00179808260494662</v>
      </c>
      <c r="D33" s="25" t="n">
        <f aca="false">D32-E32</f>
        <v>96639</v>
      </c>
      <c r="E33" s="20" t="n">
        <f aca="false">ROUND(D33*C33,0)</f>
        <v>174</v>
      </c>
      <c r="F33" s="21" t="n">
        <f aca="false">ROUND(D34+(E33/2),0)</f>
        <v>96552</v>
      </c>
      <c r="G33" s="26" t="n">
        <f aca="false">SUM(F33:F$105)</f>
        <v>4852172</v>
      </c>
      <c r="H33" s="22" t="n">
        <f aca="false">G33/D33</f>
        <v>50.209252993098</v>
      </c>
    </row>
    <row r="34" customFormat="false" ht="14.25" hidden="false" customHeight="false" outlineLevel="0" collapsed="false">
      <c r="B34" s="23" t="n">
        <v>29</v>
      </c>
      <c r="C34" s="24" t="n">
        <f aca="false">Insumos!B34/(Insumos!C34+Insumos!B34/2)</f>
        <v>0.0018948607212704</v>
      </c>
      <c r="D34" s="25" t="n">
        <f aca="false">D33-E33</f>
        <v>96465</v>
      </c>
      <c r="E34" s="20" t="n">
        <f aca="false">ROUND(D34*C34,0)</f>
        <v>183</v>
      </c>
      <c r="F34" s="21" t="n">
        <f aca="false">ROUND(D35+(E34/2),0)</f>
        <v>96374</v>
      </c>
      <c r="G34" s="26" t="n">
        <f aca="false">SUM(F34:F$105)</f>
        <v>4755620</v>
      </c>
      <c r="H34" s="22" t="n">
        <f aca="false">G34/D34</f>
        <v>49.2989167055409</v>
      </c>
    </row>
    <row r="35" customFormat="false" ht="14.25" hidden="false" customHeight="false" outlineLevel="0" collapsed="false">
      <c r="B35" s="23" t="n">
        <v>30</v>
      </c>
      <c r="C35" s="24" t="n">
        <f aca="false">Insumos!B35/(Insumos!C35+Insumos!B35/2)</f>
        <v>0.00188333854688405</v>
      </c>
      <c r="D35" s="25" t="n">
        <f aca="false">D34-E34</f>
        <v>96282</v>
      </c>
      <c r="E35" s="20" t="n">
        <f aca="false">ROUND(D35*C35,0)</f>
        <v>181</v>
      </c>
      <c r="F35" s="21" t="n">
        <f aca="false">ROUND(D36+(E35/2),0)</f>
        <v>96192</v>
      </c>
      <c r="G35" s="26" t="n">
        <f aca="false">SUM(F35:F$105)</f>
        <v>4659246</v>
      </c>
      <c r="H35" s="22" t="n">
        <f aca="false">G35/D35</f>
        <v>48.3916619928959</v>
      </c>
    </row>
    <row r="36" customFormat="false" ht="14.25" hidden="false" customHeight="false" outlineLevel="0" collapsed="false">
      <c r="B36" s="23" t="n">
        <v>31</v>
      </c>
      <c r="C36" s="24" t="n">
        <f aca="false">Insumos!B36/(Insumos!C36+Insumos!B36/2)</f>
        <v>0.00194757699128177</v>
      </c>
      <c r="D36" s="25" t="n">
        <f aca="false">D35-E35</f>
        <v>96101</v>
      </c>
      <c r="E36" s="20" t="n">
        <f aca="false">ROUND(D36*C36,0)</f>
        <v>187</v>
      </c>
      <c r="F36" s="21" t="n">
        <f aca="false">ROUND(D37+(E36/2),0)</f>
        <v>96008</v>
      </c>
      <c r="G36" s="26" t="n">
        <f aca="false">SUM(F36:F$105)</f>
        <v>4563054</v>
      </c>
      <c r="H36" s="22" t="n">
        <f aca="false">G36/D36</f>
        <v>47.4818576289529</v>
      </c>
    </row>
    <row r="37" customFormat="false" ht="14.25" hidden="false" customHeight="false" outlineLevel="0" collapsed="false">
      <c r="B37" s="23" t="n">
        <v>32</v>
      </c>
      <c r="C37" s="24" t="n">
        <f aca="false">Insumos!B37/(Insumos!C37+Insumos!B37/2)</f>
        <v>0.00198688912319311</v>
      </c>
      <c r="D37" s="25" t="n">
        <f aca="false">D36-E36</f>
        <v>95914</v>
      </c>
      <c r="E37" s="20" t="n">
        <f aca="false">ROUND(D37*C37,0)</f>
        <v>191</v>
      </c>
      <c r="F37" s="21" t="n">
        <f aca="false">ROUND(D38+(E37/2),0)</f>
        <v>95819</v>
      </c>
      <c r="G37" s="26" t="n">
        <f aca="false">SUM(F37:F$105)</f>
        <v>4467046</v>
      </c>
      <c r="H37" s="22" t="n">
        <f aca="false">G37/D37</f>
        <v>46.573451216715</v>
      </c>
    </row>
    <row r="38" customFormat="false" ht="14.25" hidden="false" customHeight="false" outlineLevel="0" collapsed="false">
      <c r="B38" s="23" t="n">
        <v>33</v>
      </c>
      <c r="C38" s="24" t="n">
        <f aca="false">Insumos!B38/(Insumos!C38+Insumos!B38/2)</f>
        <v>0.00210124884763712</v>
      </c>
      <c r="D38" s="25" t="n">
        <f aca="false">D37-E37</f>
        <v>95723</v>
      </c>
      <c r="E38" s="20" t="n">
        <f aca="false">ROUND(D38*C38,0)</f>
        <v>201</v>
      </c>
      <c r="F38" s="21" t="n">
        <f aca="false">ROUND(D39+(E38/2),0)</f>
        <v>95623</v>
      </c>
      <c r="G38" s="26" t="n">
        <f aca="false">SUM(F38:F$105)</f>
        <v>4371227</v>
      </c>
      <c r="H38" s="22" t="n">
        <f aca="false">G38/D38</f>
        <v>45.6653782267585</v>
      </c>
    </row>
    <row r="39" customFormat="false" ht="14.25" hidden="false" customHeight="false" outlineLevel="0" collapsed="false">
      <c r="B39" s="23" t="n">
        <v>34</v>
      </c>
      <c r="C39" s="24" t="n">
        <f aca="false">Insumos!B39/(Insumos!C39+Insumos!B39/2)</f>
        <v>0.00207029165043894</v>
      </c>
      <c r="D39" s="25" t="n">
        <f aca="false">D38-E38</f>
        <v>95522</v>
      </c>
      <c r="E39" s="20" t="n">
        <f aca="false">ROUND(D39*C39,0)</f>
        <v>198</v>
      </c>
      <c r="F39" s="21" t="n">
        <f aca="false">ROUND(D40+(E39/2),0)</f>
        <v>95423</v>
      </c>
      <c r="G39" s="26" t="n">
        <f aca="false">SUM(F39:F$105)</f>
        <v>4275604</v>
      </c>
      <c r="H39" s="22" t="n">
        <f aca="false">G39/D39</f>
        <v>44.7604112141706</v>
      </c>
    </row>
    <row r="40" customFormat="false" ht="14.25" hidden="false" customHeight="false" outlineLevel="0" collapsed="false">
      <c r="B40" s="23" t="n">
        <v>35</v>
      </c>
      <c r="C40" s="24" t="n">
        <f aca="false">Insumos!B40/(Insumos!C40+Insumos!B40/2)</f>
        <v>0.00222493651628972</v>
      </c>
      <c r="D40" s="25" t="n">
        <f aca="false">D39-E39</f>
        <v>95324</v>
      </c>
      <c r="E40" s="20" t="n">
        <f aca="false">ROUND(D40*C40,0)</f>
        <v>212</v>
      </c>
      <c r="F40" s="21" t="n">
        <f aca="false">ROUND(D41+(E40/2),0)</f>
        <v>95218</v>
      </c>
      <c r="G40" s="26" t="n">
        <f aca="false">SUM(F40:F$105)</f>
        <v>4180181</v>
      </c>
      <c r="H40" s="22" t="n">
        <f aca="false">G40/D40</f>
        <v>43.8523456841929</v>
      </c>
    </row>
    <row r="41" customFormat="false" ht="14.25" hidden="false" customHeight="false" outlineLevel="0" collapsed="false">
      <c r="B41" s="23" t="n">
        <v>36</v>
      </c>
      <c r="C41" s="24" t="n">
        <f aca="false">Insumos!B41/(Insumos!C41+Insumos!B41/2)</f>
        <v>0.00223567488305793</v>
      </c>
      <c r="D41" s="25" t="n">
        <f aca="false">D40-E40</f>
        <v>95112</v>
      </c>
      <c r="E41" s="20" t="n">
        <f aca="false">ROUND(D41*C41,0)</f>
        <v>213</v>
      </c>
      <c r="F41" s="21" t="n">
        <f aca="false">ROUND(D42+(E41/2),0)</f>
        <v>95006</v>
      </c>
      <c r="G41" s="26" t="n">
        <f aca="false">SUM(F41:F$105)</f>
        <v>4084963</v>
      </c>
      <c r="H41" s="22" t="n">
        <f aca="false">G41/D41</f>
        <v>42.9489759441501</v>
      </c>
    </row>
    <row r="42" customFormat="false" ht="14.25" hidden="false" customHeight="false" outlineLevel="0" collapsed="false">
      <c r="B42" s="23" t="n">
        <v>37</v>
      </c>
      <c r="C42" s="24" t="n">
        <f aca="false">Insumos!B42/(Insumos!C42+Insumos!B42/2)</f>
        <v>0.00233128038812478</v>
      </c>
      <c r="D42" s="25" t="n">
        <f aca="false">D41-E41</f>
        <v>94899</v>
      </c>
      <c r="E42" s="20" t="n">
        <f aca="false">ROUND(D42*C42,0)</f>
        <v>221</v>
      </c>
      <c r="F42" s="21" t="n">
        <f aca="false">ROUND(D43+(E42/2),0)</f>
        <v>94789</v>
      </c>
      <c r="G42" s="26" t="n">
        <f aca="false">SUM(F42:F$105)</f>
        <v>3989957</v>
      </c>
      <c r="H42" s="22" t="n">
        <f aca="false">G42/D42</f>
        <v>42.0442470415916</v>
      </c>
    </row>
    <row r="43" customFormat="false" ht="14.25" hidden="false" customHeight="false" outlineLevel="0" collapsed="false">
      <c r="B43" s="23" t="n">
        <v>38</v>
      </c>
      <c r="C43" s="24" t="n">
        <f aca="false">Insumos!B43/(Insumos!C43+Insumos!B43/2)</f>
        <v>0.00235022293880435</v>
      </c>
      <c r="D43" s="25" t="n">
        <f aca="false">D42-E42</f>
        <v>94678</v>
      </c>
      <c r="E43" s="20" t="n">
        <f aca="false">ROUND(D43*C43,0)</f>
        <v>223</v>
      </c>
      <c r="F43" s="21" t="n">
        <f aca="false">ROUND(D44+(E43/2),0)</f>
        <v>94567</v>
      </c>
      <c r="G43" s="26" t="n">
        <f aca="false">SUM(F43:F$105)</f>
        <v>3895168</v>
      </c>
      <c r="H43" s="22" t="n">
        <f aca="false">G43/D43</f>
        <v>41.1412154882866</v>
      </c>
    </row>
    <row r="44" customFormat="false" ht="14.25" hidden="false" customHeight="false" outlineLevel="0" collapsed="false">
      <c r="B44" s="23" t="n">
        <v>39</v>
      </c>
      <c r="C44" s="24" t="n">
        <f aca="false">Insumos!B44/(Insumos!C44+Insumos!B44/2)</f>
        <v>0.00258994760185563</v>
      </c>
      <c r="D44" s="25" t="n">
        <f aca="false">D43-E43</f>
        <v>94455</v>
      </c>
      <c r="E44" s="20" t="n">
        <f aca="false">ROUND(D44*C44,0)</f>
        <v>245</v>
      </c>
      <c r="F44" s="21" t="n">
        <f aca="false">ROUND(D45+(E44/2),0)</f>
        <v>94333</v>
      </c>
      <c r="G44" s="26" t="n">
        <f aca="false">SUM(F44:F$105)</f>
        <v>3800601</v>
      </c>
      <c r="H44" s="22" t="n">
        <f aca="false">G44/D44</f>
        <v>40.2371605526441</v>
      </c>
    </row>
    <row r="45" customFormat="false" ht="14.25" hidden="false" customHeight="false" outlineLevel="0" collapsed="false">
      <c r="B45" s="23" t="n">
        <v>40</v>
      </c>
      <c r="C45" s="24" t="n">
        <f aca="false">Insumos!B45/(Insumos!C45+Insumos!B45/2)</f>
        <v>0.00259156906285866</v>
      </c>
      <c r="D45" s="25" t="n">
        <f aca="false">D44-E44</f>
        <v>94210</v>
      </c>
      <c r="E45" s="20" t="n">
        <f aca="false">ROUND(D45*C45,0)</f>
        <v>244</v>
      </c>
      <c r="F45" s="21" t="n">
        <f aca="false">ROUND(D46+(E45/2),0)</f>
        <v>94088</v>
      </c>
      <c r="G45" s="26" t="n">
        <f aca="false">SUM(F45:F$105)</f>
        <v>3706268</v>
      </c>
      <c r="H45" s="22" t="n">
        <f aca="false">G45/D45</f>
        <v>39.3404946396349</v>
      </c>
    </row>
    <row r="46" customFormat="false" ht="14.25" hidden="false" customHeight="false" outlineLevel="0" collapsed="false">
      <c r="B46" s="23" t="n">
        <v>41</v>
      </c>
      <c r="C46" s="24" t="n">
        <f aca="false">Insumos!B46/(Insumos!C46+Insumos!B46/2)</f>
        <v>0.0028113712979607</v>
      </c>
      <c r="D46" s="25" t="n">
        <f aca="false">D45-E45</f>
        <v>93966</v>
      </c>
      <c r="E46" s="20" t="n">
        <f aca="false">ROUND(D46*C46,0)</f>
        <v>264</v>
      </c>
      <c r="F46" s="21" t="n">
        <f aca="false">ROUND(D47+(E46/2),0)</f>
        <v>93834</v>
      </c>
      <c r="G46" s="26" t="n">
        <f aca="false">SUM(F46:F$105)</f>
        <v>3612180</v>
      </c>
      <c r="H46" s="22" t="n">
        <f aca="false">G46/D46</f>
        <v>38.4413511270034</v>
      </c>
    </row>
    <row r="47" customFormat="false" ht="14.25" hidden="false" customHeight="false" outlineLevel="0" collapsed="false">
      <c r="B47" s="23" t="n">
        <v>42</v>
      </c>
      <c r="C47" s="24" t="n">
        <f aca="false">Insumos!B47/(Insumos!C47+Insumos!B47/2)</f>
        <v>0.00303226066448639</v>
      </c>
      <c r="D47" s="25" t="n">
        <f aca="false">D46-E46</f>
        <v>93702</v>
      </c>
      <c r="E47" s="20" t="n">
        <f aca="false">ROUND(D47*C47,0)</f>
        <v>284</v>
      </c>
      <c r="F47" s="21" t="n">
        <f aca="false">ROUND(D48+(E47/2),0)</f>
        <v>93560</v>
      </c>
      <c r="G47" s="26" t="n">
        <f aca="false">SUM(F47:F$105)</f>
        <v>3518346</v>
      </c>
      <c r="H47" s="22" t="n">
        <f aca="false">G47/D47</f>
        <v>37.5482487033361</v>
      </c>
    </row>
    <row r="48" customFormat="false" ht="14.25" hidden="false" customHeight="false" outlineLevel="0" collapsed="false">
      <c r="B48" s="23" t="n">
        <v>43</v>
      </c>
      <c r="C48" s="24" t="n">
        <f aca="false">Insumos!B48/(Insumos!C48+Insumos!B48/2)</f>
        <v>0.00330914338949011</v>
      </c>
      <c r="D48" s="25" t="n">
        <f aca="false">D47-E47</f>
        <v>93418</v>
      </c>
      <c r="E48" s="20" t="n">
        <f aca="false">ROUND(D48*C48,0)</f>
        <v>309</v>
      </c>
      <c r="F48" s="21" t="n">
        <f aca="false">ROUND(D49+(E48/2),0)</f>
        <v>93264</v>
      </c>
      <c r="G48" s="26" t="n">
        <f aca="false">SUM(F48:F$105)</f>
        <v>3424786</v>
      </c>
      <c r="H48" s="22" t="n">
        <f aca="false">G48/D48</f>
        <v>36.6608790597101</v>
      </c>
    </row>
    <row r="49" customFormat="false" ht="14.25" hidden="false" customHeight="false" outlineLevel="0" collapsed="false">
      <c r="B49" s="23" t="n">
        <v>44</v>
      </c>
      <c r="C49" s="24" t="n">
        <f aca="false">Insumos!B49/(Insumos!C49+Insumos!B49/2)</f>
        <v>0.00343418085080008</v>
      </c>
      <c r="D49" s="25" t="n">
        <f aca="false">D48-E48</f>
        <v>93109</v>
      </c>
      <c r="E49" s="20" t="n">
        <f aca="false">ROUND(D49*C49,0)</f>
        <v>320</v>
      </c>
      <c r="F49" s="21" t="n">
        <f aca="false">ROUND(D50+(E49/2),0)</f>
        <v>92949</v>
      </c>
      <c r="G49" s="26" t="n">
        <f aca="false">SUM(F49:F$105)</f>
        <v>3331522</v>
      </c>
      <c r="H49" s="22" t="n">
        <f aca="false">G49/D49</f>
        <v>35.7808804734236</v>
      </c>
    </row>
    <row r="50" customFormat="false" ht="14.25" hidden="false" customHeight="false" outlineLevel="0" collapsed="false">
      <c r="B50" s="23" t="n">
        <v>45</v>
      </c>
      <c r="C50" s="24" t="n">
        <f aca="false">Insumos!B50/(Insumos!C50+Insumos!B50/2)</f>
        <v>0.00382590175095083</v>
      </c>
      <c r="D50" s="25" t="n">
        <f aca="false">D49-E49</f>
        <v>92789</v>
      </c>
      <c r="E50" s="20" t="n">
        <f aca="false">ROUND(D50*C50,0)</f>
        <v>355</v>
      </c>
      <c r="F50" s="21" t="n">
        <f aca="false">ROUND(D51+(E50/2),0)</f>
        <v>92612</v>
      </c>
      <c r="G50" s="26" t="n">
        <f aca="false">SUM(F50:F$105)</f>
        <v>3238573</v>
      </c>
      <c r="H50" s="22" t="n">
        <f aca="false">G50/D50</f>
        <v>34.902553104355</v>
      </c>
    </row>
    <row r="51" customFormat="false" ht="14.25" hidden="false" customHeight="false" outlineLevel="0" collapsed="false">
      <c r="B51" s="23" t="n">
        <v>46</v>
      </c>
      <c r="C51" s="24" t="n">
        <f aca="false">Insumos!B51/(Insumos!C51+Insumos!B51/2)</f>
        <v>0.00400556596827881</v>
      </c>
      <c r="D51" s="25" t="n">
        <f aca="false">D50-E50</f>
        <v>92434</v>
      </c>
      <c r="E51" s="20" t="n">
        <f aca="false">ROUND(D51*C51,0)</f>
        <v>370</v>
      </c>
      <c r="F51" s="21" t="n">
        <f aca="false">ROUND(D52+(E51/2),0)</f>
        <v>92249</v>
      </c>
      <c r="G51" s="26" t="n">
        <f aca="false">SUM(F51:F$105)</f>
        <v>3145961</v>
      </c>
      <c r="H51" s="22" t="n">
        <f aca="false">G51/D51</f>
        <v>34.03467338858</v>
      </c>
    </row>
    <row r="52" customFormat="false" ht="14.25" hidden="false" customHeight="false" outlineLevel="0" collapsed="false">
      <c r="B52" s="23" t="n">
        <v>47</v>
      </c>
      <c r="C52" s="24" t="n">
        <f aca="false">Insumos!B52/(Insumos!C52+Insumos!B52/2)</f>
        <v>0.00414922107536996</v>
      </c>
      <c r="D52" s="25" t="n">
        <f aca="false">D51-E51</f>
        <v>92064</v>
      </c>
      <c r="E52" s="20" t="n">
        <f aca="false">ROUND(D52*C52,0)</f>
        <v>382</v>
      </c>
      <c r="F52" s="21" t="n">
        <f aca="false">ROUND(D53+(E52/2),0)</f>
        <v>91873</v>
      </c>
      <c r="G52" s="26" t="n">
        <f aca="false">SUM(F52:F$105)</f>
        <v>3053712</v>
      </c>
      <c r="H52" s="22" t="n">
        <f aca="false">G52/D52</f>
        <v>33.1694473409802</v>
      </c>
    </row>
    <row r="53" customFormat="false" ht="14.25" hidden="false" customHeight="false" outlineLevel="0" collapsed="false">
      <c r="B53" s="23" t="n">
        <v>48</v>
      </c>
      <c r="C53" s="24" t="n">
        <f aca="false">Insumos!B53/(Insumos!C53+Insumos!B53/2)</f>
        <v>0.00433995795455797</v>
      </c>
      <c r="D53" s="25" t="n">
        <f aca="false">D52-E52</f>
        <v>91682</v>
      </c>
      <c r="E53" s="20" t="n">
        <f aca="false">ROUND(D53*C53,0)</f>
        <v>398</v>
      </c>
      <c r="F53" s="21" t="n">
        <f aca="false">ROUND(D54+(E53/2),0)</f>
        <v>91483</v>
      </c>
      <c r="G53" s="26" t="n">
        <f aca="false">SUM(F53:F$105)</f>
        <v>2961839</v>
      </c>
      <c r="H53" s="22" t="n">
        <f aca="false">G53/D53</f>
        <v>32.3055670687812</v>
      </c>
    </row>
    <row r="54" customFormat="false" ht="14.25" hidden="false" customHeight="false" outlineLevel="0" collapsed="false">
      <c r="B54" s="23" t="n">
        <v>49</v>
      </c>
      <c r="C54" s="24" t="n">
        <f aca="false">Insumos!B54/(Insumos!C54+Insumos!B54/2)</f>
        <v>0.00471193694323006</v>
      </c>
      <c r="D54" s="25" t="n">
        <f aca="false">D53-E53</f>
        <v>91284</v>
      </c>
      <c r="E54" s="20" t="n">
        <f aca="false">ROUND(D54*C54,0)</f>
        <v>430</v>
      </c>
      <c r="F54" s="21" t="n">
        <f aca="false">ROUND(D55+(E54/2),0)</f>
        <v>91069</v>
      </c>
      <c r="G54" s="26" t="n">
        <f aca="false">SUM(F54:F$105)</f>
        <v>2870356</v>
      </c>
      <c r="H54" s="22" t="n">
        <f aca="false">G54/D54</f>
        <v>31.4442399544279</v>
      </c>
    </row>
    <row r="55" customFormat="false" ht="14.25" hidden="false" customHeight="false" outlineLevel="0" collapsed="false">
      <c r="B55" s="23" t="n">
        <v>50</v>
      </c>
      <c r="C55" s="24" t="n">
        <f aca="false">Insumos!B55/(Insumos!C55+Insumos!B55/2)</f>
        <v>0.00486692550221601</v>
      </c>
      <c r="D55" s="25" t="n">
        <f aca="false">D54-E54</f>
        <v>90854</v>
      </c>
      <c r="E55" s="20" t="n">
        <f aca="false">ROUND(D55*C55,0)</f>
        <v>442</v>
      </c>
      <c r="F55" s="21" t="n">
        <f aca="false">ROUND(D56+(E55/2),0)</f>
        <v>90633</v>
      </c>
      <c r="G55" s="26" t="n">
        <f aca="false">SUM(F55:F$105)</f>
        <v>2779287</v>
      </c>
      <c r="H55" s="22" t="n">
        <f aca="false">G55/D55</f>
        <v>30.5906949611465</v>
      </c>
    </row>
    <row r="56" customFormat="false" ht="14.25" hidden="false" customHeight="false" outlineLevel="0" collapsed="false">
      <c r="B56" s="23" t="n">
        <v>51</v>
      </c>
      <c r="C56" s="24" t="n">
        <f aca="false">Insumos!B56/(Insumos!C56+Insumos!B56/2)</f>
        <v>0.00527511142903945</v>
      </c>
      <c r="D56" s="25" t="n">
        <f aca="false">D55-E55</f>
        <v>90412</v>
      </c>
      <c r="E56" s="20" t="n">
        <f aca="false">ROUND(D56*C56,0)</f>
        <v>477</v>
      </c>
      <c r="F56" s="21" t="n">
        <f aca="false">ROUND(D57+(E56/2),0)</f>
        <v>90174</v>
      </c>
      <c r="G56" s="26" t="n">
        <f aca="false">SUM(F56:F$105)</f>
        <v>2688654</v>
      </c>
      <c r="H56" s="22" t="n">
        <f aca="false">G56/D56</f>
        <v>29.7378002919966</v>
      </c>
    </row>
    <row r="57" customFormat="false" ht="14.25" hidden="false" customHeight="false" outlineLevel="0" collapsed="false">
      <c r="B57" s="23" t="n">
        <v>52</v>
      </c>
      <c r="C57" s="24" t="n">
        <f aca="false">Insumos!B57/(Insumos!C57+Insumos!B57/2)</f>
        <v>0.00565054602060502</v>
      </c>
      <c r="D57" s="25" t="n">
        <f aca="false">D56-E56</f>
        <v>89935</v>
      </c>
      <c r="E57" s="20" t="n">
        <f aca="false">ROUND(D57*C57,0)</f>
        <v>508</v>
      </c>
      <c r="F57" s="21" t="n">
        <f aca="false">ROUND(D58+(E57/2),0)</f>
        <v>89681</v>
      </c>
      <c r="G57" s="26" t="n">
        <f aca="false">SUM(F57:F$105)</f>
        <v>2598480</v>
      </c>
      <c r="H57" s="22" t="n">
        <f aca="false">G57/D57</f>
        <v>28.8928670706621</v>
      </c>
    </row>
    <row r="58" customFormat="false" ht="14.25" hidden="false" customHeight="false" outlineLevel="0" collapsed="false">
      <c r="B58" s="23" t="n">
        <v>53</v>
      </c>
      <c r="C58" s="24" t="n">
        <f aca="false">Insumos!B58/(Insumos!C58+Insumos!B58/2)</f>
        <v>0.00636775330288002</v>
      </c>
      <c r="D58" s="25" t="n">
        <f aca="false">D57-E57</f>
        <v>89427</v>
      </c>
      <c r="E58" s="20" t="n">
        <f aca="false">ROUND(D58*C58,0)</f>
        <v>569</v>
      </c>
      <c r="F58" s="21" t="n">
        <f aca="false">ROUND(D59+(E58/2),0)</f>
        <v>89143</v>
      </c>
      <c r="G58" s="26" t="n">
        <f aca="false">SUM(F58:F$105)</f>
        <v>2508799</v>
      </c>
      <c r="H58" s="22" t="n">
        <f aca="false">G58/D58</f>
        <v>28.054155903698</v>
      </c>
    </row>
    <row r="59" customFormat="false" ht="14.25" hidden="false" customHeight="false" outlineLevel="0" collapsed="false">
      <c r="B59" s="23" t="n">
        <v>54</v>
      </c>
      <c r="C59" s="24" t="n">
        <f aca="false">Insumos!B59/(Insumos!C59+Insumos!B59/2)</f>
        <v>0.00652283603975463</v>
      </c>
      <c r="D59" s="25" t="n">
        <f aca="false">D58-E58</f>
        <v>88858</v>
      </c>
      <c r="E59" s="20" t="n">
        <f aca="false">ROUND(D59*C59,0)</f>
        <v>580</v>
      </c>
      <c r="F59" s="21" t="n">
        <f aca="false">ROUND(D60+(E59/2),0)</f>
        <v>88568</v>
      </c>
      <c r="G59" s="26" t="n">
        <f aca="false">SUM(F59:F$105)</f>
        <v>2419656</v>
      </c>
      <c r="H59" s="22" t="n">
        <f aca="false">G59/D59</f>
        <v>27.2305926309393</v>
      </c>
    </row>
    <row r="60" customFormat="false" ht="14.25" hidden="false" customHeight="false" outlineLevel="0" collapsed="false">
      <c r="B60" s="23" t="n">
        <v>55</v>
      </c>
      <c r="C60" s="24" t="n">
        <f aca="false">Insumos!B60/(Insumos!C60+Insumos!B60/2)</f>
        <v>0.00734429262029827</v>
      </c>
      <c r="D60" s="25" t="n">
        <f aca="false">D59-E59</f>
        <v>88278</v>
      </c>
      <c r="E60" s="20" t="n">
        <f aca="false">ROUND(D60*C60,0)</f>
        <v>648</v>
      </c>
      <c r="F60" s="21" t="n">
        <f aca="false">ROUND(D61+(E60/2),0)</f>
        <v>87954</v>
      </c>
      <c r="G60" s="26" t="n">
        <f aca="false">SUM(F60:F$105)</f>
        <v>2331088</v>
      </c>
      <c r="H60" s="22" t="n">
        <f aca="false">G60/D60</f>
        <v>26.4062167244387</v>
      </c>
    </row>
    <row r="61" customFormat="false" ht="14.25" hidden="false" customHeight="false" outlineLevel="0" collapsed="false">
      <c r="B61" s="23" t="n">
        <v>56</v>
      </c>
      <c r="C61" s="24" t="n">
        <f aca="false">Insumos!B61/(Insumos!C61+Insumos!B61/2)</f>
        <v>0.00794692589566734</v>
      </c>
      <c r="D61" s="25" t="n">
        <f aca="false">D60-E60</f>
        <v>87630</v>
      </c>
      <c r="E61" s="20" t="n">
        <f aca="false">ROUND(D61*C61,0)</f>
        <v>696</v>
      </c>
      <c r="F61" s="21" t="n">
        <f aca="false">ROUND(D62+(E61/2),0)</f>
        <v>87282</v>
      </c>
      <c r="G61" s="26" t="n">
        <f aca="false">SUM(F61:F$105)</f>
        <v>2243134</v>
      </c>
      <c r="H61" s="22" t="n">
        <f aca="false">G61/D61</f>
        <v>25.5977861462969</v>
      </c>
    </row>
    <row r="62" customFormat="false" ht="14.25" hidden="false" customHeight="false" outlineLevel="0" collapsed="false">
      <c r="B62" s="23" t="n">
        <v>57</v>
      </c>
      <c r="C62" s="24" t="n">
        <f aca="false">Insumos!B62/(Insumos!C62+Insumos!B62/2)</f>
        <v>0.00872588941592833</v>
      </c>
      <c r="D62" s="25" t="n">
        <f aca="false">D61-E61</f>
        <v>86934</v>
      </c>
      <c r="E62" s="20" t="n">
        <f aca="false">ROUND(D62*C62,0)</f>
        <v>759</v>
      </c>
      <c r="F62" s="21" t="n">
        <f aca="false">ROUND(D63+(E62/2),0)</f>
        <v>86555</v>
      </c>
      <c r="G62" s="26" t="n">
        <f aca="false">SUM(F62:F$105)</f>
        <v>2155852</v>
      </c>
      <c r="H62" s="22" t="n">
        <f aca="false">G62/D62</f>
        <v>24.798720868705</v>
      </c>
    </row>
    <row r="63" customFormat="false" ht="14.25" hidden="false" customHeight="false" outlineLevel="0" collapsed="false">
      <c r="B63" s="23" t="n">
        <v>58</v>
      </c>
      <c r="C63" s="24" t="n">
        <f aca="false">Insumos!B63/(Insumos!C63+Insumos!B63/2)</f>
        <v>0.00906944729085572</v>
      </c>
      <c r="D63" s="25" t="n">
        <f aca="false">D62-E62</f>
        <v>86175</v>
      </c>
      <c r="E63" s="20" t="n">
        <f aca="false">ROUND(D63*C63,0)</f>
        <v>782</v>
      </c>
      <c r="F63" s="21" t="n">
        <f aca="false">ROUND(D64+(E63/2),0)</f>
        <v>85784</v>
      </c>
      <c r="G63" s="26" t="n">
        <f aca="false">SUM(F63:F$105)</f>
        <v>2069297</v>
      </c>
      <c r="H63" s="22" t="n">
        <f aca="false">G63/D63</f>
        <v>24.0127299100667</v>
      </c>
    </row>
    <row r="64" customFormat="false" ht="14.25" hidden="false" customHeight="false" outlineLevel="0" collapsed="false">
      <c r="B64" s="23" t="n">
        <v>59</v>
      </c>
      <c r="C64" s="24" t="n">
        <f aca="false">Insumos!B64/(Insumos!C64+Insumos!B64/2)</f>
        <v>0.0102563032757296</v>
      </c>
      <c r="D64" s="25" t="n">
        <f aca="false">D63-E63</f>
        <v>85393</v>
      </c>
      <c r="E64" s="20" t="n">
        <f aca="false">ROUND(D64*C64,0)</f>
        <v>876</v>
      </c>
      <c r="F64" s="21" t="n">
        <f aca="false">ROUND(D65+(E64/2),0)</f>
        <v>84955</v>
      </c>
      <c r="G64" s="26" t="n">
        <f aca="false">SUM(F64:F$105)</f>
        <v>1983513</v>
      </c>
      <c r="H64" s="22" t="n">
        <f aca="false">G64/D64</f>
        <v>23.2280514796295</v>
      </c>
    </row>
    <row r="65" customFormat="false" ht="14.25" hidden="false" customHeight="false" outlineLevel="0" collapsed="false">
      <c r="B65" s="23" t="n">
        <v>60</v>
      </c>
      <c r="C65" s="24" t="n">
        <f aca="false">Insumos!B65/(Insumos!C65+Insumos!B65/2)</f>
        <v>0.0107129126038746</v>
      </c>
      <c r="D65" s="25" t="n">
        <f aca="false">D64-E64</f>
        <v>84517</v>
      </c>
      <c r="E65" s="20" t="n">
        <f aca="false">ROUND(D65*C65,0)</f>
        <v>905</v>
      </c>
      <c r="F65" s="21" t="n">
        <f aca="false">ROUND(D66+(E65/2),0)</f>
        <v>84065</v>
      </c>
      <c r="G65" s="26" t="n">
        <f aca="false">SUM(F65:F$105)</f>
        <v>1898558</v>
      </c>
      <c r="H65" s="22" t="n">
        <f aca="false">G65/D65</f>
        <v>22.4636227031248</v>
      </c>
    </row>
    <row r="66" customFormat="false" ht="14.25" hidden="false" customHeight="false" outlineLevel="0" collapsed="false">
      <c r="B66" s="23" t="n">
        <v>61</v>
      </c>
      <c r="C66" s="24" t="n">
        <f aca="false">Insumos!B66/(Insumos!C66+Insumos!B66/2)</f>
        <v>0.0114918913772032</v>
      </c>
      <c r="D66" s="25" t="n">
        <f aca="false">D65-E65</f>
        <v>83612</v>
      </c>
      <c r="E66" s="20" t="n">
        <f aca="false">ROUND(D66*C66,0)</f>
        <v>961</v>
      </c>
      <c r="F66" s="21" t="n">
        <f aca="false">ROUND(D67+(E66/2),0)</f>
        <v>83132</v>
      </c>
      <c r="G66" s="26" t="n">
        <f aca="false">SUM(F66:F$105)</f>
        <v>1814493</v>
      </c>
      <c r="H66" s="22" t="n">
        <f aca="false">G66/D66</f>
        <v>21.7013466966464</v>
      </c>
    </row>
    <row r="67" customFormat="false" ht="14.25" hidden="false" customHeight="false" outlineLevel="0" collapsed="false">
      <c r="B67" s="23" t="n">
        <v>62</v>
      </c>
      <c r="C67" s="24" t="n">
        <f aca="false">Insumos!B67/(Insumos!C67+Insumos!B67/2)</f>
        <v>0.0122134802476577</v>
      </c>
      <c r="D67" s="25" t="n">
        <f aca="false">D66-E66</f>
        <v>82651</v>
      </c>
      <c r="E67" s="20" t="n">
        <f aca="false">ROUND(D67*C67,0)</f>
        <v>1009</v>
      </c>
      <c r="F67" s="21" t="n">
        <f aca="false">ROUND(D68+(E67/2),0)</f>
        <v>82147</v>
      </c>
      <c r="G67" s="26" t="n">
        <f aca="false">SUM(F67:F$105)</f>
        <v>1731361</v>
      </c>
      <c r="H67" s="22" t="n">
        <f aca="false">G67/D67</f>
        <v>20.9478530205321</v>
      </c>
    </row>
    <row r="68" customFormat="false" ht="14.25" hidden="false" customHeight="false" outlineLevel="0" collapsed="false">
      <c r="B68" s="23" t="n">
        <v>63</v>
      </c>
      <c r="C68" s="24" t="n">
        <f aca="false">Insumos!B68/(Insumos!C68+Insumos!B68/2)</f>
        <v>0.0134621215925646</v>
      </c>
      <c r="D68" s="25" t="n">
        <f aca="false">D67-E67</f>
        <v>81642</v>
      </c>
      <c r="E68" s="20" t="n">
        <f aca="false">ROUND(D68*C68,0)</f>
        <v>1099</v>
      </c>
      <c r="F68" s="21" t="n">
        <f aca="false">ROUND(D69+(E68/2),0)</f>
        <v>81093</v>
      </c>
      <c r="G68" s="26" t="n">
        <f aca="false">SUM(F68:F$105)</f>
        <v>1649214</v>
      </c>
      <c r="H68" s="22" t="n">
        <f aca="false">G68/D68</f>
        <v>20.2005585360476</v>
      </c>
    </row>
    <row r="69" customFormat="false" ht="14.25" hidden="false" customHeight="false" outlineLevel="0" collapsed="false">
      <c r="B69" s="23" t="n">
        <v>64</v>
      </c>
      <c r="C69" s="24" t="n">
        <f aca="false">Insumos!B69/(Insumos!C69+Insumos!B69/2)</f>
        <v>0.0140001581016754</v>
      </c>
      <c r="D69" s="25" t="n">
        <f aca="false">D68-E68</f>
        <v>80543</v>
      </c>
      <c r="E69" s="20" t="n">
        <f aca="false">ROUND(D69*C69,0)</f>
        <v>1128</v>
      </c>
      <c r="F69" s="21" t="n">
        <f aca="false">ROUND(D70+(E69/2),0)</f>
        <v>79979</v>
      </c>
      <c r="G69" s="26" t="n">
        <f aca="false">SUM(F69:F$105)</f>
        <v>1568121</v>
      </c>
      <c r="H69" s="22" t="n">
        <f aca="false">G69/D69</f>
        <v>19.4693641905566</v>
      </c>
    </row>
    <row r="70" customFormat="false" ht="14.25" hidden="false" customHeight="false" outlineLevel="0" collapsed="false">
      <c r="B70" s="23" t="n">
        <v>65</v>
      </c>
      <c r="C70" s="24" t="n">
        <f aca="false">Insumos!B70/(Insumos!C70+Insumos!B70/2)</f>
        <v>0.0151621104940929</v>
      </c>
      <c r="D70" s="25" t="n">
        <f aca="false">D69-E69</f>
        <v>79415</v>
      </c>
      <c r="E70" s="20" t="n">
        <f aca="false">ROUND(D70*C70,0)</f>
        <v>1204</v>
      </c>
      <c r="F70" s="21" t="n">
        <f aca="false">ROUND(D71+(E70/2),0)</f>
        <v>78813</v>
      </c>
      <c r="G70" s="26" t="n">
        <f aca="false">SUM(F70:F$105)</f>
        <v>1488142</v>
      </c>
      <c r="H70" s="22" t="n">
        <f aca="false">G70/D70</f>
        <v>18.7388024932318</v>
      </c>
    </row>
    <row r="71" customFormat="false" ht="14.25" hidden="false" customHeight="false" outlineLevel="0" collapsed="false">
      <c r="B71" s="23" t="n">
        <v>66</v>
      </c>
      <c r="C71" s="24" t="n">
        <f aca="false">Insumos!B71/(Insumos!C71+Insumos!B71/2)</f>
        <v>0.0160431847178447</v>
      </c>
      <c r="D71" s="25" t="n">
        <f aca="false">D70-E70</f>
        <v>78211</v>
      </c>
      <c r="E71" s="20" t="n">
        <f aca="false">ROUND(D71*C71,0)</f>
        <v>1255</v>
      </c>
      <c r="F71" s="21" t="n">
        <f aca="false">ROUND(D72+(E71/2),0)</f>
        <v>77584</v>
      </c>
      <c r="G71" s="26" t="n">
        <f aca="false">SUM(F71:F$105)</f>
        <v>1409329</v>
      </c>
      <c r="H71" s="22" t="n">
        <f aca="false">G71/D71</f>
        <v>18.0195752515631</v>
      </c>
    </row>
    <row r="72" customFormat="false" ht="14.25" hidden="false" customHeight="false" outlineLevel="0" collapsed="false">
      <c r="B72" s="23" t="n">
        <v>67</v>
      </c>
      <c r="C72" s="24" t="n">
        <f aca="false">Insumos!B72/(Insumos!C72+Insumos!B72/2)</f>
        <v>0.0174887643381229</v>
      </c>
      <c r="D72" s="25" t="n">
        <f aca="false">D71-E71</f>
        <v>76956</v>
      </c>
      <c r="E72" s="20" t="n">
        <f aca="false">ROUND(D72*C72,0)</f>
        <v>1346</v>
      </c>
      <c r="F72" s="21" t="n">
        <f aca="false">ROUND(D73+(E72/2),0)</f>
        <v>76283</v>
      </c>
      <c r="G72" s="26" t="n">
        <f aca="false">SUM(F72:F$105)</f>
        <v>1331745</v>
      </c>
      <c r="H72" s="22" t="n">
        <f aca="false">G72/D72</f>
        <v>17.3052783408701</v>
      </c>
    </row>
    <row r="73" customFormat="false" ht="14.25" hidden="false" customHeight="false" outlineLevel="0" collapsed="false">
      <c r="B73" s="23" t="n">
        <v>68</v>
      </c>
      <c r="C73" s="24" t="n">
        <f aca="false">Insumos!B73/(Insumos!C73+Insumos!B73/2)</f>
        <v>0.0190461586531959</v>
      </c>
      <c r="D73" s="25" t="n">
        <f aca="false">D72-E72</f>
        <v>75610</v>
      </c>
      <c r="E73" s="20" t="n">
        <f aca="false">ROUND(D73*C73,0)</f>
        <v>1440</v>
      </c>
      <c r="F73" s="21" t="n">
        <f aca="false">ROUND(D74+(E73/2),0)</f>
        <v>74890</v>
      </c>
      <c r="G73" s="26" t="n">
        <f aca="false">SUM(F73:F$105)</f>
        <v>1255462</v>
      </c>
      <c r="H73" s="22" t="n">
        <f aca="false">G73/D73</f>
        <v>16.6044438566327</v>
      </c>
    </row>
    <row r="74" customFormat="false" ht="14.25" hidden="false" customHeight="false" outlineLevel="0" collapsed="false">
      <c r="B74" s="23" t="n">
        <v>69</v>
      </c>
      <c r="C74" s="24" t="n">
        <f aca="false">Insumos!B74/(Insumos!C74+Insumos!B74/2)</f>
        <v>0.0209979372453241</v>
      </c>
      <c r="D74" s="25" t="n">
        <f aca="false">D73-E73</f>
        <v>74170</v>
      </c>
      <c r="E74" s="20" t="n">
        <f aca="false">ROUND(D74*C74,0)</f>
        <v>1557</v>
      </c>
      <c r="F74" s="21" t="n">
        <f aca="false">ROUND(D75+(E74/2),0)</f>
        <v>73392</v>
      </c>
      <c r="G74" s="26" t="n">
        <f aca="false">SUM(F74:F$105)</f>
        <v>1180572</v>
      </c>
      <c r="H74" s="22" t="n">
        <f aca="false">G74/D74</f>
        <v>15.9171093434003</v>
      </c>
    </row>
    <row r="75" customFormat="false" ht="14.25" hidden="false" customHeight="false" outlineLevel="0" collapsed="false">
      <c r="B75" s="23" t="n">
        <v>70</v>
      </c>
      <c r="C75" s="24" t="n">
        <f aca="false">Insumos!B75/(Insumos!C75+Insumos!B75/2)</f>
        <v>0.0221518255466221</v>
      </c>
      <c r="D75" s="25" t="n">
        <f aca="false">D74-E74</f>
        <v>72613</v>
      </c>
      <c r="E75" s="20" t="n">
        <f aca="false">ROUND(D75*C75,0)</f>
        <v>1609</v>
      </c>
      <c r="F75" s="21" t="n">
        <f aca="false">ROUND(D76+(E75/2),0)</f>
        <v>71809</v>
      </c>
      <c r="G75" s="26" t="n">
        <f aca="false">SUM(F75:F$105)</f>
        <v>1107180</v>
      </c>
      <c r="H75" s="22" t="n">
        <f aca="false">G75/D75</f>
        <v>15.2476829217909</v>
      </c>
    </row>
    <row r="76" customFormat="false" ht="14.25" hidden="false" customHeight="false" outlineLevel="0" collapsed="false">
      <c r="B76" s="23" t="n">
        <v>71</v>
      </c>
      <c r="C76" s="24" t="n">
        <f aca="false">Insumos!B76/(Insumos!C76+Insumos!B76/2)</f>
        <v>0.024645505005217</v>
      </c>
      <c r="D76" s="25" t="n">
        <f aca="false">D75-E75</f>
        <v>71004</v>
      </c>
      <c r="E76" s="20" t="n">
        <f aca="false">ROUND(D76*C76,0)</f>
        <v>1750</v>
      </c>
      <c r="F76" s="21" t="n">
        <f aca="false">ROUND(D77+(E76/2),0)</f>
        <v>70129</v>
      </c>
      <c r="G76" s="26" t="n">
        <f aca="false">SUM(F76:F$105)</f>
        <v>1035371</v>
      </c>
      <c r="H76" s="22" t="n">
        <f aca="false">G76/D76</f>
        <v>14.5818686271196</v>
      </c>
    </row>
    <row r="77" customFormat="false" ht="14.25" hidden="false" customHeight="false" outlineLevel="0" collapsed="false">
      <c r="B77" s="23" t="n">
        <v>72</v>
      </c>
      <c r="C77" s="24" t="n">
        <f aca="false">Insumos!B77/(Insumos!C77+Insumos!B77/2)</f>
        <v>0.0260704037533739</v>
      </c>
      <c r="D77" s="25" t="n">
        <f aca="false">D76-E76</f>
        <v>69254</v>
      </c>
      <c r="E77" s="20" t="n">
        <f aca="false">ROUND(D77*C77,0)</f>
        <v>1805</v>
      </c>
      <c r="F77" s="21" t="n">
        <f aca="false">ROUND(D78+(E77/2),0)</f>
        <v>68352</v>
      </c>
      <c r="G77" s="26" t="n">
        <f aca="false">SUM(F77:F$105)</f>
        <v>965242</v>
      </c>
      <c r="H77" s="22" t="n">
        <f aca="false">G77/D77</f>
        <v>13.9377075692379</v>
      </c>
    </row>
    <row r="78" customFormat="false" ht="14.25" hidden="false" customHeight="false" outlineLevel="0" collapsed="false">
      <c r="B78" s="23" t="n">
        <v>73</v>
      </c>
      <c r="C78" s="24" t="n">
        <f aca="false">Insumos!B78/(Insumos!C78+Insumos!B78/2)</f>
        <v>0.0291171569799918</v>
      </c>
      <c r="D78" s="25" t="n">
        <f aca="false">D77-E77</f>
        <v>67449</v>
      </c>
      <c r="E78" s="20" t="n">
        <f aca="false">ROUND(D78*C78,0)</f>
        <v>1964</v>
      </c>
      <c r="F78" s="21" t="n">
        <f aca="false">ROUND(D79+(E78/2),0)</f>
        <v>66467</v>
      </c>
      <c r="G78" s="26" t="n">
        <f aca="false">SUM(F78:F$105)</f>
        <v>896890</v>
      </c>
      <c r="H78" s="22" t="n">
        <f aca="false">G78/D78</f>
        <v>13.2973061127667</v>
      </c>
    </row>
    <row r="79" customFormat="false" ht="14.25" hidden="false" customHeight="false" outlineLevel="0" collapsed="false">
      <c r="B79" s="23" t="n">
        <v>74</v>
      </c>
      <c r="C79" s="24" t="n">
        <f aca="false">Insumos!B79/(Insumos!C79+Insumos!B79/2)</f>
        <v>0.0298028445267967</v>
      </c>
      <c r="D79" s="25" t="n">
        <f aca="false">D78-E78</f>
        <v>65485</v>
      </c>
      <c r="E79" s="20" t="n">
        <f aca="false">ROUND(D79*C79,0)</f>
        <v>1952</v>
      </c>
      <c r="F79" s="21" t="n">
        <f aca="false">ROUND(D80+(E79/2),0)</f>
        <v>64509</v>
      </c>
      <c r="G79" s="26" t="n">
        <f aca="false">SUM(F79:F$105)</f>
        <v>830423</v>
      </c>
      <c r="H79" s="22" t="n">
        <f aca="false">G79/D79</f>
        <v>12.6811178132397</v>
      </c>
    </row>
    <row r="80" customFormat="false" ht="14.25" hidden="false" customHeight="false" outlineLevel="0" collapsed="false">
      <c r="B80" s="23" t="n">
        <v>75</v>
      </c>
      <c r="C80" s="24" t="n">
        <f aca="false">Insumos!B80/(Insumos!C80+Insumos!B80/2)</f>
        <v>0.033678269571789</v>
      </c>
      <c r="D80" s="25" t="n">
        <f aca="false">D79-E79</f>
        <v>63533</v>
      </c>
      <c r="E80" s="20" t="n">
        <f aca="false">ROUND(D80*C80,0)</f>
        <v>2140</v>
      </c>
      <c r="F80" s="21" t="n">
        <f aca="false">ROUND(D81+(E80/2),0)</f>
        <v>62463</v>
      </c>
      <c r="G80" s="26" t="n">
        <f aca="false">SUM(F80:F$105)</f>
        <v>765914</v>
      </c>
      <c r="H80" s="22" t="n">
        <f aca="false">G80/D80</f>
        <v>12.0553727983882</v>
      </c>
    </row>
    <row r="81" customFormat="false" ht="14.25" hidden="false" customHeight="false" outlineLevel="0" collapsed="false">
      <c r="B81" s="23" t="n">
        <v>76</v>
      </c>
      <c r="C81" s="24" t="n">
        <f aca="false">Insumos!B81/(Insumos!C81+Insumos!B81/2)</f>
        <v>0.0361794088747008</v>
      </c>
      <c r="D81" s="25" t="n">
        <f aca="false">D80-E80</f>
        <v>61393</v>
      </c>
      <c r="E81" s="20" t="n">
        <f aca="false">ROUND(D81*C81,0)</f>
        <v>2221</v>
      </c>
      <c r="F81" s="21" t="n">
        <f aca="false">ROUND(D82+(E81/2),0)</f>
        <v>60283</v>
      </c>
      <c r="G81" s="26" t="n">
        <f aca="false">SUM(F81:F$105)</f>
        <v>703451</v>
      </c>
      <c r="H81" s="22" t="n">
        <f aca="false">G81/D81</f>
        <v>11.4581629827505</v>
      </c>
    </row>
    <row r="82" customFormat="false" ht="14.25" hidden="false" customHeight="false" outlineLevel="0" collapsed="false">
      <c r="B82" s="23" t="n">
        <v>77</v>
      </c>
      <c r="C82" s="24" t="n">
        <f aca="false">Insumos!B82/(Insumos!C82+Insumos!B82/2)</f>
        <v>0.0401424200250326</v>
      </c>
      <c r="D82" s="25" t="n">
        <f aca="false">D81-E81</f>
        <v>59172</v>
      </c>
      <c r="E82" s="20" t="n">
        <f aca="false">ROUND(D82*C82,0)</f>
        <v>2375</v>
      </c>
      <c r="F82" s="21" t="n">
        <f aca="false">ROUND(D83+(E82/2),0)</f>
        <v>57985</v>
      </c>
      <c r="G82" s="26" t="n">
        <f aca="false">SUM(F82:F$105)</f>
        <v>643168</v>
      </c>
      <c r="H82" s="22" t="n">
        <f aca="false">G82/D82</f>
        <v>10.869465287636</v>
      </c>
    </row>
    <row r="83" customFormat="false" ht="14.25" hidden="false" customHeight="false" outlineLevel="0" collapsed="false">
      <c r="B83" s="23" t="n">
        <v>78</v>
      </c>
      <c r="C83" s="24" t="n">
        <f aca="false">Insumos!B83/(Insumos!C83+Insumos!B83/2)</f>
        <v>0.0435080622514439</v>
      </c>
      <c r="D83" s="25" t="n">
        <f aca="false">D82-E82</f>
        <v>56797</v>
      </c>
      <c r="E83" s="20" t="n">
        <f aca="false">ROUND(D83*C83,0)</f>
        <v>2471</v>
      </c>
      <c r="F83" s="21" t="n">
        <f aca="false">ROUND(D84+(E83/2),0)</f>
        <v>55562</v>
      </c>
      <c r="G83" s="26" t="n">
        <f aca="false">SUM(F83:F$105)</f>
        <v>585183</v>
      </c>
      <c r="H83" s="22" t="n">
        <f aca="false">G83/D83</f>
        <v>10.3030617814321</v>
      </c>
    </row>
    <row r="84" customFormat="false" ht="14.25" hidden="false" customHeight="false" outlineLevel="0" collapsed="false">
      <c r="B84" s="23" t="n">
        <v>79</v>
      </c>
      <c r="C84" s="24" t="n">
        <f aca="false">Insumos!B84/(Insumos!C84+Insumos!B84/2)</f>
        <v>0.0495396976620443</v>
      </c>
      <c r="D84" s="25" t="n">
        <f aca="false">D83-E83</f>
        <v>54326</v>
      </c>
      <c r="E84" s="20" t="n">
        <f aca="false">ROUND(D84*C84,0)</f>
        <v>2691</v>
      </c>
      <c r="F84" s="21" t="n">
        <f aca="false">ROUND(D85+(E84/2),0)</f>
        <v>52981</v>
      </c>
      <c r="G84" s="26" t="n">
        <f aca="false">SUM(F84:F$105)</f>
        <v>529621</v>
      </c>
      <c r="H84" s="22" t="n">
        <f aca="false">G84/D84</f>
        <v>9.7489415749365</v>
      </c>
    </row>
    <row r="85" customFormat="false" ht="14.25" hidden="false" customHeight="false" outlineLevel="0" collapsed="false">
      <c r="B85" s="23" t="n">
        <v>80</v>
      </c>
      <c r="C85" s="24" t="n">
        <f aca="false">Insumos!B85/(Insumos!C85+Insumos!B85/2)</f>
        <v>0.0532442607802998</v>
      </c>
      <c r="D85" s="25" t="n">
        <f aca="false">D84-E84</f>
        <v>51635</v>
      </c>
      <c r="E85" s="20" t="n">
        <f aca="false">ROUND(D85*C85,0)</f>
        <v>2749</v>
      </c>
      <c r="F85" s="21" t="n">
        <f aca="false">ROUND(D86+(E85/2),0)</f>
        <v>50261</v>
      </c>
      <c r="G85" s="26" t="n">
        <f aca="false">SUM(F85:F$105)</f>
        <v>476640</v>
      </c>
      <c r="H85" s="22" t="n">
        <f aca="false">G85/D85</f>
        <v>9.23094800038733</v>
      </c>
    </row>
    <row r="86" customFormat="false" ht="14.25" hidden="false" customHeight="false" outlineLevel="0" collapsed="false">
      <c r="B86" s="23" t="n">
        <v>81</v>
      </c>
      <c r="C86" s="24" t="n">
        <f aca="false">Insumos!B86/(Insumos!C86+Insumos!B86/2)</f>
        <v>0.0600742681325096</v>
      </c>
      <c r="D86" s="25" t="n">
        <f aca="false">D85-E85</f>
        <v>48886</v>
      </c>
      <c r="E86" s="20" t="n">
        <f aca="false">ROUND(D86*C86,0)</f>
        <v>2937</v>
      </c>
      <c r="F86" s="21" t="n">
        <f aca="false">ROUND(D87+(E86/2),0)</f>
        <v>47418</v>
      </c>
      <c r="G86" s="26" t="n">
        <f aca="false">SUM(F86:F$105)</f>
        <v>426379</v>
      </c>
      <c r="H86" s="22" t="n">
        <f aca="false">G86/D86</f>
        <v>8.72190402160128</v>
      </c>
    </row>
    <row r="87" customFormat="false" ht="14.25" hidden="false" customHeight="false" outlineLevel="0" collapsed="false">
      <c r="B87" s="23" t="n">
        <v>82</v>
      </c>
      <c r="C87" s="24" t="n">
        <f aca="false">Insumos!B87/(Insumos!C87+Insumos!B87/2)</f>
        <v>0.0639390775987579</v>
      </c>
      <c r="D87" s="25" t="n">
        <f aca="false">D86-E86</f>
        <v>45949</v>
      </c>
      <c r="E87" s="20" t="n">
        <f aca="false">ROUND(D87*C87,0)</f>
        <v>2938</v>
      </c>
      <c r="F87" s="21" t="n">
        <f aca="false">ROUND(D88+(E87/2),0)</f>
        <v>44480</v>
      </c>
      <c r="G87" s="26" t="n">
        <f aca="false">SUM(F87:F$105)</f>
        <v>378961</v>
      </c>
      <c r="H87" s="22" t="n">
        <f aca="false">G87/D87</f>
        <v>8.24742649459183</v>
      </c>
    </row>
    <row r="88" customFormat="false" ht="14.25" hidden="false" customHeight="false" outlineLevel="0" collapsed="false">
      <c r="B88" s="23" t="n">
        <v>83</v>
      </c>
      <c r="C88" s="24" t="n">
        <f aca="false">Insumos!B88/(Insumos!C88+Insumos!B88/2)</f>
        <v>0.073023406574614</v>
      </c>
      <c r="D88" s="25" t="n">
        <f aca="false">D87-E87</f>
        <v>43011</v>
      </c>
      <c r="E88" s="20" t="n">
        <f aca="false">ROUND(D88*C88,0)</f>
        <v>3141</v>
      </c>
      <c r="F88" s="21" t="n">
        <f aca="false">ROUND(D89+(E88/2),0)</f>
        <v>41441</v>
      </c>
      <c r="G88" s="26" t="n">
        <f aca="false">SUM(F88:F$105)</f>
        <v>334481</v>
      </c>
      <c r="H88" s="22" t="n">
        <f aca="false">G88/D88</f>
        <v>7.77663853432843</v>
      </c>
    </row>
    <row r="89" customFormat="false" ht="14.25" hidden="false" customHeight="false" outlineLevel="0" collapsed="false">
      <c r="B89" s="23" t="n">
        <v>84</v>
      </c>
      <c r="C89" s="24" t="n">
        <f aca="false">Insumos!B89/(Insumos!C89+Insumos!B89/2)</f>
        <v>0.074323159089123</v>
      </c>
      <c r="D89" s="25" t="n">
        <f aca="false">D88-E88</f>
        <v>39870</v>
      </c>
      <c r="E89" s="20" t="n">
        <f aca="false">ROUND(D89*C89,0)</f>
        <v>2963</v>
      </c>
      <c r="F89" s="21" t="n">
        <f aca="false">ROUND(D90+(E89/2),0)</f>
        <v>38389</v>
      </c>
      <c r="G89" s="26" t="n">
        <f aca="false">SUM(F89:F$105)</f>
        <v>293040</v>
      </c>
      <c r="H89" s="22" t="n">
        <f aca="false">G89/D89</f>
        <v>7.34988713318284</v>
      </c>
    </row>
    <row r="90" customFormat="false" ht="14.25" hidden="false" customHeight="false" outlineLevel="0" collapsed="false">
      <c r="B90" s="23" t="n">
        <v>85</v>
      </c>
      <c r="C90" s="24" t="n">
        <f aca="false">Insumos!B90/(Insumos!C90+Insumos!B90/2)</f>
        <v>0.0804541275477878</v>
      </c>
      <c r="D90" s="25" t="n">
        <f aca="false">D89-E89</f>
        <v>36907</v>
      </c>
      <c r="E90" s="20" t="n">
        <f aca="false">ROUND(D90*C90,0)</f>
        <v>2969</v>
      </c>
      <c r="F90" s="21" t="n">
        <f aca="false">ROUND(D91+(E90/2),0)</f>
        <v>35423</v>
      </c>
      <c r="G90" s="26" t="n">
        <f aca="false">SUM(F90:F$105)</f>
        <v>254651</v>
      </c>
      <c r="H90" s="22" t="n">
        <f aca="false">G90/D90</f>
        <v>6.89980220554366</v>
      </c>
    </row>
    <row r="91" customFormat="false" ht="14.25" hidden="false" customHeight="false" outlineLevel="0" collapsed="false">
      <c r="B91" s="23" t="n">
        <v>86</v>
      </c>
      <c r="C91" s="24" t="n">
        <f aca="false">Insumos!B91/(Insumos!C91+Insumos!B91/2)</f>
        <v>0.0887376064853088</v>
      </c>
      <c r="D91" s="25" t="n">
        <f aca="false">D90-E90</f>
        <v>33938</v>
      </c>
      <c r="E91" s="20" t="n">
        <f aca="false">ROUND(D91*C91,0)</f>
        <v>3012</v>
      </c>
      <c r="F91" s="21" t="n">
        <f aca="false">ROUND(D92+(E91/2),0)</f>
        <v>32432</v>
      </c>
      <c r="G91" s="26" t="n">
        <f aca="false">SUM(F91:F$105)</f>
        <v>219228</v>
      </c>
      <c r="H91" s="22" t="n">
        <f aca="false">G91/D91</f>
        <v>6.45966173610702</v>
      </c>
    </row>
    <row r="92" customFormat="false" ht="14.25" hidden="false" customHeight="false" outlineLevel="0" collapsed="false">
      <c r="B92" s="23" t="n">
        <v>87</v>
      </c>
      <c r="C92" s="24" t="n">
        <f aca="false">Insumos!B92/(Insumos!C92+Insumos!B92/2)</f>
        <v>0.0993812765532262</v>
      </c>
      <c r="D92" s="25" t="n">
        <f aca="false">D91-E91</f>
        <v>30926</v>
      </c>
      <c r="E92" s="20" t="n">
        <f aca="false">ROUND(D92*C92,0)</f>
        <v>3073</v>
      </c>
      <c r="F92" s="21" t="n">
        <f aca="false">ROUND(D93+(E92/2),0)</f>
        <v>29390</v>
      </c>
      <c r="G92" s="26" t="n">
        <f aca="false">SUM(F92:F$105)</f>
        <v>186796</v>
      </c>
      <c r="H92" s="22" t="n">
        <f aca="false">G92/D92</f>
        <v>6.0400957123456</v>
      </c>
    </row>
    <row r="93" customFormat="false" ht="14.25" hidden="false" customHeight="false" outlineLevel="0" collapsed="false">
      <c r="B93" s="23" t="n">
        <v>88</v>
      </c>
      <c r="C93" s="24" t="n">
        <f aca="false">Insumos!B93/(Insumos!C93+Insumos!B93/2)</f>
        <v>0.108002651304501</v>
      </c>
      <c r="D93" s="25" t="n">
        <f aca="false">D92-E92</f>
        <v>27853</v>
      </c>
      <c r="E93" s="20" t="n">
        <f aca="false">ROUND(D93*C93,0)</f>
        <v>3008</v>
      </c>
      <c r="F93" s="21" t="n">
        <f aca="false">ROUND(D94+(E93/2),0)</f>
        <v>26349</v>
      </c>
      <c r="G93" s="26" t="n">
        <f aca="false">SUM(F93:F$105)</f>
        <v>157406</v>
      </c>
      <c r="H93" s="22" t="n">
        <f aca="false">G93/D93</f>
        <v>5.65131224643665</v>
      </c>
    </row>
    <row r="94" customFormat="false" ht="14.25" hidden="false" customHeight="false" outlineLevel="0" collapsed="false">
      <c r="B94" s="23" t="n">
        <v>89</v>
      </c>
      <c r="C94" s="24" t="n">
        <f aca="false">Insumos!B94/(Insumos!C94+Insumos!B94/2)</f>
        <v>0.122985437729487</v>
      </c>
      <c r="D94" s="25" t="n">
        <f aca="false">D93-E93</f>
        <v>24845</v>
      </c>
      <c r="E94" s="20" t="n">
        <f aca="false">ROUND(D94*C94,0)</f>
        <v>3056</v>
      </c>
      <c r="F94" s="21" t="n">
        <f aca="false">ROUND(D95+(E94/2),0)</f>
        <v>23317</v>
      </c>
      <c r="G94" s="26" t="n">
        <f aca="false">SUM(F94:F$105)</f>
        <v>131057</v>
      </c>
      <c r="H94" s="22" t="n">
        <f aca="false">G94/D94</f>
        <v>5.2749849064198</v>
      </c>
    </row>
    <row r="95" customFormat="false" ht="14.25" hidden="false" customHeight="false" outlineLevel="0" collapsed="false">
      <c r="B95" s="23" t="n">
        <v>90</v>
      </c>
      <c r="C95" s="24" t="n">
        <f aca="false">Insumos!B95/(Insumos!C95+Insumos!B95/2)</f>
        <v>0.134136297072892</v>
      </c>
      <c r="D95" s="25" t="n">
        <f aca="false">D94-E94</f>
        <v>21789</v>
      </c>
      <c r="E95" s="20" t="n">
        <f aca="false">ROUND(D95*C95,0)</f>
        <v>2923</v>
      </c>
      <c r="F95" s="21" t="n">
        <f aca="false">ROUND(D96+(E95/2),0)</f>
        <v>20328</v>
      </c>
      <c r="G95" s="26" t="n">
        <f aca="false">SUM(F95:F$105)</f>
        <v>107740</v>
      </c>
      <c r="H95" s="22" t="n">
        <f aca="false">G95/D95</f>
        <v>4.94469686539079</v>
      </c>
    </row>
    <row r="96" customFormat="false" ht="14.25" hidden="false" customHeight="false" outlineLevel="0" collapsed="false">
      <c r="B96" s="23" t="n">
        <v>91</v>
      </c>
      <c r="C96" s="24" t="n">
        <f aca="false">Insumos!B96/(Insumos!C96+Insumos!B96/2)</f>
        <v>0.141858665753561</v>
      </c>
      <c r="D96" s="25" t="n">
        <f aca="false">D95-E95</f>
        <v>18866</v>
      </c>
      <c r="E96" s="20" t="n">
        <f aca="false">ROUND(D96*C96,0)</f>
        <v>2676</v>
      </c>
      <c r="F96" s="21" t="n">
        <f aca="false">ROUND(D97+(E96/2),0)</f>
        <v>17528</v>
      </c>
      <c r="G96" s="26" t="n">
        <f aca="false">SUM(F96:F$105)</f>
        <v>87412</v>
      </c>
      <c r="H96" s="22" t="n">
        <f aca="false">G96/D96</f>
        <v>4.63330859747694</v>
      </c>
    </row>
    <row r="97" customFormat="false" ht="14.25" hidden="false" customHeight="false" outlineLevel="0" collapsed="false">
      <c r="B97" s="23" t="n">
        <v>92</v>
      </c>
      <c r="C97" s="24" t="n">
        <f aca="false">Insumos!B97/(Insumos!C97+Insumos!B97/2)</f>
        <v>0.149916559305741</v>
      </c>
      <c r="D97" s="25" t="n">
        <f aca="false">D96-E96</f>
        <v>16190</v>
      </c>
      <c r="E97" s="20" t="n">
        <f aca="false">ROUND(D97*C97,0)</f>
        <v>2427</v>
      </c>
      <c r="F97" s="21" t="n">
        <f aca="false">ROUND(D98+(E97/2),0)</f>
        <v>14977</v>
      </c>
      <c r="G97" s="26" t="n">
        <f aca="false">SUM(F97:F$105)</f>
        <v>69884</v>
      </c>
      <c r="H97" s="22" t="n">
        <f aca="false">G97/D97</f>
        <v>4.31649166151946</v>
      </c>
    </row>
    <row r="98" customFormat="false" ht="14.25" hidden="false" customHeight="false" outlineLevel="0" collapsed="false">
      <c r="B98" s="23" t="n">
        <v>93</v>
      </c>
      <c r="C98" s="24" t="n">
        <f aca="false">Insumos!B98/(Insumos!C98+Insumos!B98/2)</f>
        <v>0.175027693711468</v>
      </c>
      <c r="D98" s="25" t="n">
        <f aca="false">D97-E97</f>
        <v>13763</v>
      </c>
      <c r="E98" s="20" t="n">
        <f aca="false">ROUND(D98*C98,0)</f>
        <v>2409</v>
      </c>
      <c r="F98" s="21" t="n">
        <f aca="false">ROUND(D99+(E98/2),0)</f>
        <v>12559</v>
      </c>
      <c r="G98" s="26" t="n">
        <f aca="false">SUM(F98:F$105)</f>
        <v>54907</v>
      </c>
      <c r="H98" s="22" t="n">
        <f aca="false">G98/D98</f>
        <v>3.98946450628497</v>
      </c>
    </row>
    <row r="99" customFormat="false" ht="14.25" hidden="false" customHeight="false" outlineLevel="0" collapsed="false">
      <c r="B99" s="23" t="n">
        <v>94</v>
      </c>
      <c r="C99" s="24" t="n">
        <f aca="false">Insumos!B99/(Insumos!C99+Insumos!B99/2)</f>
        <v>0.170143457982326</v>
      </c>
      <c r="D99" s="25" t="n">
        <f aca="false">D98-E98</f>
        <v>11354</v>
      </c>
      <c r="E99" s="20" t="n">
        <f aca="false">ROUND(D99*C99,0)</f>
        <v>1932</v>
      </c>
      <c r="F99" s="21" t="n">
        <f aca="false">ROUND(D100+(E99/2),0)</f>
        <v>10388</v>
      </c>
      <c r="G99" s="26" t="n">
        <f aca="false">SUM(F99:F$105)</f>
        <v>42348</v>
      </c>
      <c r="H99" s="22" t="n">
        <f aca="false">G99/D99</f>
        <v>3.72978685925665</v>
      </c>
    </row>
    <row r="100" customFormat="false" ht="14.25" hidden="false" customHeight="false" outlineLevel="0" collapsed="false">
      <c r="B100" s="23" t="n">
        <v>95</v>
      </c>
      <c r="C100" s="24" t="n">
        <f aca="false">Insumos!B100/(Insumos!C100+Insumos!B100/2)</f>
        <v>0.177350007888015</v>
      </c>
      <c r="D100" s="25" t="n">
        <f aca="false">D99-E99</f>
        <v>9422</v>
      </c>
      <c r="E100" s="20" t="n">
        <f aca="false">ROUND(D100*C100,0)</f>
        <v>1671</v>
      </c>
      <c r="F100" s="21" t="n">
        <f aca="false">ROUND(D101+(E100/2),0)</f>
        <v>8587</v>
      </c>
      <c r="G100" s="26" t="n">
        <f aca="false">SUM(F100:F$105)</f>
        <v>31960</v>
      </c>
      <c r="H100" s="22" t="n">
        <f aca="false">G100/D100</f>
        <v>3.3920611335173</v>
      </c>
    </row>
    <row r="101" customFormat="false" ht="14.25" hidden="false" customHeight="false" outlineLevel="0" collapsed="false">
      <c r="B101" s="23" t="n">
        <v>96</v>
      </c>
      <c r="C101" s="24" t="n">
        <f aca="false">Insumos!B101/(Insumos!C101+Insumos!B101/2)</f>
        <v>0.17656465589786</v>
      </c>
      <c r="D101" s="25" t="n">
        <f aca="false">D100-E100</f>
        <v>7751</v>
      </c>
      <c r="E101" s="20" t="n">
        <f aca="false">ROUND(D101*C101,0)</f>
        <v>1369</v>
      </c>
      <c r="F101" s="21" t="n">
        <f aca="false">ROUND(D102+(E101/2),0)</f>
        <v>7067</v>
      </c>
      <c r="G101" s="26" t="n">
        <f aca="false">SUM(F101:F$105)</f>
        <v>23373</v>
      </c>
      <c r="H101" s="22" t="n">
        <f aca="false">G101/D101</f>
        <v>3.01548187330667</v>
      </c>
    </row>
    <row r="102" customFormat="false" ht="14.25" hidden="false" customHeight="false" outlineLevel="0" collapsed="false">
      <c r="B102" s="23" t="n">
        <v>97</v>
      </c>
      <c r="C102" s="24" t="n">
        <f aca="false">Insumos!B102/(Insumos!C102+Insumos!B102/2)</f>
        <v>0.17853402800681</v>
      </c>
      <c r="D102" s="25" t="n">
        <f aca="false">D101-E101</f>
        <v>6382</v>
      </c>
      <c r="E102" s="20" t="n">
        <f aca="false">ROUND(D102*C102,0)</f>
        <v>1139</v>
      </c>
      <c r="F102" s="21" t="n">
        <f aca="false">ROUND(D103+(E102/2),0)</f>
        <v>5813</v>
      </c>
      <c r="G102" s="26" t="n">
        <f aca="false">SUM(F102:F$105)</f>
        <v>16306</v>
      </c>
      <c r="H102" s="22" t="n">
        <f aca="false">G102/D102</f>
        <v>2.55499843309307</v>
      </c>
    </row>
    <row r="103" customFormat="false" ht="14.25" hidden="false" customHeight="false" outlineLevel="0" collapsed="false">
      <c r="B103" s="23" t="n">
        <v>98</v>
      </c>
      <c r="C103" s="24" t="n">
        <f aca="false">Insumos!B103/(Insumos!C103+Insumos!B103/2)</f>
        <v>0.173248055218107</v>
      </c>
      <c r="D103" s="25" t="n">
        <f aca="false">D102-E102</f>
        <v>5243</v>
      </c>
      <c r="E103" s="20" t="n">
        <f aca="false">ROUND(D103*C103,0)</f>
        <v>908</v>
      </c>
      <c r="F103" s="21" t="n">
        <f aca="false">ROUND(D104+(E103/2),0)</f>
        <v>4789</v>
      </c>
      <c r="G103" s="26" t="n">
        <f aca="false">SUM(F103:F$105)</f>
        <v>10493</v>
      </c>
      <c r="H103" s="22" t="n">
        <f aca="false">G103/D103</f>
        <v>2.00133511348465</v>
      </c>
    </row>
    <row r="104" customFormat="false" ht="14.25" hidden="false" customHeight="false" outlineLevel="0" collapsed="false">
      <c r="B104" s="23" t="n">
        <v>99</v>
      </c>
      <c r="C104" s="24" t="n">
        <f aca="false">Insumos!B104/(Insumos!C104+Insumos!B104/2)</f>
        <v>0.184348360686721</v>
      </c>
      <c r="D104" s="25" t="n">
        <f aca="false">D103-E103</f>
        <v>4335</v>
      </c>
      <c r="E104" s="20" t="n">
        <f aca="false">ROUND(D104*C104,0)</f>
        <v>799</v>
      </c>
      <c r="F104" s="21" t="n">
        <f aca="false">ROUND(D105+(E104/2),0)</f>
        <v>3936</v>
      </c>
      <c r="G104" s="26" t="n">
        <f aca="false">SUM(F104:F$105)</f>
        <v>5704</v>
      </c>
      <c r="H104" s="22" t="n">
        <f aca="false">G104/D104</f>
        <v>1.31580161476355</v>
      </c>
    </row>
    <row r="105" customFormat="false" ht="14.25" hidden="false" customHeight="false" outlineLevel="0" collapsed="false">
      <c r="B105" s="33" t="n">
        <v>100</v>
      </c>
      <c r="C105" s="34" t="n">
        <v>1</v>
      </c>
      <c r="D105" s="25" t="n">
        <f aca="false">D104-E104</f>
        <v>3536</v>
      </c>
      <c r="E105" s="20" t="n">
        <f aca="false">ROUND(D105*C105,0)</f>
        <v>3536</v>
      </c>
      <c r="F105" s="20" t="n">
        <f aca="false">ROUND(E105/2,0)</f>
        <v>1768</v>
      </c>
      <c r="G105" s="25" t="n">
        <f aca="false">SUM(F105:F$105)</f>
        <v>1768</v>
      </c>
      <c r="H105" s="22" t="n">
        <f aca="false">G105/D105</f>
        <v>0.5</v>
      </c>
    </row>
  </sheetData>
  <mergeCells count="2">
    <mergeCell ref="B1:N1"/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2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35" t="s">
        <v>33</v>
      </c>
    </row>
    <row r="2" customFormat="false" ht="15" hidden="false" customHeight="false" outlineLevel="0" collapsed="false">
      <c r="A2" s="29" t="s">
        <v>34</v>
      </c>
    </row>
    <row r="4" customFormat="false" ht="31.5" hidden="false" customHeight="true" outlineLevel="0" collapsed="false">
      <c r="A4" s="36" t="s">
        <v>35</v>
      </c>
      <c r="B4" s="36" t="s">
        <v>36</v>
      </c>
      <c r="C4" s="36" t="s">
        <v>37</v>
      </c>
      <c r="E4" s="36" t="s">
        <v>38</v>
      </c>
      <c r="F4" s="36" t="s">
        <v>39</v>
      </c>
    </row>
    <row r="5" customFormat="false" ht="15" hidden="false" customHeight="false" outlineLevel="0" collapsed="false">
      <c r="A5" s="37" t="n">
        <v>0</v>
      </c>
      <c r="B5" s="38" t="n">
        <v>22920.4729159576</v>
      </c>
      <c r="C5" s="38" t="n">
        <v>1812977</v>
      </c>
      <c r="E5" s="39" t="s">
        <v>40</v>
      </c>
      <c r="F5" s="40" t="n">
        <v>1844913</v>
      </c>
    </row>
    <row r="6" customFormat="false" ht="15" hidden="false" customHeight="false" outlineLevel="0" collapsed="false">
      <c r="A6" s="37" t="n">
        <v>1</v>
      </c>
      <c r="B6" s="38" t="n">
        <v>2142.63589155579</v>
      </c>
      <c r="C6" s="38" t="n">
        <v>1909958</v>
      </c>
    </row>
    <row r="7" customFormat="false" ht="15" hidden="false" customHeight="false" outlineLevel="0" collapsed="false">
      <c r="A7" s="37" t="n">
        <v>2</v>
      </c>
      <c r="B7" s="38" t="n">
        <v>1116.06092896618</v>
      </c>
      <c r="C7" s="38" t="n">
        <v>2041119</v>
      </c>
    </row>
    <row r="8" customFormat="false" ht="15" hidden="false" customHeight="false" outlineLevel="0" collapsed="false">
      <c r="A8" s="37" t="n">
        <v>3</v>
      </c>
      <c r="B8" s="38" t="n">
        <v>763.144364941737</v>
      </c>
      <c r="C8" s="38" t="n">
        <v>2108406</v>
      </c>
    </row>
    <row r="9" customFormat="false" ht="15" hidden="false" customHeight="false" outlineLevel="0" collapsed="false">
      <c r="A9" s="37" t="n">
        <v>4</v>
      </c>
      <c r="B9" s="38" t="n">
        <v>635.450907303265</v>
      </c>
      <c r="C9" s="38" t="n">
        <v>2174905</v>
      </c>
    </row>
    <row r="10" customFormat="false" ht="15" hidden="false" customHeight="false" outlineLevel="0" collapsed="false">
      <c r="A10" s="37" t="n">
        <v>5</v>
      </c>
      <c r="B10" s="38" t="n">
        <v>553.003163001259</v>
      </c>
      <c r="C10" s="38" t="n">
        <v>2178901</v>
      </c>
    </row>
    <row r="11" customFormat="false" ht="15" hidden="false" customHeight="false" outlineLevel="0" collapsed="false">
      <c r="A11" s="37" t="n">
        <v>6</v>
      </c>
      <c r="B11" s="38" t="n">
        <v>476.588180477448</v>
      </c>
      <c r="C11" s="38" t="n">
        <v>2095349</v>
      </c>
    </row>
    <row r="12" customFormat="false" ht="15" hidden="false" customHeight="false" outlineLevel="0" collapsed="false">
      <c r="A12" s="37" t="n">
        <v>7</v>
      </c>
      <c r="B12" s="38" t="n">
        <v>492.675545219303</v>
      </c>
      <c r="C12" s="38" t="n">
        <v>2146294</v>
      </c>
    </row>
    <row r="13" customFormat="false" ht="15" hidden="false" customHeight="false" outlineLevel="0" collapsed="false">
      <c r="A13" s="37" t="n">
        <v>8</v>
      </c>
      <c r="B13" s="38" t="n">
        <v>449.440752475568</v>
      </c>
      <c r="C13" s="38" t="n">
        <v>2234495</v>
      </c>
    </row>
    <row r="14" customFormat="false" ht="15" hidden="false" customHeight="false" outlineLevel="0" collapsed="false">
      <c r="A14" s="37" t="n">
        <v>9</v>
      </c>
      <c r="B14" s="38" t="n">
        <v>515.80113203572</v>
      </c>
      <c r="C14" s="38" t="n">
        <v>2109340</v>
      </c>
    </row>
    <row r="15" customFormat="false" ht="15" hidden="false" customHeight="false" outlineLevel="0" collapsed="false">
      <c r="A15" s="37" t="n">
        <v>10</v>
      </c>
      <c r="B15" s="38" t="n">
        <v>515.80113203572</v>
      </c>
      <c r="C15" s="38" t="n">
        <v>2198828.2</v>
      </c>
    </row>
    <row r="16" customFormat="false" ht="15" hidden="false" customHeight="false" outlineLevel="0" collapsed="false">
      <c r="A16" s="37" t="n">
        <v>11</v>
      </c>
      <c r="B16" s="38" t="n">
        <v>565.269778616923</v>
      </c>
      <c r="C16" s="38" t="n">
        <v>2180057.4</v>
      </c>
    </row>
    <row r="17" customFormat="false" ht="15" hidden="false" customHeight="false" outlineLevel="0" collapsed="false">
      <c r="A17" s="37" t="n">
        <v>12</v>
      </c>
      <c r="B17" s="38" t="n">
        <v>633.641078769806</v>
      </c>
      <c r="C17" s="38" t="n">
        <v>2188708</v>
      </c>
    </row>
    <row r="18" customFormat="false" ht="15" hidden="false" customHeight="false" outlineLevel="0" collapsed="false">
      <c r="A18" s="37" t="n">
        <v>13</v>
      </c>
      <c r="B18" s="38" t="n">
        <v>759.926891993366</v>
      </c>
      <c r="C18" s="38" t="n">
        <v>2167613.4</v>
      </c>
    </row>
    <row r="19" customFormat="false" ht="15" hidden="false" customHeight="false" outlineLevel="0" collapsed="false">
      <c r="A19" s="37" t="n">
        <v>14</v>
      </c>
      <c r="B19" s="38" t="n">
        <v>965.845160689107</v>
      </c>
      <c r="C19" s="38" t="n">
        <v>2164615.8</v>
      </c>
    </row>
    <row r="20" customFormat="false" ht="15" hidden="false" customHeight="false" outlineLevel="0" collapsed="false">
      <c r="A20" s="37" t="n">
        <v>15</v>
      </c>
      <c r="B20" s="38" t="n">
        <v>1205.94907946129</v>
      </c>
      <c r="C20" s="38" t="n">
        <v>2157181.6</v>
      </c>
    </row>
    <row r="21" customFormat="false" ht="15" hidden="false" customHeight="false" outlineLevel="0" collapsed="false">
      <c r="A21" s="37" t="n">
        <v>16</v>
      </c>
      <c r="B21" s="38" t="n">
        <v>1506.17952395616</v>
      </c>
      <c r="C21" s="38" t="n">
        <v>2190588.4</v>
      </c>
    </row>
    <row r="22" customFormat="false" ht="15" hidden="false" customHeight="false" outlineLevel="0" collapsed="false">
      <c r="A22" s="37" t="n">
        <v>17</v>
      </c>
      <c r="B22" s="38" t="n">
        <v>1816.46457141468</v>
      </c>
      <c r="C22" s="38" t="n">
        <v>2161338</v>
      </c>
    </row>
    <row r="23" customFormat="false" ht="15" hidden="false" customHeight="false" outlineLevel="0" collapsed="false">
      <c r="A23" s="37" t="n">
        <v>18</v>
      </c>
      <c r="B23" s="38" t="n">
        <v>2134.39111712559</v>
      </c>
      <c r="C23" s="38" t="n">
        <v>2184146.2</v>
      </c>
    </row>
    <row r="24" customFormat="false" ht="15" hidden="false" customHeight="false" outlineLevel="0" collapsed="false">
      <c r="A24" s="37" t="n">
        <v>19</v>
      </c>
      <c r="B24" s="38" t="n">
        <v>2405.46321302584</v>
      </c>
      <c r="C24" s="38" t="n">
        <v>2150359.4</v>
      </c>
    </row>
    <row r="25" customFormat="false" ht="15" hidden="false" customHeight="false" outlineLevel="0" collapsed="false">
      <c r="A25" s="37" t="n">
        <v>20</v>
      </c>
      <c r="B25" s="38" t="n">
        <v>2633.30051618236</v>
      </c>
      <c r="C25" s="38" t="n">
        <v>2133662.4</v>
      </c>
    </row>
    <row r="26" customFormat="false" ht="15" hidden="false" customHeight="false" outlineLevel="0" collapsed="false">
      <c r="A26" s="37" t="n">
        <v>21</v>
      </c>
      <c r="B26" s="38" t="n">
        <v>2842.83844194502</v>
      </c>
      <c r="C26" s="38" t="n">
        <v>2078944</v>
      </c>
    </row>
    <row r="27" customFormat="false" ht="15" hidden="false" customHeight="false" outlineLevel="0" collapsed="false">
      <c r="A27" s="37" t="n">
        <v>22</v>
      </c>
      <c r="B27" s="38" t="n">
        <v>3016.1797970385</v>
      </c>
      <c r="C27" s="38" t="n">
        <v>2084419</v>
      </c>
    </row>
    <row r="28" customFormat="false" ht="15" hidden="false" customHeight="false" outlineLevel="0" collapsed="false">
      <c r="A28" s="37" t="n">
        <v>23</v>
      </c>
      <c r="B28" s="38" t="n">
        <v>3185.7004030058</v>
      </c>
      <c r="C28" s="38" t="n">
        <v>2058655.2</v>
      </c>
    </row>
    <row r="29" customFormat="false" ht="15" hidden="false" customHeight="false" outlineLevel="0" collapsed="false">
      <c r="A29" s="37" t="n">
        <v>24</v>
      </c>
      <c r="B29" s="38" t="n">
        <v>3306.55673062898</v>
      </c>
      <c r="C29" s="38" t="n">
        <v>2070439.4</v>
      </c>
    </row>
    <row r="30" customFormat="false" ht="15" hidden="false" customHeight="false" outlineLevel="0" collapsed="false">
      <c r="A30" s="37" t="n">
        <v>25</v>
      </c>
      <c r="B30" s="38" t="n">
        <v>3455.56594655041</v>
      </c>
      <c r="C30" s="38" t="n">
        <v>2035586.4</v>
      </c>
    </row>
    <row r="31" customFormat="false" ht="15" hidden="false" customHeight="false" outlineLevel="0" collapsed="false">
      <c r="A31" s="37" t="n">
        <v>26</v>
      </c>
      <c r="B31" s="38" t="n">
        <v>3541.83443997861</v>
      </c>
      <c r="C31" s="38" t="n">
        <v>2037677.8</v>
      </c>
    </row>
    <row r="32" customFormat="false" ht="15" hidden="false" customHeight="false" outlineLevel="0" collapsed="false">
      <c r="A32" s="37" t="n">
        <v>27</v>
      </c>
      <c r="B32" s="38" t="n">
        <v>3608.99918777585</v>
      </c>
      <c r="C32" s="38" t="n">
        <v>1998600.2</v>
      </c>
    </row>
    <row r="33" customFormat="false" ht="15" hidden="false" customHeight="false" outlineLevel="0" collapsed="false">
      <c r="A33" s="37" t="n">
        <v>28</v>
      </c>
      <c r="B33" s="38" t="n">
        <v>3664.29950407598</v>
      </c>
      <c r="C33" s="38" t="n">
        <v>2036060.6</v>
      </c>
    </row>
    <row r="34" customFormat="false" ht="15" hidden="false" customHeight="false" outlineLevel="0" collapsed="false">
      <c r="A34" s="37" t="n">
        <v>29</v>
      </c>
      <c r="B34" s="38" t="n">
        <v>3696.67532561896</v>
      </c>
      <c r="C34" s="38" t="n">
        <v>1949047.2</v>
      </c>
    </row>
    <row r="35" customFormat="false" ht="15" hidden="false" customHeight="false" outlineLevel="0" collapsed="false">
      <c r="A35" s="37" t="n">
        <v>30</v>
      </c>
      <c r="B35" s="38" t="n">
        <v>3690.44147178149</v>
      </c>
      <c r="C35" s="38" t="n">
        <v>1957675.8</v>
      </c>
    </row>
    <row r="36" customFormat="false" ht="15" hidden="false" customHeight="false" outlineLevel="0" collapsed="false">
      <c r="A36" s="37" t="n">
        <v>31</v>
      </c>
      <c r="B36" s="38" t="n">
        <v>3712.159414183</v>
      </c>
      <c r="C36" s="38" t="n">
        <v>1904183.8</v>
      </c>
    </row>
    <row r="37" customFormat="false" ht="15" hidden="false" customHeight="false" outlineLevel="0" collapsed="false">
      <c r="A37" s="37" t="n">
        <v>32</v>
      </c>
      <c r="B37" s="38" t="n">
        <v>3747.3505245558</v>
      </c>
      <c r="C37" s="38" t="n">
        <v>1884165.4</v>
      </c>
    </row>
    <row r="38" customFormat="false" ht="15" hidden="false" customHeight="false" outlineLevel="0" collapsed="false">
      <c r="A38" s="37" t="n">
        <v>33</v>
      </c>
      <c r="B38" s="38" t="n">
        <v>3810.49343116758</v>
      </c>
      <c r="C38" s="38" t="n">
        <v>1811537</v>
      </c>
    </row>
    <row r="39" customFormat="false" ht="15" hidden="false" customHeight="false" outlineLevel="0" collapsed="false">
      <c r="A39" s="37" t="n">
        <v>34</v>
      </c>
      <c r="B39" s="38" t="n">
        <v>3873.23415366082</v>
      </c>
      <c r="C39" s="38" t="n">
        <v>1868927.4</v>
      </c>
    </row>
    <row r="40" customFormat="false" ht="15" hidden="false" customHeight="false" outlineLevel="0" collapsed="false">
      <c r="A40" s="37" t="n">
        <v>35</v>
      </c>
      <c r="B40" s="38" t="n">
        <v>3986.04679891307</v>
      </c>
      <c r="C40" s="38" t="n">
        <v>1789539.8</v>
      </c>
    </row>
    <row r="41" customFormat="false" ht="15" hidden="false" customHeight="false" outlineLevel="0" collapsed="false">
      <c r="A41" s="37" t="n">
        <v>36</v>
      </c>
      <c r="B41" s="38" t="n">
        <v>4079.15242235656</v>
      </c>
      <c r="C41" s="38" t="n">
        <v>1822533.6</v>
      </c>
    </row>
    <row r="42" customFormat="false" ht="15" hidden="false" customHeight="false" outlineLevel="0" collapsed="false">
      <c r="A42" s="37" t="n">
        <v>37</v>
      </c>
      <c r="B42" s="38" t="n">
        <v>4210.66662912122</v>
      </c>
      <c r="C42" s="38" t="n">
        <v>1804055.2</v>
      </c>
    </row>
    <row r="43" customFormat="false" ht="15" hidden="false" customHeight="false" outlineLevel="0" collapsed="false">
      <c r="A43" s="37" t="n">
        <v>38</v>
      </c>
      <c r="B43" s="38" t="n">
        <v>4340.37100735243</v>
      </c>
      <c r="C43" s="38" t="n">
        <v>1844621</v>
      </c>
    </row>
    <row r="44" customFormat="false" ht="15" hidden="false" customHeight="false" outlineLevel="0" collapsed="false">
      <c r="A44" s="37" t="n">
        <v>39</v>
      </c>
      <c r="B44" s="38" t="n">
        <v>4517.5331115721</v>
      </c>
      <c r="C44" s="38" t="n">
        <v>1741997.8</v>
      </c>
    </row>
    <row r="45" customFormat="false" ht="15" hidden="false" customHeight="false" outlineLevel="0" collapsed="false">
      <c r="A45" s="37" t="n">
        <v>40</v>
      </c>
      <c r="B45" s="38" t="n">
        <v>4689.06463813213</v>
      </c>
      <c r="C45" s="38" t="n">
        <v>1807009</v>
      </c>
    </row>
    <row r="46" customFormat="false" ht="15" hidden="false" customHeight="false" outlineLevel="0" collapsed="false">
      <c r="A46" s="37" t="n">
        <v>41</v>
      </c>
      <c r="B46" s="38" t="n">
        <v>4905.03750979153</v>
      </c>
      <c r="C46" s="38" t="n">
        <v>1742261</v>
      </c>
    </row>
    <row r="47" customFormat="false" ht="15" hidden="false" customHeight="false" outlineLevel="0" collapsed="false">
      <c r="A47" s="37" t="n">
        <v>42</v>
      </c>
      <c r="B47" s="38" t="n">
        <v>5164.84845037248</v>
      </c>
      <c r="C47" s="38" t="n">
        <v>1700717.2</v>
      </c>
    </row>
    <row r="48" customFormat="false" ht="15" hidden="false" customHeight="false" outlineLevel="0" collapsed="false">
      <c r="A48" s="37" t="n">
        <v>43</v>
      </c>
      <c r="B48" s="38" t="n">
        <v>5431.697613028</v>
      </c>
      <c r="C48" s="38" t="n">
        <v>1638705.2</v>
      </c>
    </row>
    <row r="49" customFormat="false" ht="15" hidden="false" customHeight="false" outlineLevel="0" collapsed="false">
      <c r="A49" s="37" t="n">
        <v>44</v>
      </c>
      <c r="B49" s="38" t="n">
        <v>5770.93991702186</v>
      </c>
      <c r="C49" s="38" t="n">
        <v>1677556</v>
      </c>
    </row>
    <row r="50" customFormat="false" ht="15" hidden="false" customHeight="false" outlineLevel="0" collapsed="false">
      <c r="A50" s="37" t="n">
        <v>45</v>
      </c>
      <c r="B50" s="38" t="n">
        <v>6109.98112895645</v>
      </c>
      <c r="C50" s="38" t="n">
        <v>1593949.2</v>
      </c>
    </row>
    <row r="51" customFormat="false" ht="15" hidden="false" customHeight="false" outlineLevel="0" collapsed="false">
      <c r="A51" s="37" t="n">
        <v>46</v>
      </c>
      <c r="B51" s="38" t="n">
        <v>6375.8248313156</v>
      </c>
      <c r="C51" s="38" t="n">
        <v>1588553.4</v>
      </c>
    </row>
    <row r="52" customFormat="false" ht="15" hidden="false" customHeight="false" outlineLevel="0" collapsed="false">
      <c r="A52" s="37" t="n">
        <v>47</v>
      </c>
      <c r="B52" s="38" t="n">
        <v>6604.66759476849</v>
      </c>
      <c r="C52" s="38" t="n">
        <v>1588482.6</v>
      </c>
    </row>
    <row r="53" customFormat="false" ht="15" hidden="false" customHeight="false" outlineLevel="0" collapsed="false">
      <c r="A53" s="37" t="n">
        <v>48</v>
      </c>
      <c r="B53" s="38" t="n">
        <v>6882.17463656548</v>
      </c>
      <c r="C53" s="38" t="n">
        <v>1582328.8</v>
      </c>
    </row>
    <row r="54" customFormat="false" ht="15" hidden="false" customHeight="false" outlineLevel="0" collapsed="false">
      <c r="A54" s="37" t="n">
        <v>49</v>
      </c>
      <c r="B54" s="38" t="n">
        <v>7087.08744496486</v>
      </c>
      <c r="C54" s="38" t="n">
        <v>1500527.4</v>
      </c>
    </row>
    <row r="55" customFormat="false" ht="15" hidden="false" customHeight="false" outlineLevel="0" collapsed="false">
      <c r="A55" s="37" t="n">
        <v>50</v>
      </c>
      <c r="B55" s="38" t="n">
        <v>7304.2668689799</v>
      </c>
      <c r="C55" s="38" t="n">
        <v>1497144.8</v>
      </c>
    </row>
    <row r="56" customFormat="false" ht="15" hidden="false" customHeight="false" outlineLevel="0" collapsed="false">
      <c r="A56" s="37" t="n">
        <v>51</v>
      </c>
      <c r="B56" s="38" t="n">
        <v>7591.02414550346</v>
      </c>
      <c r="C56" s="38" t="n">
        <v>1435230.8</v>
      </c>
    </row>
    <row r="57" customFormat="false" ht="15" hidden="false" customHeight="false" outlineLevel="0" collapsed="false">
      <c r="A57" s="37" t="n">
        <v>52</v>
      </c>
      <c r="B57" s="38" t="n">
        <v>7975.71325489306</v>
      </c>
      <c r="C57" s="38" t="n">
        <v>1407506.4</v>
      </c>
    </row>
    <row r="58" customFormat="false" ht="15" hidden="false" customHeight="false" outlineLevel="0" collapsed="false">
      <c r="A58" s="37" t="n">
        <v>53</v>
      </c>
      <c r="B58" s="38" t="n">
        <v>8289.01468324069</v>
      </c>
      <c r="C58" s="38" t="n">
        <v>1297572.8</v>
      </c>
    </row>
    <row r="59" customFormat="false" ht="15" hidden="false" customHeight="false" outlineLevel="0" collapsed="false">
      <c r="A59" s="37" t="n">
        <v>54</v>
      </c>
      <c r="B59" s="38" t="n">
        <v>8668.67649114846</v>
      </c>
      <c r="C59" s="38" t="n">
        <v>1324639.2</v>
      </c>
    </row>
    <row r="60" customFormat="false" ht="15" hidden="false" customHeight="false" outlineLevel="0" collapsed="false">
      <c r="A60" s="37" t="n">
        <v>55</v>
      </c>
      <c r="B60" s="38" t="n">
        <v>9060.00163849408</v>
      </c>
      <c r="C60" s="38" t="n">
        <v>1229081.2</v>
      </c>
    </row>
    <row r="61" customFormat="false" ht="15" hidden="false" customHeight="false" outlineLevel="0" collapsed="false">
      <c r="A61" s="37" t="n">
        <v>56</v>
      </c>
      <c r="B61" s="38" t="n">
        <v>9537.59527926789</v>
      </c>
      <c r="C61" s="38" t="n">
        <v>1195392.8</v>
      </c>
    </row>
    <row r="62" customFormat="false" ht="15" hidden="false" customHeight="false" outlineLevel="0" collapsed="false">
      <c r="A62" s="37" t="n">
        <v>57</v>
      </c>
      <c r="B62" s="38" t="n">
        <v>9984.01965085436</v>
      </c>
      <c r="C62" s="38" t="n">
        <v>1139191.6</v>
      </c>
    </row>
    <row r="63" customFormat="false" ht="15" hidden="false" customHeight="false" outlineLevel="0" collapsed="false">
      <c r="A63" s="37" t="n">
        <v>58</v>
      </c>
      <c r="B63" s="38" t="n">
        <v>10411.7424609284</v>
      </c>
      <c r="C63" s="38" t="n">
        <v>1142796</v>
      </c>
    </row>
    <row r="64" customFormat="false" ht="15" hidden="false" customHeight="false" outlineLevel="0" collapsed="false">
      <c r="A64" s="37" t="n">
        <v>59</v>
      </c>
      <c r="B64" s="38" t="n">
        <v>10772.099431146</v>
      </c>
      <c r="C64" s="38" t="n">
        <v>1044904.6</v>
      </c>
    </row>
    <row r="65" customFormat="false" ht="15" hidden="false" customHeight="false" outlineLevel="0" collapsed="false">
      <c r="A65" s="37" t="n">
        <v>60</v>
      </c>
      <c r="B65" s="38" t="n">
        <v>11167.2453276178</v>
      </c>
      <c r="C65" s="38" t="n">
        <v>1036826.2</v>
      </c>
    </row>
    <row r="66" customFormat="false" ht="15" hidden="false" customHeight="false" outlineLevel="0" collapsed="false">
      <c r="A66" s="37" t="n">
        <v>61</v>
      </c>
      <c r="B66" s="38" t="n">
        <v>11536.6514405026</v>
      </c>
      <c r="C66" s="38" t="n">
        <v>998126.6</v>
      </c>
    </row>
    <row r="67" customFormat="false" ht="15" hidden="false" customHeight="false" outlineLevel="0" collapsed="false">
      <c r="A67" s="37" t="n">
        <v>62</v>
      </c>
      <c r="B67" s="38" t="n">
        <v>11848.7463164946</v>
      </c>
      <c r="C67" s="38" t="n">
        <v>964212.4</v>
      </c>
    </row>
    <row r="68" customFormat="false" ht="15" hidden="false" customHeight="false" outlineLevel="0" collapsed="false">
      <c r="A68" s="37" t="n">
        <v>63</v>
      </c>
      <c r="B68" s="38" t="n">
        <v>12118.41076798</v>
      </c>
      <c r="C68" s="38" t="n">
        <v>894126.6</v>
      </c>
    </row>
    <row r="69" customFormat="false" ht="15" hidden="false" customHeight="false" outlineLevel="0" collapsed="false">
      <c r="A69" s="37" t="n">
        <v>64</v>
      </c>
      <c r="B69" s="38" t="n">
        <v>12418.4401204155</v>
      </c>
      <c r="C69" s="38" t="n">
        <v>880812.2</v>
      </c>
    </row>
    <row r="70" customFormat="false" ht="15" hidden="false" customHeight="false" outlineLevel="0" collapsed="false">
      <c r="A70" s="37" t="n">
        <v>65</v>
      </c>
      <c r="B70" s="38" t="n">
        <v>12522.2036230005</v>
      </c>
      <c r="C70" s="38" t="n">
        <v>819626.8</v>
      </c>
    </row>
    <row r="71" customFormat="false" ht="15" hidden="false" customHeight="false" outlineLevel="0" collapsed="false">
      <c r="A71" s="37" t="n">
        <v>66</v>
      </c>
      <c r="B71" s="38" t="n">
        <v>12718.4694728511</v>
      </c>
      <c r="C71" s="38" t="n">
        <v>786405.4</v>
      </c>
    </row>
    <row r="72" customFormat="false" ht="15" hidden="false" customHeight="false" outlineLevel="0" collapsed="false">
      <c r="A72" s="37" t="n">
        <v>67</v>
      </c>
      <c r="B72" s="38" t="n">
        <v>12862.0492031722</v>
      </c>
      <c r="C72" s="38" t="n">
        <v>729015.4</v>
      </c>
    </row>
    <row r="73" customFormat="false" ht="15" hidden="false" customHeight="false" outlineLevel="0" collapsed="false">
      <c r="A73" s="37" t="n">
        <v>68</v>
      </c>
      <c r="B73" s="38" t="n">
        <v>12992.1557655219</v>
      </c>
      <c r="C73" s="38" t="n">
        <v>675644.4</v>
      </c>
    </row>
    <row r="74" customFormat="false" ht="15" hidden="false" customHeight="false" outlineLevel="0" collapsed="false">
      <c r="A74" s="37" t="n">
        <v>69</v>
      </c>
      <c r="B74" s="38" t="n">
        <v>13207.5253610035</v>
      </c>
      <c r="C74" s="38" t="n">
        <v>622387.8</v>
      </c>
    </row>
    <row r="75" customFormat="false" ht="15" hidden="false" customHeight="false" outlineLevel="0" collapsed="false">
      <c r="A75" s="37" t="n">
        <v>70</v>
      </c>
      <c r="B75" s="38" t="n">
        <v>13552.398242657</v>
      </c>
      <c r="C75" s="38" t="n">
        <v>605019.8</v>
      </c>
    </row>
    <row r="76" customFormat="false" ht="15" hidden="false" customHeight="false" outlineLevel="0" collapsed="false">
      <c r="A76" s="37" t="n">
        <v>71</v>
      </c>
      <c r="B76" s="38" t="n">
        <v>13733.1800039436</v>
      </c>
      <c r="C76" s="38" t="n">
        <v>550362</v>
      </c>
    </row>
    <row r="77" customFormat="false" ht="15" hidden="false" customHeight="false" outlineLevel="0" collapsed="false">
      <c r="A77" s="37" t="n">
        <v>72</v>
      </c>
      <c r="B77" s="38" t="n">
        <v>13985.7516303907</v>
      </c>
      <c r="C77" s="38" t="n">
        <v>529468</v>
      </c>
    </row>
    <row r="78" customFormat="false" ht="15" hidden="false" customHeight="false" outlineLevel="0" collapsed="false">
      <c r="A78" s="37" t="n">
        <v>73</v>
      </c>
      <c r="B78" s="38" t="n">
        <v>14189.860070553</v>
      </c>
      <c r="C78" s="38" t="n">
        <v>480241.8</v>
      </c>
    </row>
    <row r="79" customFormat="false" ht="15" hidden="false" customHeight="false" outlineLevel="0" collapsed="false">
      <c r="A79" s="37" t="n">
        <v>74</v>
      </c>
      <c r="B79" s="38" t="n">
        <v>14348.5217053196</v>
      </c>
      <c r="C79" s="38" t="n">
        <v>474273.8</v>
      </c>
    </row>
    <row r="80" customFormat="false" ht="15" hidden="false" customHeight="false" outlineLevel="0" collapsed="false">
      <c r="A80" s="37" t="n">
        <v>75</v>
      </c>
      <c r="B80" s="38" t="n">
        <v>14447.2579064227</v>
      </c>
      <c r="C80" s="38" t="n">
        <v>421755</v>
      </c>
    </row>
    <row r="81" customFormat="false" ht="15" hidden="false" customHeight="false" outlineLevel="0" collapsed="false">
      <c r="A81" s="37" t="n">
        <v>76</v>
      </c>
      <c r="B81" s="38" t="n">
        <v>14673.8886572236</v>
      </c>
      <c r="C81" s="38" t="n">
        <v>398249.8</v>
      </c>
    </row>
    <row r="82" customFormat="false" ht="15" hidden="false" customHeight="false" outlineLevel="0" collapsed="false">
      <c r="A82" s="37" t="n">
        <v>77</v>
      </c>
      <c r="B82" s="38" t="n">
        <v>14866.7359420666</v>
      </c>
      <c r="C82" s="38" t="n">
        <v>362916.4</v>
      </c>
    </row>
    <row r="83" customFormat="false" ht="15" hidden="false" customHeight="false" outlineLevel="0" collapsed="false">
      <c r="A83" s="37" t="n">
        <v>78</v>
      </c>
      <c r="B83" s="38" t="n">
        <v>15063.605068095</v>
      </c>
      <c r="C83" s="38" t="n">
        <v>338693.8</v>
      </c>
    </row>
    <row r="84" customFormat="false" ht="15" hidden="false" customHeight="false" outlineLevel="0" collapsed="false">
      <c r="A84" s="37" t="n">
        <v>79</v>
      </c>
      <c r="B84" s="38" t="n">
        <v>15153.0910344716</v>
      </c>
      <c r="C84" s="38" t="n">
        <v>298301.2</v>
      </c>
    </row>
    <row r="85" customFormat="false" ht="15" hidden="false" customHeight="false" outlineLevel="0" collapsed="false">
      <c r="A85" s="37" t="n">
        <v>80</v>
      </c>
      <c r="B85" s="38" t="n">
        <v>15361.4224078786</v>
      </c>
      <c r="C85" s="38" t="n">
        <v>280827.8</v>
      </c>
    </row>
    <row r="86" customFormat="false" ht="15" hidden="false" customHeight="false" outlineLevel="0" collapsed="false">
      <c r="A86" s="37" t="n">
        <v>81</v>
      </c>
      <c r="B86" s="38" t="n">
        <v>15503.5944937847</v>
      </c>
      <c r="C86" s="38" t="n">
        <v>250322</v>
      </c>
    </row>
    <row r="87" customFormat="false" ht="15" hidden="false" customHeight="false" outlineLevel="0" collapsed="false">
      <c r="A87" s="37" t="n">
        <v>82</v>
      </c>
      <c r="B87" s="38" t="n">
        <v>15526.7200806012</v>
      </c>
      <c r="C87" s="38" t="n">
        <v>235072.8</v>
      </c>
    </row>
    <row r="88" customFormat="false" ht="15" hidden="false" customHeight="false" outlineLevel="0" collapsed="false">
      <c r="A88" s="37" t="n">
        <v>83</v>
      </c>
      <c r="B88" s="38" t="n">
        <v>15402.6462800296</v>
      </c>
      <c r="C88" s="38" t="n">
        <v>203226.2</v>
      </c>
    </row>
    <row r="89" customFormat="false" ht="15" hidden="false" customHeight="false" outlineLevel="0" collapsed="false">
      <c r="A89" s="37" t="n">
        <v>84</v>
      </c>
      <c r="B89" s="38" t="n">
        <v>15208.1902587124</v>
      </c>
      <c r="C89" s="38" t="n">
        <v>197018.4</v>
      </c>
    </row>
    <row r="90" customFormat="false" ht="15" hidden="false" customHeight="false" outlineLevel="0" collapsed="false">
      <c r="A90" s="37" t="n">
        <v>85</v>
      </c>
      <c r="B90" s="38" t="n">
        <v>14733.2108147092</v>
      </c>
      <c r="C90" s="38" t="n">
        <v>175759</v>
      </c>
    </row>
    <row r="91" customFormat="false" ht="15" hidden="false" customHeight="false" outlineLevel="0" collapsed="false">
      <c r="A91" s="37" t="n">
        <v>86</v>
      </c>
      <c r="B91" s="38" t="n">
        <v>14305.2869125758</v>
      </c>
      <c r="C91" s="38" t="n">
        <v>154056.2</v>
      </c>
    </row>
    <row r="92" customFormat="false" ht="15" hidden="false" customHeight="false" outlineLevel="0" collapsed="false">
      <c r="A92" s="37" t="n">
        <v>87</v>
      </c>
      <c r="B92" s="38" t="n">
        <v>13788.4803202438</v>
      </c>
      <c r="C92" s="38" t="n">
        <v>131849</v>
      </c>
    </row>
    <row r="93" customFormat="false" ht="15" hidden="false" customHeight="false" outlineLevel="0" collapsed="false">
      <c r="A93" s="37" t="n">
        <v>88</v>
      </c>
      <c r="B93" s="38" t="n">
        <v>12917.7517035909</v>
      </c>
      <c r="C93" s="38" t="n">
        <v>113147</v>
      </c>
    </row>
    <row r="94" customFormat="false" ht="15" hidden="false" customHeight="false" outlineLevel="0" collapsed="false">
      <c r="A94" s="37" t="n">
        <v>89</v>
      </c>
      <c r="B94" s="38" t="n">
        <v>11986.695469156</v>
      </c>
      <c r="C94" s="38" t="n">
        <v>91471</v>
      </c>
    </row>
    <row r="95" customFormat="false" ht="15" hidden="false" customHeight="false" outlineLevel="0" collapsed="false">
      <c r="A95" s="37" t="n">
        <v>90</v>
      </c>
      <c r="B95" s="38" t="n">
        <v>11043.5737111648</v>
      </c>
      <c r="C95" s="38" t="n">
        <v>76809.2</v>
      </c>
    </row>
    <row r="96" customFormat="false" ht="15" hidden="false" customHeight="false" outlineLevel="0" collapsed="false">
      <c r="A96" s="37" t="n">
        <v>91</v>
      </c>
      <c r="B96" s="38" t="n">
        <v>9892.52276388506</v>
      </c>
      <c r="C96" s="38" t="n">
        <v>64788.8</v>
      </c>
    </row>
    <row r="97" customFormat="false" ht="15" hidden="false" customHeight="false" outlineLevel="0" collapsed="false">
      <c r="A97" s="37" t="n">
        <v>92</v>
      </c>
      <c r="B97" s="38" t="n">
        <v>8647.96400904332</v>
      </c>
      <c r="C97" s="38" t="n">
        <v>53361.2</v>
      </c>
    </row>
    <row r="98" customFormat="false" ht="15" hidden="false" customHeight="false" outlineLevel="0" collapsed="false">
      <c r="A98" s="37" t="n">
        <v>93</v>
      </c>
      <c r="B98" s="38" t="n">
        <v>7690.36362278441</v>
      </c>
      <c r="C98" s="38" t="n">
        <v>40092.8</v>
      </c>
    </row>
    <row r="99" customFormat="false" ht="15" hidden="false" customHeight="false" outlineLevel="0" collapsed="false">
      <c r="A99" s="37" t="n">
        <v>94</v>
      </c>
      <c r="B99" s="38" t="n">
        <v>6727.5348429844</v>
      </c>
      <c r="C99" s="38" t="n">
        <v>36176.6</v>
      </c>
    </row>
    <row r="100" customFormat="false" ht="15" hidden="false" customHeight="false" outlineLevel="0" collapsed="false">
      <c r="A100" s="37" t="n">
        <v>95</v>
      </c>
      <c r="B100" s="38" t="n">
        <v>5720.46581014429</v>
      </c>
      <c r="C100" s="38" t="n">
        <v>29395</v>
      </c>
    </row>
    <row r="101" customFormat="false" ht="15" hidden="false" customHeight="false" outlineLevel="0" collapsed="false">
      <c r="A101" s="37" t="n">
        <v>96</v>
      </c>
      <c r="B101" s="38" t="n">
        <v>4673.98273368664</v>
      </c>
      <c r="C101" s="38" t="n">
        <v>24134.8</v>
      </c>
    </row>
    <row r="102" customFormat="false" ht="15" hidden="false" customHeight="false" outlineLevel="0" collapsed="false">
      <c r="A102" s="37" t="n">
        <v>97</v>
      </c>
      <c r="B102" s="38" t="n">
        <v>3732.67080422886</v>
      </c>
      <c r="C102" s="38" t="n">
        <v>19041</v>
      </c>
    </row>
    <row r="103" customFormat="false" ht="15" hidden="false" customHeight="false" outlineLevel="0" collapsed="false">
      <c r="A103" s="37" t="n">
        <v>98</v>
      </c>
      <c r="B103" s="38" t="n">
        <v>2930.91676390667</v>
      </c>
      <c r="C103" s="38" t="n">
        <v>15452</v>
      </c>
    </row>
    <row r="104" customFormat="false" ht="15" hidden="false" customHeight="false" outlineLevel="0" collapsed="false">
      <c r="A104" s="37" t="n">
        <v>99</v>
      </c>
      <c r="B104" s="38" t="n">
        <v>2151.68503422308</v>
      </c>
      <c r="C104" s="38" t="n">
        <v>10596</v>
      </c>
    </row>
    <row r="105" customFormat="false" ht="15" hidden="false" customHeight="false" outlineLevel="0" collapsed="false">
      <c r="A105" s="41" t="n">
        <v>100</v>
      </c>
      <c r="B105" s="38" t="n">
        <v>4305.38098903889</v>
      </c>
      <c r="C105" s="38" t="n">
        <v>18295</v>
      </c>
    </row>
    <row r="107" customFormat="false" ht="15" hidden="false" customHeight="false" outlineLevel="0" collapsed="false">
      <c r="A107" s="2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2026-10-06T16:12:26Z</dcterms:created>
  <dc:creator>Selene</dc:creator>
  <dc:description/>
  <dc:language>en-US</dc:language>
  <cp:lastModifiedBy>VICTOR MANUEL MORENO CASTILLO</cp:lastModifiedBy>
  <dcterms:modified xsi:type="dcterms:W3CDTF">2026-10-08T04:17:06Z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0x010100DBB11B12AB28EF41BE7B6BBE4AD81B61</vt:lpwstr>
  </property>
</Properties>
</file>