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paración" sheetId="1" state="visible" r:id="rId3"/>
    <sheet name="Defunciones" sheetId="2" state="visible" r:id="rId4"/>
    <sheet name="Población" sheetId="3" state="visible" r:id="rId5"/>
    <sheet name="Nacimientos" sheetId="4" state="visible" r:id="rId6"/>
    <sheet name="Fuen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<sst xmlns="http://schemas.openxmlformats.org/spreadsheetml/2006/main" count="77" uniqueCount="62">
  <si>
    <t xml:space="preserve">Preparación de los datos, México 2019, ambos sexos: de los conteos de INEGI a defunciones y población usadas</t>
  </si>
  <si>
    <t xml:space="preserve">Verde = vínculo a otra hoja; negro = fórmula. Las columnas D y F son las que se pasan (como valores) a la hoja Insumos del libro 2. Suavizado = media móvil de 5 edades, de 10 a 97 años, si J5 = 1.</t>
  </si>
  <si>
    <t xml:space="preserve">Edad x</t>
  </si>
  <si>
    <t xml:space="preserve">Defunciones ocurridas en 2019 (EDR)</t>
  </si>
  <si>
    <t xml:space="preserve">Defunciones con edad no especificada redistribuida</t>
  </si>
  <si>
    <t xml:space="preserve">Defunciones usadas en qx (D)</t>
  </si>
  <si>
    <t xml:space="preserve">Población, Censo 2020</t>
  </si>
  <si>
    <t xml:space="preserve">Población usada en qx (P)</t>
  </si>
  <si>
    <t xml:space="preserve">q(x) = D / (P + D/2)</t>
  </si>
  <si>
    <t xml:space="preserve">Interruptor</t>
  </si>
  <si>
    <t xml:space="preserve">Suavizado del Censo (1 = sí, 0 = no)</t>
  </si>
  <si>
    <t xml:space="preserve">q(0) usa nacimientos (hoja Nacimientos); es la única edad que no usa la población: q(0) = defunciones de menores de 1 año / nacimientos. q(100) = 1 (grupo abierto).</t>
  </si>
  <si>
    <t xml:space="preserve">Defunciones ocurridas en 2019 por edad y sexo, México (INEGI)</t>
  </si>
  <si>
    <t xml:space="preserve">Fuente: INEGI, Estadísticas de Defunciones Registradas (EDR), datos abiertos 2019, 2020 y 2021 (carpeta bases_de_datos_INEGI/1_Defunciones_EDR). Se cuentan las defunciones con año de ocurrencia 2019 (anio_ocur = 2019) registradas en esos tres años.</t>
  </si>
  <si>
    <t xml:space="preserve">Hombres</t>
  </si>
  <si>
    <t xml:space="preserve">Mujeres</t>
  </si>
  <si>
    <t xml:space="preserve">Sexo no especificado</t>
  </si>
  <si>
    <t xml:space="preserve">Total</t>
  </si>
  <si>
    <t xml:space="preserve">Archivo EDR</t>
  </si>
  <si>
    <t xml:space="preserve">Año de registro</t>
  </si>
  <si>
    <t xml:space="preserve">Defunciones ocurridas en 2019</t>
  </si>
  <si>
    <t xml:space="preserve">conjunto_de_datos_defunciones_registradas_2019_csv.zip</t>
  </si>
  <si>
    <t xml:space="preserve">conjunto_de_datos_defunciones_registradas_2020_csv.zip</t>
  </si>
  <si>
    <t xml:space="preserve">conjunto_de_datos_defunciones_registradas_2021_csv.zip</t>
  </si>
  <si>
    <t xml:space="preserve">Control (debe ser 0): total por archivo − total por edad</t>
  </si>
  <si>
    <t xml:space="preserve">No especificada</t>
  </si>
  <si>
    <t xml:space="preserve">Factor de redistribución</t>
  </si>
  <si>
    <t xml:space="preserve">Factor = total / total con edad especificada: reparte las defunciones de edad no especificada entre todas las edades en proporción.</t>
  </si>
  <si>
    <t xml:space="preserve">Población por edad y sexo, México, Censo 2020 (INEGI)</t>
  </si>
  <si>
    <t xml:space="preserve">Fuente: INEGI, Censo de Población y Vivienda 2020, tabulados del cuestionario básico, 'Población 3' (cpv2020_b_eum_01_poblacion.xlsx, carpeta bases_de_datos_INEGI/3_Censo_2020). Estados Unidos Mexicanos, edad desplegada.</t>
  </si>
  <si>
    <t xml:space="preserve">Población con edad no especificada: no se redistribuye (0.2 % del total). El Censo concentra población en edades redondas (p. ej. 30 años: 2.37 millones; 31 años: 1.54 millones); por eso la hoja Preparación permite suavizar.</t>
  </si>
  <si>
    <t xml:space="preserve">Nacimientos ocurridos en 2019, México (INEGI)</t>
  </si>
  <si>
    <t xml:space="preserve">Fuente: INEGI, Estadística de Nacimientos Registrados (ENR), datos abiertos 2019, 2020 y 2021 (carpeta bases_de_datos_INEGI/2_Nacimientos_ENR). Se cuentan los nacimientos con año de nacimiento 2019 (ano_nac = 2019) registrados en esos tres años.</t>
  </si>
  <si>
    <t xml:space="preserve">Archivo ENR</t>
  </si>
  <si>
    <t xml:space="preserve">conjunto_de_datos_natalidad_2019_csv.zip</t>
  </si>
  <si>
    <t xml:space="preserve">conjunto_de_datos_natalidad_2020_csv.zip</t>
  </si>
  <si>
    <t xml:space="preserve">conjunto_de_datos_natalidad_2021_csv.zip</t>
  </si>
  <si>
    <t xml:space="preserve">Una parte importante de los nacimientos de 2019 se registró en 2020 y 2021 (registro tardío); por eso se usan los tres archivos.</t>
  </si>
  <si>
    <t xml:space="preserve">Bases de datos usadas (carpeta bases_de_datos_INEGI/)</t>
  </si>
  <si>
    <t xml:space="preserve">Todas son bases de INEGI, descargadas tal cual y guardadas sin modificar en la carpeta bases_de_datos_INEGI/.</t>
  </si>
  <si>
    <t xml:space="preserve">Carpeta / archivo</t>
  </si>
  <si>
    <t xml:space="preserve">Qué es</t>
  </si>
  <si>
    <t xml:space="preserve">Campos usados</t>
  </si>
  <si>
    <t xml:space="preserve">Para qué se usó</t>
  </si>
  <si>
    <t xml:space="preserve">Enlace</t>
  </si>
  <si>
    <t xml:space="preserve">1_Defunciones_EDR/conjunto_de_datos_defunciones_registradas_2019_csv.zip (y 2020, 2021)</t>
  </si>
  <si>
    <t xml:space="preserve">Estadísticas de Defunciones Registradas (EDR). Datos abiertos: una fila por defunción registrada en el año.</t>
  </si>
  <si>
    <t xml:space="preserve">sexo, edad, anio_ocur</t>
  </si>
  <si>
    <t xml:space="preserve">Defunciones ocurridas en 2019 por edad y sexo (se usan los tres años de registro por registro tardío).</t>
  </si>
  <si>
    <t xml:space="preserve">https://www.inegi.org.mx/programas/edr/#datos_abiertos</t>
  </si>
  <si>
    <t xml:space="preserve">2_Nacimientos_ENR/conjunto_de_datos_natalidad_2019_csv.zip (y 2020, 2021)</t>
  </si>
  <si>
    <t xml:space="preserve">Estadística de Nacimientos Registrados (ENR). Datos abiertos: una fila por nacimiento registrado en el año.</t>
  </si>
  <si>
    <t xml:space="preserve">sexo, ano_nac</t>
  </si>
  <si>
    <t xml:space="preserve">Nacimientos ocurridos en 2019 (q0 = defunciones de menores de 1 año / nacimientos).</t>
  </si>
  <si>
    <t xml:space="preserve">https://www.inegi.org.mx/programas/natalidad/#datos_abiertos</t>
  </si>
  <si>
    <t xml:space="preserve">3_Censo_2020/cpv2020_b_eum_01_poblacion.xlsx</t>
  </si>
  <si>
    <t xml:space="preserve">Censo de Población y Vivienda 2020, tabulados del cuestionario básico (Población), hoja 03: población por edad desplegada y sexo.</t>
  </si>
  <si>
    <t xml:space="preserve">Estados Unidos Mexicanos: edad, hombres, mujeres</t>
  </si>
  <si>
    <t xml:space="preserve">Población por edad (denominador de qx para x = 1 a 99).</t>
  </si>
  <si>
    <t xml:space="preserve">https://www.inegi.org.mx/programas/ccpv/2020/#tabulados</t>
  </si>
  <si>
    <t xml:space="preserve">Cómo se condensaron</t>
  </si>
  <si>
    <t xml:space="preserve">Los archivos de EDR y ENR traen un registro por defunción o nacimiento. Para este libro se contaron (script scripts/01_descargar_inegi.py): defunciones ocurridas en 2019 por edad y sexo (código de edad 1001-3999 = menores de 1 año; 4001-4120 = años cumplidos; 4998 = no especificada) y nacimientos ocurridos en 2019 por sexo. Los conteos están en las hojas Defunciones, Nacimientos y Población.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</si>
</sst>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"/>
    <numFmt numFmtId="167" formatCode="0.000000"/>
    <numFmt numFmtId="168" formatCode="0\+"/>
    <numFmt numFmtId="169" formatCode="0;\-0;0"/>
    <numFmt numFmtId="170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3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Hoja1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3"/>
    <col collapsed="false" customWidth="true" hidden="false" outlineLevel="0" max="9" min="9" style="0" width="28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I4" s="3" t="s">
        <v>9</v>
      </c>
    </row>
    <row r="5" customFormat="false" ht="30" hidden="false" customHeight="true" outlineLevel="0" collapsed="false">
      <c r="A5" s="4" t="n">
        <v>0</v>
      </c>
      <c r="B5" s="5" t="n">
        <f aca="false">Defunciones!E5</f>
        <v>22796</v>
      </c>
      <c r="C5" s="6" t="n">
        <f aca="false">B5*Defunciones!$E$108</f>
        <v>22920.4729159576</v>
      </c>
      <c r="D5" s="6" t="n">
        <f aca="false">IF(AND(Preparación!$J$5=1,$A5&gt;=10,$A5&lt;=97),AVERAGE(C3:C7),C5)</f>
        <v>22920.4729159576</v>
      </c>
      <c r="E5" s="5" t="n">
        <f aca="false">Población!D5</f>
        <v>1812977</v>
      </c>
      <c r="F5" s="6" t="n">
        <f aca="false">IF(AND(Preparación!$J$5=1,$A5&gt;=10,$A5&lt;=97),AVERAGE(E3:E7),E5)</f>
        <v>1812977</v>
      </c>
      <c r="G5" s="7" t="n">
        <f aca="false">D5/Nacimientos!F8</f>
        <v>0.012423606379248</v>
      </c>
      <c r="I5" s="8" t="s">
        <v>10</v>
      </c>
      <c r="J5" s="9" t="n">
        <v>1</v>
      </c>
    </row>
    <row r="6" customFormat="false" ht="15" hidden="false" customHeight="false" outlineLevel="0" collapsed="false">
      <c r="A6" s="4" t="n">
        <v>1</v>
      </c>
      <c r="B6" s="5" t="n">
        <f aca="false">Defunciones!E6</f>
        <v>2131</v>
      </c>
      <c r="C6" s="6" t="n">
        <f aca="false">B6*Defunciones!$E$108</f>
        <v>2142.63589155579</v>
      </c>
      <c r="D6" s="6" t="n">
        <f aca="false">IF(AND(Preparación!$J$5=1,$A6&gt;=10,$A6&lt;=97),AVERAGE(C4:C8),C6)</f>
        <v>2142.63589155579</v>
      </c>
      <c r="E6" s="5" t="n">
        <f aca="false">Población!D6</f>
        <v>1909958</v>
      </c>
      <c r="F6" s="6" t="n">
        <f aca="false">IF(AND(Preparación!$J$5=1,$A6&gt;=10,$A6&lt;=97),AVERAGE(E4:E8),E6)</f>
        <v>1909958</v>
      </c>
      <c r="G6" s="7" t="n">
        <f aca="false">D6/(F6+D6/2)</f>
        <v>0.00112119467317172</v>
      </c>
    </row>
    <row r="7" customFormat="false" ht="15" hidden="false" customHeight="false" outlineLevel="0" collapsed="false">
      <c r="A7" s="4" t="n">
        <v>2</v>
      </c>
      <c r="B7" s="5" t="n">
        <f aca="false">Defunciones!E7</f>
        <v>1110</v>
      </c>
      <c r="C7" s="6" t="n">
        <f aca="false">B7*Defunciones!$E$108</f>
        <v>1116.06092896618</v>
      </c>
      <c r="D7" s="6" t="n">
        <f aca="false">IF(AND(Preparación!$J$5=1,$A7&gt;=10,$A7&lt;=97),AVERAGE(C5:C9),C7)</f>
        <v>1116.06092896618</v>
      </c>
      <c r="E7" s="5" t="n">
        <f aca="false">Población!D7</f>
        <v>2041119</v>
      </c>
      <c r="F7" s="6" t="n">
        <f aca="false">IF(AND(Preparación!$J$5=1,$A7&gt;=10,$A7&lt;=97),AVERAGE(E5:E9),E7)</f>
        <v>2041119</v>
      </c>
      <c r="G7" s="7" t="n">
        <f aca="false">D7/(F7+D7/2)</f>
        <v>0.000546639312836013</v>
      </c>
    </row>
    <row r="8" customFormat="false" ht="15" hidden="false" customHeight="false" outlineLevel="0" collapsed="false">
      <c r="A8" s="4" t="n">
        <v>3</v>
      </c>
      <c r="B8" s="5" t="n">
        <f aca="false">Defunciones!E8</f>
        <v>759</v>
      </c>
      <c r="C8" s="6" t="n">
        <f aca="false">B8*Defunciones!$E$108</f>
        <v>763.144364941737</v>
      </c>
      <c r="D8" s="6" t="n">
        <f aca="false">IF(AND(Preparación!$J$5=1,$A8&gt;=10,$A8&lt;=97),AVERAGE(C6:C10),C8)</f>
        <v>763.144364941737</v>
      </c>
      <c r="E8" s="5" t="n">
        <f aca="false">Población!D8</f>
        <v>2108406</v>
      </c>
      <c r="F8" s="6" t="n">
        <f aca="false">IF(AND(Preparación!$J$5=1,$A8&gt;=10,$A8&lt;=97),AVERAGE(E6:E10),E8)</f>
        <v>2108406</v>
      </c>
      <c r="G8" s="7" t="n">
        <f aca="false">D8/(F8+D8/2)</f>
        <v>0.000361887738247588</v>
      </c>
    </row>
    <row r="9" customFormat="false" ht="15" hidden="false" customHeight="false" outlineLevel="0" collapsed="false">
      <c r="A9" s="4" t="n">
        <v>4</v>
      </c>
      <c r="B9" s="5" t="n">
        <f aca="false">Defunciones!E9</f>
        <v>632</v>
      </c>
      <c r="C9" s="6" t="n">
        <f aca="false">B9*Defunciones!$E$108</f>
        <v>635.450907303265</v>
      </c>
      <c r="D9" s="6" t="n">
        <f aca="false">IF(AND(Preparación!$J$5=1,$A9&gt;=10,$A9&lt;=97),AVERAGE(C7:C11),C9)</f>
        <v>635.450907303265</v>
      </c>
      <c r="E9" s="5" t="n">
        <f aca="false">Población!D9</f>
        <v>2174905</v>
      </c>
      <c r="F9" s="6" t="n">
        <f aca="false">IF(AND(Preparación!$J$5=1,$A9&gt;=10,$A9&lt;=97),AVERAGE(E7:E11),E9)</f>
        <v>2174905</v>
      </c>
      <c r="G9" s="7" t="n">
        <f aca="false">D9/(F9+D9/2)</f>
        <v>0.000292131421701076</v>
      </c>
    </row>
    <row r="10" customFormat="false" ht="15" hidden="false" customHeight="false" outlineLevel="0" collapsed="false">
      <c r="A10" s="4" t="n">
        <v>5</v>
      </c>
      <c r="B10" s="5" t="n">
        <f aca="false">Defunciones!E10</f>
        <v>550</v>
      </c>
      <c r="C10" s="6" t="n">
        <f aca="false">B10*Defunciones!$E$108</f>
        <v>553.003163001259</v>
      </c>
      <c r="D10" s="6" t="n">
        <f aca="false">IF(AND(Preparación!$J$5=1,$A10&gt;=10,$A10&lt;=97),AVERAGE(C8:C12),C10)</f>
        <v>553.003163001259</v>
      </c>
      <c r="E10" s="5" t="n">
        <f aca="false">Población!D10</f>
        <v>2178901</v>
      </c>
      <c r="F10" s="6" t="n">
        <f aca="false">IF(AND(Preparación!$J$5=1,$A10&gt;=10,$A10&lt;=97),AVERAGE(E8:E12),E10)</f>
        <v>2178901</v>
      </c>
      <c r="G10" s="7" t="n">
        <f aca="false">D10/(F10+D10/2)</f>
        <v>0.000253766920133824</v>
      </c>
    </row>
    <row r="11" customFormat="false" ht="15" hidden="false" customHeight="false" outlineLevel="0" collapsed="false">
      <c r="A11" s="4" t="n">
        <v>6</v>
      </c>
      <c r="B11" s="5" t="n">
        <f aca="false">Defunciones!E11</f>
        <v>474</v>
      </c>
      <c r="C11" s="6" t="n">
        <f aca="false">B11*Defunciones!$E$108</f>
        <v>476.588180477448</v>
      </c>
      <c r="D11" s="6" t="n">
        <f aca="false">IF(AND(Preparación!$J$5=1,$A11&gt;=10,$A11&lt;=97),AVERAGE(C9:C13),C11)</f>
        <v>476.588180477448</v>
      </c>
      <c r="E11" s="5" t="n">
        <f aca="false">Población!D11</f>
        <v>2095349</v>
      </c>
      <c r="F11" s="6" t="n">
        <f aca="false">IF(AND(Preparación!$J$5=1,$A11&gt;=10,$A11&lt;=97),AVERAGE(E9:E13),E11)</f>
        <v>2095349</v>
      </c>
      <c r="G11" s="7" t="n">
        <f aca="false">D11/(F11+D11/2)</f>
        <v>0.000227424637389945</v>
      </c>
    </row>
    <row r="12" customFormat="false" ht="15" hidden="false" customHeight="false" outlineLevel="0" collapsed="false">
      <c r="A12" s="4" t="n">
        <v>7</v>
      </c>
      <c r="B12" s="5" t="n">
        <f aca="false">Defunciones!E12</f>
        <v>490</v>
      </c>
      <c r="C12" s="6" t="n">
        <f aca="false">B12*Defunciones!$E$108</f>
        <v>492.675545219303</v>
      </c>
      <c r="D12" s="6" t="n">
        <f aca="false">IF(AND(Preparación!$J$5=1,$A12&gt;=10,$A12&lt;=97),AVERAGE(C10:C14),C12)</f>
        <v>492.675545219303</v>
      </c>
      <c r="E12" s="5" t="n">
        <f aca="false">Población!D12</f>
        <v>2146294</v>
      </c>
      <c r="F12" s="6" t="n">
        <f aca="false">IF(AND(Preparación!$J$5=1,$A12&gt;=10,$A12&lt;=97),AVERAGE(E10:E14),E12)</f>
        <v>2146294</v>
      </c>
      <c r="G12" s="7" t="n">
        <f aca="false">D12/(F12+D12/2)</f>
        <v>0.000229520748597036</v>
      </c>
    </row>
    <row r="13" customFormat="false" ht="15" hidden="false" customHeight="false" outlineLevel="0" collapsed="false">
      <c r="A13" s="4" t="n">
        <v>8</v>
      </c>
      <c r="B13" s="5" t="n">
        <f aca="false">Defunciones!E13</f>
        <v>447</v>
      </c>
      <c r="C13" s="6" t="n">
        <f aca="false">B13*Defunciones!$E$108</f>
        <v>449.440752475568</v>
      </c>
      <c r="D13" s="6" t="n">
        <f aca="false">IF(AND(Preparación!$J$5=1,$A13&gt;=10,$A13&lt;=97),AVERAGE(C11:C15),C13)</f>
        <v>449.440752475568</v>
      </c>
      <c r="E13" s="5" t="n">
        <f aca="false">Población!D13</f>
        <v>2234495</v>
      </c>
      <c r="F13" s="6" t="n">
        <f aca="false">IF(AND(Preparación!$J$5=1,$A13&gt;=10,$A13&lt;=97),AVERAGE(E11:E15),E13)</f>
        <v>2234495</v>
      </c>
      <c r="G13" s="7" t="n">
        <f aca="false">D13/(F13+D13/2)</f>
        <v>0.000201117280336122</v>
      </c>
    </row>
    <row r="14" customFormat="false" ht="15" hidden="false" customHeight="false" outlineLevel="0" collapsed="false">
      <c r="A14" s="4" t="n">
        <v>9</v>
      </c>
      <c r="B14" s="5" t="n">
        <f aca="false">Defunciones!E14</f>
        <v>513</v>
      </c>
      <c r="C14" s="6" t="n">
        <f aca="false">B14*Defunciones!$E$108</f>
        <v>515.80113203572</v>
      </c>
      <c r="D14" s="6" t="n">
        <f aca="false">IF(AND(Preparación!$J$5=1,$A14&gt;=10,$A14&lt;=97),AVERAGE(C12:C16),C14)</f>
        <v>515.80113203572</v>
      </c>
      <c r="E14" s="5" t="n">
        <f aca="false">Población!D14</f>
        <v>2109340</v>
      </c>
      <c r="F14" s="6" t="n">
        <f aca="false">IF(AND(Preparación!$J$5=1,$A14&gt;=10,$A14&lt;=97),AVERAGE(E12:E16),E14)</f>
        <v>2109340</v>
      </c>
      <c r="G14" s="7" t="n">
        <f aca="false">D14/(F14+D14/2)</f>
        <v>0.000244502107201248</v>
      </c>
    </row>
    <row r="15" customFormat="false" ht="15" hidden="false" customHeight="false" outlineLevel="0" collapsed="false">
      <c r="A15" s="4" t="n">
        <v>10</v>
      </c>
      <c r="B15" s="5" t="n">
        <f aca="false">Defunciones!E15</f>
        <v>531</v>
      </c>
      <c r="C15" s="6" t="n">
        <f aca="false">B15*Defunciones!$E$108</f>
        <v>533.899417370306</v>
      </c>
      <c r="D15" s="6" t="n">
        <f aca="false">IF(AND(Preparación!$J$5=1,$A15&gt;=10,$A15&lt;=97),AVERAGE(C13:C17),C15)</f>
        <v>515.801132035719</v>
      </c>
      <c r="E15" s="5" t="n">
        <f aca="false">Población!D15</f>
        <v>2299267</v>
      </c>
      <c r="F15" s="6" t="n">
        <f aca="false">IF(AND(Preparación!$J$5=1,$A15&gt;=10,$A15&lt;=97),AVERAGE(E13:E17),E15)</f>
        <v>2198828.2</v>
      </c>
      <c r="G15" s="7" t="n">
        <f aca="false">D15/(F15+D15/2)</f>
        <v>0.00023455249519469</v>
      </c>
    </row>
    <row r="16" customFormat="false" ht="15" hidden="false" customHeight="false" outlineLevel="0" collapsed="false">
      <c r="A16" s="4" t="n">
        <v>11</v>
      </c>
      <c r="B16" s="5" t="n">
        <f aca="false">Defunciones!E16</f>
        <v>480</v>
      </c>
      <c r="C16" s="6" t="n">
        <f aca="false">B16*Defunciones!$E$108</f>
        <v>482.620942255644</v>
      </c>
      <c r="D16" s="6" t="n">
        <f aca="false">IF(AND(Preparación!$J$5=1,$A16&gt;=10,$A16&lt;=97),AVERAGE(C14:C18),C16)</f>
        <v>565.269778616923</v>
      </c>
      <c r="E16" s="5" t="n">
        <f aca="false">Población!D16</f>
        <v>2101472</v>
      </c>
      <c r="F16" s="6" t="n">
        <f aca="false">IF(AND(Preparación!$J$5=1,$A16&gt;=10,$A16&lt;=97),AVERAGE(E14:E18),E16)</f>
        <v>2180057.4</v>
      </c>
      <c r="G16" s="7" t="n">
        <f aca="false">D16/(F16+D16/2)</f>
        <v>0.000259257624761094</v>
      </c>
    </row>
    <row r="17" customFormat="false" ht="15" hidden="false" customHeight="false" outlineLevel="0" collapsed="false">
      <c r="A17" s="4" t="n">
        <v>12</v>
      </c>
      <c r="B17" s="5" t="n">
        <f aca="false">Defunciones!E17</f>
        <v>594</v>
      </c>
      <c r="C17" s="6" t="n">
        <f aca="false">B17*Defunciones!$E$108</f>
        <v>597.243416041359</v>
      </c>
      <c r="D17" s="6" t="n">
        <f aca="false">IF(AND(Preparación!$J$5=1,$A17&gt;=10,$A17&lt;=97),AVERAGE(C15:C19),C17)</f>
        <v>633.641078769806</v>
      </c>
      <c r="E17" s="5" t="n">
        <f aca="false">Población!D17</f>
        <v>2249567</v>
      </c>
      <c r="F17" s="6" t="n">
        <f aca="false">IF(AND(Preparación!$J$5=1,$A17&gt;=10,$A17&lt;=97),AVERAGE(E15:E19),E17)</f>
        <v>2188708</v>
      </c>
      <c r="G17" s="7" t="n">
        <f aca="false">D17/(F17+D17/2)</f>
        <v>0.000289462720031504</v>
      </c>
    </row>
    <row r="18" customFormat="false" ht="15" hidden="false" customHeight="false" outlineLevel="0" collapsed="false">
      <c r="A18" s="4" t="n">
        <v>13</v>
      </c>
      <c r="B18" s="5" t="n">
        <f aca="false">Defunciones!E18</f>
        <v>693</v>
      </c>
      <c r="C18" s="6" t="n">
        <f aca="false">B18*Defunciones!$E$108</f>
        <v>696.783985381586</v>
      </c>
      <c r="D18" s="6" t="n">
        <f aca="false">IF(AND(Preparación!$J$5=1,$A18&gt;=10,$A18&lt;=97),AVERAGE(C16:C20),C18)</f>
        <v>759.926891993366</v>
      </c>
      <c r="E18" s="5" t="n">
        <f aca="false">Población!D18</f>
        <v>2140641</v>
      </c>
      <c r="F18" s="6" t="n">
        <f aca="false">IF(AND(Preparación!$J$5=1,$A18&gt;=10,$A18&lt;=97),AVERAGE(E16:E20),E18)</f>
        <v>2167613.4</v>
      </c>
      <c r="G18" s="7" t="n">
        <f aca="false">D18/(F18+D18/2)</f>
        <v>0.000350520857123599</v>
      </c>
    </row>
    <row r="19" customFormat="false" ht="15" hidden="false" customHeight="false" outlineLevel="0" collapsed="false">
      <c r="A19" s="4" t="n">
        <v>14</v>
      </c>
      <c r="B19" s="5" t="n">
        <f aca="false">Defunciones!E19</f>
        <v>853</v>
      </c>
      <c r="C19" s="6" t="n">
        <f aca="false">B19*Defunciones!$E$108</f>
        <v>857.657632800134</v>
      </c>
      <c r="D19" s="6" t="n">
        <f aca="false">IF(AND(Preparación!$J$5=1,$A19&gt;=10,$A19&lt;=97),AVERAGE(C17:C21),C19)</f>
        <v>965.845160689107</v>
      </c>
      <c r="E19" s="5" t="n">
        <f aca="false">Población!D19</f>
        <v>2152593</v>
      </c>
      <c r="F19" s="6" t="n">
        <f aca="false">IF(AND(Preparación!$J$5=1,$A19&gt;=10,$A19&lt;=97),AVERAGE(E17:E21),E19)</f>
        <v>2164615.8</v>
      </c>
      <c r="G19" s="7" t="n">
        <f aca="false">D19/(F19+D19/2)</f>
        <v>0.000446097515377046</v>
      </c>
    </row>
    <row r="20" customFormat="false" ht="15" hidden="false" customHeight="false" outlineLevel="0" collapsed="false">
      <c r="A20" s="4" t="n">
        <v>15</v>
      </c>
      <c r="B20" s="5" t="n">
        <f aca="false">Defunciones!E20</f>
        <v>1159</v>
      </c>
      <c r="C20" s="6" t="n">
        <f aca="false">B20*Defunciones!$E$108</f>
        <v>1165.32848348811</v>
      </c>
      <c r="D20" s="6" t="n">
        <f aca="false">IF(AND(Preparación!$J$5=1,$A20&gt;=10,$A20&lt;=97),AVERAGE(C18:C22),C20)</f>
        <v>1205.94907946129</v>
      </c>
      <c r="E20" s="5" t="n">
        <f aca="false">Población!D20</f>
        <v>2193794</v>
      </c>
      <c r="F20" s="6" t="n">
        <f aca="false">IF(AND(Preparación!$J$5=1,$A20&gt;=10,$A20&lt;=97),AVERAGE(E18:E22),E20)</f>
        <v>2157181.6</v>
      </c>
      <c r="G20" s="7" t="n">
        <f aca="false">D20/(F20+D20/2)</f>
        <v>0.000558882982893938</v>
      </c>
    </row>
    <row r="21" customFormat="false" ht="15" hidden="false" customHeight="false" outlineLevel="0" collapsed="false">
      <c r="A21" s="4" t="n">
        <v>16</v>
      </c>
      <c r="B21" s="5" t="n">
        <f aca="false">Defunciones!E21</f>
        <v>1504</v>
      </c>
      <c r="C21" s="6" t="n">
        <f aca="false">B21*Defunciones!$E$108</f>
        <v>1512.21228573435</v>
      </c>
      <c r="D21" s="6" t="n">
        <f aca="false">IF(AND(Preparación!$J$5=1,$A21&gt;=10,$A21&lt;=97),AVERAGE(C19:C23),C21)</f>
        <v>1506.17952395616</v>
      </c>
      <c r="E21" s="5" t="n">
        <f aca="false">Población!D21</f>
        <v>2086484</v>
      </c>
      <c r="F21" s="6" t="n">
        <f aca="false">IF(AND(Preparación!$J$5=1,$A21&gt;=10,$A21&lt;=97),AVERAGE(E19:E23),E21)</f>
        <v>2190588.4</v>
      </c>
      <c r="G21" s="7" t="n">
        <f aca="false">D21/(F21+D21/2)</f>
        <v>0.000687332180307395</v>
      </c>
    </row>
    <row r="22" customFormat="false" ht="15" hidden="false" customHeight="false" outlineLevel="0" collapsed="false">
      <c r="A22" s="4" t="n">
        <v>17</v>
      </c>
      <c r="B22" s="5" t="n">
        <f aca="false">Defunciones!E22</f>
        <v>1788</v>
      </c>
      <c r="C22" s="6" t="n">
        <f aca="false">B22*Defunciones!$E$108</f>
        <v>1797.76300990227</v>
      </c>
      <c r="D22" s="6" t="n">
        <f aca="false">IF(AND(Preparación!$J$5=1,$A22&gt;=10,$A22&lt;=97),AVERAGE(C20:C24),C22)</f>
        <v>1816.46457141468</v>
      </c>
      <c r="E22" s="5" t="n">
        <f aca="false">Población!D22</f>
        <v>2212396</v>
      </c>
      <c r="F22" s="6" t="n">
        <f aca="false">IF(AND(Preparación!$J$5=1,$A22&gt;=10,$A22&lt;=97),AVERAGE(E20:E24),E22)</f>
        <v>2161338</v>
      </c>
      <c r="G22" s="7" t="n">
        <f aca="false">D22/(F22+D22/2)</f>
        <v>0.000840082199840163</v>
      </c>
    </row>
    <row r="23" customFormat="false" ht="15" hidden="false" customHeight="false" outlineLevel="0" collapsed="false">
      <c r="A23" s="4" t="n">
        <v>18</v>
      </c>
      <c r="B23" s="5" t="n">
        <f aca="false">Defunciones!E23</f>
        <v>2186</v>
      </c>
      <c r="C23" s="6" t="n">
        <f aca="false">B23*Defunciones!$E$108</f>
        <v>2197.93620785591</v>
      </c>
      <c r="D23" s="6" t="n">
        <f aca="false">IF(AND(Preparación!$J$5=1,$A23&gt;=10,$A23&lt;=97),AVERAGE(C21:C25),C23)</f>
        <v>2134.39111712559</v>
      </c>
      <c r="E23" s="5" t="n">
        <f aca="false">Población!D23</f>
        <v>2307675</v>
      </c>
      <c r="F23" s="6" t="n">
        <f aca="false">IF(AND(Preparación!$J$5=1,$A23&gt;=10,$A23&lt;=97),AVERAGE(E21:E25),E23)</f>
        <v>2184146.2</v>
      </c>
      <c r="G23" s="7" t="n">
        <f aca="false">D23/(F23+D23/2)</f>
        <v>0.000976742647406302</v>
      </c>
    </row>
    <row r="24" customFormat="false" ht="15" hidden="false" customHeight="false" outlineLevel="0" collapsed="false">
      <c r="A24" s="4" t="n">
        <v>19</v>
      </c>
      <c r="B24" s="5" t="n">
        <f aca="false">Defunciones!E24</f>
        <v>2396</v>
      </c>
      <c r="C24" s="6" t="n">
        <f aca="false">B24*Defunciones!$E$108</f>
        <v>2409.08287009276</v>
      </c>
      <c r="D24" s="6" t="n">
        <f aca="false">IF(AND(Preparación!$J$5=1,$A24&gt;=10,$A24&lt;=97),AVERAGE(C22:C26),C24)</f>
        <v>2405.46321302584</v>
      </c>
      <c r="E24" s="5" t="n">
        <f aca="false">Población!D24</f>
        <v>2006341</v>
      </c>
      <c r="F24" s="6" t="n">
        <f aca="false">IF(AND(Preparación!$J$5=1,$A24&gt;=10,$A24&lt;=97),AVERAGE(E22:E26),E24)</f>
        <v>2150359.4</v>
      </c>
      <c r="G24" s="7" t="n">
        <f aca="false">D24/(F24+D24/2)</f>
        <v>0.00111800778499004</v>
      </c>
    </row>
    <row r="25" customFormat="false" ht="15" hidden="false" customHeight="false" outlineLevel="0" collapsed="false">
      <c r="A25" s="4" t="n">
        <v>20</v>
      </c>
      <c r="B25" s="5" t="n">
        <f aca="false">Defunciones!E25</f>
        <v>2740</v>
      </c>
      <c r="C25" s="6" t="n">
        <f aca="false">B25*Defunciones!$E$108</f>
        <v>2754.96121204263</v>
      </c>
      <c r="D25" s="6" t="n">
        <f aca="false">IF(AND(Preparación!$J$5=1,$A25&gt;=10,$A25&lt;=97),AVERAGE(C23:C27),C25)</f>
        <v>2633.30051618236</v>
      </c>
      <c r="E25" s="5" t="n">
        <f aca="false">Población!D25</f>
        <v>2307835</v>
      </c>
      <c r="F25" s="6" t="n">
        <f aca="false">IF(AND(Preparación!$J$5=1,$A25&gt;=10,$A25&lt;=97),AVERAGE(E23:E27),E25)</f>
        <v>2133662.4</v>
      </c>
      <c r="G25" s="7" t="n">
        <f aca="false">D25/(F25+D25/2)</f>
        <v>0.00123340812916362</v>
      </c>
    </row>
    <row r="26" customFormat="false" ht="15" hidden="false" customHeight="false" outlineLevel="0" collapsed="false">
      <c r="A26" s="4" t="n">
        <v>21</v>
      </c>
      <c r="B26" s="5" t="n">
        <f aca="false">Defunciones!E26</f>
        <v>2852</v>
      </c>
      <c r="C26" s="6" t="n">
        <f aca="false">B26*Defunciones!$E$108</f>
        <v>2867.57276523562</v>
      </c>
      <c r="D26" s="6" t="n">
        <f aca="false">IF(AND(Preparación!$J$5=1,$A26&gt;=10,$A26&lt;=97),AVERAGE(C24:C28),C26)</f>
        <v>2842.83844194502</v>
      </c>
      <c r="E26" s="5" t="n">
        <f aca="false">Población!D26</f>
        <v>1917550</v>
      </c>
      <c r="F26" s="6" t="n">
        <f aca="false">IF(AND(Preparación!$J$5=1,$A26&gt;=10,$A26&lt;=97),AVERAGE(E24:E28),E26)</f>
        <v>2078944</v>
      </c>
      <c r="G26" s="7" t="n">
        <f aca="false">D26/(F26+D26/2)</f>
        <v>0.0013665091794352</v>
      </c>
    </row>
    <row r="27" customFormat="false" ht="15" hidden="false" customHeight="false" outlineLevel="0" collapsed="false">
      <c r="A27" s="4" t="n">
        <v>22</v>
      </c>
      <c r="B27" s="5" t="n">
        <f aca="false">Defunciones!E27</f>
        <v>2921</v>
      </c>
      <c r="C27" s="6" t="n">
        <f aca="false">B27*Defunciones!$E$108</f>
        <v>2936.94952568487</v>
      </c>
      <c r="D27" s="6" t="n">
        <f aca="false">IF(AND(Preparación!$J$5=1,$A27&gt;=10,$A27&lt;=97),AVERAGE(C25:C29),C27)</f>
        <v>3016.1797970385</v>
      </c>
      <c r="E27" s="5" t="n">
        <f aca="false">Población!D27</f>
        <v>2128911</v>
      </c>
      <c r="F27" s="6" t="n">
        <f aca="false">IF(AND(Preparación!$J$5=1,$A27&gt;=10,$A27&lt;=97),AVERAGE(E25:E29),E27)</f>
        <v>2084419</v>
      </c>
      <c r="G27" s="7" t="n">
        <f aca="false">D27/(F27+D27/2)</f>
        <v>0.00144596607026434</v>
      </c>
    </row>
    <row r="28" customFormat="false" ht="15" hidden="false" customHeight="false" outlineLevel="0" collapsed="false">
      <c r="A28" s="4" t="n">
        <v>23</v>
      </c>
      <c r="B28" s="5" t="n">
        <f aca="false">Defunciones!E28</f>
        <v>3228</v>
      </c>
      <c r="C28" s="6" t="n">
        <f aca="false">B28*Defunciones!$E$108</f>
        <v>3245.62583666921</v>
      </c>
      <c r="D28" s="6" t="n">
        <f aca="false">IF(AND(Preparación!$J$5=1,$A28&gt;=10,$A28&lt;=97),AVERAGE(C26:C30),C28)</f>
        <v>3185.7004030058</v>
      </c>
      <c r="E28" s="5" t="n">
        <f aca="false">Población!D28</f>
        <v>2034083</v>
      </c>
      <c r="F28" s="6" t="n">
        <f aca="false">IF(AND(Preparación!$J$5=1,$A28&gt;=10,$A28&lt;=97),AVERAGE(E26:E30),E28)</f>
        <v>2058655.2</v>
      </c>
      <c r="G28" s="7" t="n">
        <f aca="false">D28/(F28+D28/2)</f>
        <v>0.0015462703157002</v>
      </c>
    </row>
    <row r="29" customFormat="false" ht="15" hidden="false" customHeight="false" outlineLevel="0" collapsed="false">
      <c r="A29" s="4" t="n">
        <v>24</v>
      </c>
      <c r="B29" s="5" t="n">
        <f aca="false">Defunciones!E29</f>
        <v>3258</v>
      </c>
      <c r="C29" s="6" t="n">
        <f aca="false">B29*Defunciones!$E$108</f>
        <v>3275.78964556018</v>
      </c>
      <c r="D29" s="6" t="n">
        <f aca="false">IF(AND(Preparación!$J$5=1,$A29&gt;=10,$A29&lt;=97),AVERAGE(C27:C31),C29)</f>
        <v>3306.55673062898</v>
      </c>
      <c r="E29" s="5" t="n">
        <f aca="false">Población!D29</f>
        <v>2033716</v>
      </c>
      <c r="F29" s="6" t="n">
        <f aca="false">IF(AND(Preparación!$J$5=1,$A29&gt;=10,$A29&lt;=97),AVERAGE(E27:E31),E29)</f>
        <v>2070439.4</v>
      </c>
      <c r="G29" s="7" t="n">
        <f aca="false">D29/(F29+D29/2)</f>
        <v>0.00159575716142076</v>
      </c>
    </row>
    <row r="30" customFormat="false" ht="15" hidden="false" customHeight="false" outlineLevel="0" collapsed="false">
      <c r="A30" s="4" t="n">
        <v>25</v>
      </c>
      <c r="B30" s="5" t="n">
        <f aca="false">Defunciones!E30</f>
        <v>3583</v>
      </c>
      <c r="C30" s="6" t="n">
        <f aca="false">B30*Defunciones!$E$108</f>
        <v>3602.56424187911</v>
      </c>
      <c r="D30" s="6" t="n">
        <f aca="false">IF(AND(Preparación!$J$5=1,$A30&gt;=10,$A30&lt;=97),AVERAGE(C28:C32),C30)</f>
        <v>3455.56594655041</v>
      </c>
      <c r="E30" s="5" t="n">
        <f aca="false">Población!D30</f>
        <v>2179016</v>
      </c>
      <c r="F30" s="6" t="n">
        <f aca="false">IF(AND(Preparación!$J$5=1,$A30&gt;=10,$A30&lt;=97),AVERAGE(E28:E32),E30)</f>
        <v>2035586.4</v>
      </c>
      <c r="G30" s="7" t="n">
        <f aca="false">D30/(F30+D30/2)</f>
        <v>0.00169613797195842</v>
      </c>
    </row>
    <row r="31" customFormat="false" ht="15" hidden="false" customHeight="false" outlineLevel="0" collapsed="false">
      <c r="A31" s="4" t="n">
        <v>26</v>
      </c>
      <c r="B31" s="5" t="n">
        <f aca="false">Defunciones!E31</f>
        <v>3453</v>
      </c>
      <c r="C31" s="6" t="n">
        <f aca="false">B31*Defunciones!$E$108</f>
        <v>3471.85440335154</v>
      </c>
      <c r="D31" s="6" t="n">
        <f aca="false">IF(AND(Preparación!$J$5=1,$A31&gt;=10,$A31&lt;=97),AVERAGE(C29:C33),C31)</f>
        <v>3541.83443997861</v>
      </c>
      <c r="E31" s="5" t="n">
        <f aca="false">Población!D31</f>
        <v>1976471</v>
      </c>
      <c r="F31" s="6" t="n">
        <f aca="false">IF(AND(Preparación!$J$5=1,$A31&gt;=10,$A31&lt;=97),AVERAGE(E29:E33),E31)</f>
        <v>2037677.8</v>
      </c>
      <c r="G31" s="7" t="n">
        <f aca="false">D31/(F31+D31/2)</f>
        <v>0.0017366626628428</v>
      </c>
    </row>
    <row r="32" customFormat="false" ht="15" hidden="false" customHeight="false" outlineLevel="0" collapsed="false">
      <c r="A32" s="4" t="n">
        <v>27</v>
      </c>
      <c r="B32" s="5" t="n">
        <f aca="false">Defunciones!E32</f>
        <v>3662</v>
      </c>
      <c r="C32" s="6" t="n">
        <f aca="false">B32*Defunciones!$E$108</f>
        <v>3681.99560529202</v>
      </c>
      <c r="D32" s="6" t="n">
        <f aca="false">IF(AND(Preparación!$J$5=1,$A32&gt;=10,$A32&lt;=97),AVERAGE(C30:C34),C32)</f>
        <v>3608.99918777585</v>
      </c>
      <c r="E32" s="5" t="n">
        <f aca="false">Población!D32</f>
        <v>1954646</v>
      </c>
      <c r="F32" s="6" t="n">
        <f aca="false">IF(AND(Preparación!$J$5=1,$A32&gt;=10,$A32&lt;=97),AVERAGE(E30:E34),E32)</f>
        <v>1998600.2</v>
      </c>
      <c r="G32" s="7" t="n">
        <f aca="false">D32/(F32+D32/2)</f>
        <v>0.0018041345276326</v>
      </c>
    </row>
    <row r="33" customFormat="false" ht="15" hidden="false" customHeight="false" outlineLevel="0" collapsed="false">
      <c r="A33" s="4" t="n">
        <v>28</v>
      </c>
      <c r="B33" s="5" t="n">
        <f aca="false">Defunciones!E33</f>
        <v>3657</v>
      </c>
      <c r="C33" s="6" t="n">
        <f aca="false">B33*Defunciones!$E$108</f>
        <v>3676.96830381019</v>
      </c>
      <c r="D33" s="6" t="n">
        <f aca="false">IF(AND(Preparación!$J$5=1,$A33&gt;=10,$A33&lt;=97),AVERAGE(C31:C35),C33)</f>
        <v>3664.29950407598</v>
      </c>
      <c r="E33" s="5" t="n">
        <f aca="false">Población!D33</f>
        <v>2044540</v>
      </c>
      <c r="F33" s="6" t="n">
        <f aca="false">IF(AND(Preparación!$J$5=1,$A33&gt;=10,$A33&lt;=97),AVERAGE(E31:E35),E33)</f>
        <v>2036060.6</v>
      </c>
      <c r="G33" s="7" t="n">
        <f aca="false">D33/(F33+D33/2)</f>
        <v>0.00179808260494662</v>
      </c>
    </row>
    <row r="34" customFormat="false" ht="15" hidden="false" customHeight="false" outlineLevel="0" collapsed="false">
      <c r="A34" s="4" t="n">
        <v>29</v>
      </c>
      <c r="B34" s="5" t="n">
        <f aca="false">Defunciones!E34</f>
        <v>3592</v>
      </c>
      <c r="C34" s="6" t="n">
        <f aca="false">B34*Defunciones!$E$108</f>
        <v>3611.6133845464</v>
      </c>
      <c r="D34" s="6" t="n">
        <f aca="false">IF(AND(Preparación!$J$5=1,$A34&gt;=10,$A34&lt;=97),AVERAGE(C32:C36),C34)</f>
        <v>3696.67532561896</v>
      </c>
      <c r="E34" s="5" t="n">
        <f aca="false">Población!D34</f>
        <v>1838328</v>
      </c>
      <c r="F34" s="6" t="n">
        <f aca="false">IF(AND(Preparación!$J$5=1,$A34&gt;=10,$A34&lt;=97),AVERAGE(E32:E36),E34)</f>
        <v>1949047.2</v>
      </c>
      <c r="G34" s="7" t="n">
        <f aca="false">D34/(F34+D34/2)</f>
        <v>0.0018948607212704</v>
      </c>
    </row>
    <row r="35" customFormat="false" ht="15" hidden="false" customHeight="false" outlineLevel="0" collapsed="false">
      <c r="A35" s="4" t="n">
        <v>30</v>
      </c>
      <c r="B35" s="5" t="n">
        <f aca="false">Defunciones!E35</f>
        <v>3858</v>
      </c>
      <c r="C35" s="6" t="n">
        <f aca="false">B35*Defunciones!$E$108</f>
        <v>3879.06582337974</v>
      </c>
      <c r="D35" s="6" t="n">
        <f aca="false">IF(AND(Preparación!$J$5=1,$A35&gt;=10,$A35&lt;=97),AVERAGE(C33:C37),C35)</f>
        <v>3690.44147178149</v>
      </c>
      <c r="E35" s="5" t="n">
        <f aca="false">Población!D35</f>
        <v>2366318</v>
      </c>
      <c r="F35" s="6" t="n">
        <f aca="false">IF(AND(Preparación!$J$5=1,$A35&gt;=10,$A35&lt;=97),AVERAGE(E33:E37),E35)</f>
        <v>1957675.8</v>
      </c>
      <c r="G35" s="7" t="n">
        <f aca="false">D35/(F35+D35/2)</f>
        <v>0.00188333854688405</v>
      </c>
    </row>
    <row r="36" customFormat="false" ht="15" hidden="false" customHeight="false" outlineLevel="0" collapsed="false">
      <c r="A36" s="4" t="n">
        <v>31</v>
      </c>
      <c r="B36" s="5" t="n">
        <f aca="false">Defunciones!E36</f>
        <v>3614</v>
      </c>
      <c r="C36" s="6" t="n">
        <f aca="false">B36*Defunciones!$E$108</f>
        <v>3633.73351106645</v>
      </c>
      <c r="D36" s="6" t="n">
        <f aca="false">IF(AND(Preparación!$J$5=1,$A36&gt;=10,$A36&lt;=97),AVERAGE(C34:C38),C36)</f>
        <v>3712.15941418299</v>
      </c>
      <c r="E36" s="5" t="n">
        <f aca="false">Población!D36</f>
        <v>1541404</v>
      </c>
      <c r="F36" s="6" t="n">
        <f aca="false">IF(AND(Preparación!$J$5=1,$A36&gt;=10,$A36&lt;=97),AVERAGE(E34:E38),E36)</f>
        <v>1904183.8</v>
      </c>
      <c r="G36" s="7" t="n">
        <f aca="false">D36/(F36+D36/2)</f>
        <v>0.00194757699128177</v>
      </c>
    </row>
    <row r="37" customFormat="false" ht="15" hidden="false" customHeight="false" outlineLevel="0" collapsed="false">
      <c r="A37" s="4" t="n">
        <v>32</v>
      </c>
      <c r="B37" s="5" t="n">
        <f aca="false">Defunciones!E37</f>
        <v>3631</v>
      </c>
      <c r="C37" s="6" t="n">
        <f aca="false">B37*Defunciones!$E$108</f>
        <v>3650.82633610467</v>
      </c>
      <c r="D37" s="6" t="n">
        <f aca="false">IF(AND(Preparación!$J$5=1,$A37&gt;=10,$A37&lt;=97),AVERAGE(C35:C39),C37)</f>
        <v>3747.3505245558</v>
      </c>
      <c r="E37" s="5" t="n">
        <f aca="false">Población!D37</f>
        <v>1997789</v>
      </c>
      <c r="F37" s="6" t="n">
        <f aca="false">IF(AND(Preparación!$J$5=1,$A37&gt;=10,$A37&lt;=97),AVERAGE(E35:E39),E37)</f>
        <v>1884165.4</v>
      </c>
      <c r="G37" s="7" t="n">
        <f aca="false">D37/(F37+D37/2)</f>
        <v>0.00198688912319311</v>
      </c>
    </row>
    <row r="38" customFormat="false" ht="15" hidden="false" customHeight="false" outlineLevel="0" collapsed="false">
      <c r="A38" s="4" t="n">
        <v>33</v>
      </c>
      <c r="B38" s="5" t="n">
        <f aca="false">Defunciones!E38</f>
        <v>3765</v>
      </c>
      <c r="C38" s="6" t="n">
        <f aca="false">B38*Defunciones!$E$108</f>
        <v>3785.55801581771</v>
      </c>
      <c r="D38" s="6" t="n">
        <f aca="false">IF(AND(Preparación!$J$5=1,$A38&gt;=10,$A38&lt;=97),AVERAGE(C36:C40),C38)</f>
        <v>3810.49343116758</v>
      </c>
      <c r="E38" s="5" t="n">
        <f aca="false">Población!D38</f>
        <v>1777080</v>
      </c>
      <c r="F38" s="6" t="n">
        <f aca="false">IF(AND(Preparación!$J$5=1,$A38&gt;=10,$A38&lt;=97),AVERAGE(E36:E40),E38)</f>
        <v>1811537</v>
      </c>
      <c r="G38" s="7" t="n">
        <f aca="false">D38/(F38+D38/2)</f>
        <v>0.00210124884763712</v>
      </c>
    </row>
    <row r="39" customFormat="false" ht="15" hidden="false" customHeight="false" outlineLevel="0" collapsed="false">
      <c r="A39" s="4" t="n">
        <v>34</v>
      </c>
      <c r="B39" s="5" t="n">
        <f aca="false">Defunciones!E39</f>
        <v>3767</v>
      </c>
      <c r="C39" s="6" t="n">
        <f aca="false">B39*Defunciones!$E$108</f>
        <v>3787.56893641044</v>
      </c>
      <c r="D39" s="6" t="n">
        <f aca="false">IF(AND(Preparación!$J$5=1,$A39&gt;=10,$A39&lt;=97),AVERAGE(C37:C41),C39)</f>
        <v>3873.23415366082</v>
      </c>
      <c r="E39" s="5" t="n">
        <f aca="false">Población!D39</f>
        <v>1738236</v>
      </c>
      <c r="F39" s="6" t="n">
        <f aca="false">IF(AND(Preparación!$J$5=1,$A39&gt;=10,$A39&lt;=97),AVERAGE(E37:E41),E39)</f>
        <v>1868927.4</v>
      </c>
      <c r="G39" s="7" t="n">
        <f aca="false">D39/(F39+D39/2)</f>
        <v>0.00207029165043894</v>
      </c>
    </row>
    <row r="40" customFormat="false" ht="15" hidden="false" customHeight="false" outlineLevel="0" collapsed="false">
      <c r="A40" s="4" t="n">
        <v>35</v>
      </c>
      <c r="B40" s="5" t="n">
        <f aca="false">Defunciones!E40</f>
        <v>4172</v>
      </c>
      <c r="C40" s="6" t="n">
        <f aca="false">B40*Defunciones!$E$108</f>
        <v>4194.78035643864</v>
      </c>
      <c r="D40" s="6" t="n">
        <f aca="false">IF(AND(Preparación!$J$5=1,$A40&gt;=10,$A40&lt;=97),AVERAGE(C38:C42),C40)</f>
        <v>3986.04679891307</v>
      </c>
      <c r="E40" s="5" t="n">
        <f aca="false">Población!D40</f>
        <v>2003176</v>
      </c>
      <c r="F40" s="6" t="n">
        <f aca="false">IF(AND(Preparación!$J$5=1,$A40&gt;=10,$A40&lt;=97),AVERAGE(E38:E42),E40)</f>
        <v>1789539.8</v>
      </c>
      <c r="G40" s="7" t="n">
        <f aca="false">D40/(F40+D40/2)</f>
        <v>0.00222493651628972</v>
      </c>
    </row>
    <row r="41" customFormat="false" ht="15" hidden="false" customHeight="false" outlineLevel="0" collapsed="false">
      <c r="A41" s="4" t="n">
        <v>36</v>
      </c>
      <c r="B41" s="5" t="n">
        <f aca="false">Defunciones!E41</f>
        <v>3926</v>
      </c>
      <c r="C41" s="6" t="n">
        <f aca="false">B41*Defunciones!$E$108</f>
        <v>3947.43712353262</v>
      </c>
      <c r="D41" s="6" t="n">
        <f aca="false">IF(AND(Preparación!$J$5=1,$A41&gt;=10,$A41&lt;=97),AVERAGE(C39:C43),C41)</f>
        <v>4079.15242235656</v>
      </c>
      <c r="E41" s="5" t="n">
        <f aca="false">Población!D41</f>
        <v>1828356</v>
      </c>
      <c r="F41" s="6" t="n">
        <f aca="false">IF(AND(Preparación!$J$5=1,$A41&gt;=10,$A41&lt;=97),AVERAGE(E39:E43),E41)</f>
        <v>1822533.6</v>
      </c>
      <c r="G41" s="7" t="n">
        <f aca="false">D41/(F41+D41/2)</f>
        <v>0.00223567488305793</v>
      </c>
    </row>
    <row r="42" customFormat="false" ht="15" hidden="false" customHeight="false" outlineLevel="0" collapsed="false">
      <c r="A42" s="4" t="n">
        <v>37</v>
      </c>
      <c r="B42" s="5" t="n">
        <f aca="false">Defunciones!E42</f>
        <v>4192</v>
      </c>
      <c r="C42" s="6" t="n">
        <f aca="false">B42*Defunciones!$E$108</f>
        <v>4214.88956236596</v>
      </c>
      <c r="D42" s="6" t="n">
        <f aca="false">IF(AND(Preparación!$J$5=1,$A42&gt;=10,$A42&lt;=97),AVERAGE(C40:C44),C42)</f>
        <v>4210.66662912122</v>
      </c>
      <c r="E42" s="5" t="n">
        <f aca="false">Población!D42</f>
        <v>1600851</v>
      </c>
      <c r="F42" s="6" t="n">
        <f aca="false">IF(AND(Preparación!$J$5=1,$A42&gt;=10,$A42&lt;=97),AVERAGE(E40:E44),E42)</f>
        <v>1804055.2</v>
      </c>
      <c r="G42" s="7" t="n">
        <f aca="false">D42/(F42+D42/2)</f>
        <v>0.00233128038812478</v>
      </c>
    </row>
    <row r="43" customFormat="false" ht="15" hidden="false" customHeight="false" outlineLevel="0" collapsed="false">
      <c r="A43" s="4" t="n">
        <v>38</v>
      </c>
      <c r="B43" s="5" t="n">
        <f aca="false">Defunciones!E43</f>
        <v>4228</v>
      </c>
      <c r="C43" s="6" t="n">
        <f aca="false">B43*Defunciones!$E$108</f>
        <v>4251.08613303513</v>
      </c>
      <c r="D43" s="6" t="n">
        <f aca="false">IF(AND(Preparación!$J$5=1,$A43&gt;=10,$A43&lt;=97),AVERAGE(C41:C45),C43)</f>
        <v>4340.37100735243</v>
      </c>
      <c r="E43" s="5" t="n">
        <f aca="false">Población!D43</f>
        <v>1942049</v>
      </c>
      <c r="F43" s="6" t="n">
        <f aca="false">IF(AND(Preparación!$J$5=1,$A43&gt;=10,$A43&lt;=97),AVERAGE(E41:E45),E43)</f>
        <v>1844621</v>
      </c>
      <c r="G43" s="7" t="n">
        <f aca="false">D43/(F43+D43/2)</f>
        <v>0.00235022293880435</v>
      </c>
    </row>
    <row r="44" customFormat="false" ht="15" hidden="false" customHeight="false" outlineLevel="0" collapsed="false">
      <c r="A44" s="4" t="n">
        <v>39</v>
      </c>
      <c r="B44" s="5" t="n">
        <f aca="false">Defunciones!E44</f>
        <v>4421</v>
      </c>
      <c r="C44" s="6" t="n">
        <f aca="false">B44*Defunciones!$E$108</f>
        <v>4445.13997023375</v>
      </c>
      <c r="D44" s="6" t="n">
        <f aca="false">IF(AND(Preparación!$J$5=1,$A44&gt;=10,$A44&lt;=97),AVERAGE(C42:C46),C44)</f>
        <v>4517.5331115721</v>
      </c>
      <c r="E44" s="5" t="n">
        <f aca="false">Población!D44</f>
        <v>1645844</v>
      </c>
      <c r="F44" s="6" t="n">
        <f aca="false">IF(AND(Preparación!$J$5=1,$A44&gt;=10,$A44&lt;=97),AVERAGE(E42:E46),E44)</f>
        <v>1741997.8</v>
      </c>
      <c r="G44" s="7" t="n">
        <f aca="false">D44/(F44+D44/2)</f>
        <v>0.00258994760185563</v>
      </c>
    </row>
    <row r="45" customFormat="false" ht="15" hidden="false" customHeight="false" outlineLevel="0" collapsed="false">
      <c r="A45" s="4" t="n">
        <v>40</v>
      </c>
      <c r="B45" s="5" t="n">
        <f aca="false">Defunciones!E45</f>
        <v>4817</v>
      </c>
      <c r="C45" s="6" t="n">
        <f aca="false">B45*Defunciones!$E$108</f>
        <v>4843.30224759466</v>
      </c>
      <c r="D45" s="6" t="n">
        <f aca="false">IF(AND(Preparación!$J$5=1,$A45&gt;=10,$A45&lt;=97),AVERAGE(C43:C47),C45)</f>
        <v>4689.06463813213</v>
      </c>
      <c r="E45" s="5" t="n">
        <f aca="false">Población!D45</f>
        <v>2206005</v>
      </c>
      <c r="F45" s="6" t="n">
        <f aca="false">IF(AND(Preparación!$J$5=1,$A45&gt;=10,$A45&lt;=97),AVERAGE(E43:E47),E45)</f>
        <v>1807009</v>
      </c>
      <c r="G45" s="7" t="n">
        <f aca="false">D45/(F45+D45/2)</f>
        <v>0.00259156906285866</v>
      </c>
    </row>
    <row r="46" customFormat="false" ht="15" hidden="false" customHeight="false" outlineLevel="0" collapsed="false">
      <c r="A46" s="4" t="n">
        <v>41</v>
      </c>
      <c r="B46" s="5" t="n">
        <f aca="false">Defunciones!E46</f>
        <v>4807</v>
      </c>
      <c r="C46" s="6" t="n">
        <f aca="false">B46*Defunciones!$E$108</f>
        <v>4833.247644631</v>
      </c>
      <c r="D46" s="6" t="n">
        <f aca="false">IF(AND(Preparación!$J$5=1,$A46&gt;=10,$A46&lt;=97),AVERAGE(C44:C48),C46)</f>
        <v>4905.03750979153</v>
      </c>
      <c r="E46" s="5" t="n">
        <f aca="false">Población!D46</f>
        <v>1315240</v>
      </c>
      <c r="F46" s="6" t="n">
        <f aca="false">IF(AND(Preparación!$J$5=1,$A46&gt;=10,$A46&lt;=97),AVERAGE(E44:E48),E46)</f>
        <v>1742261</v>
      </c>
      <c r="G46" s="7" t="n">
        <f aca="false">D46/(F46+D46/2)</f>
        <v>0.0028113712979607</v>
      </c>
    </row>
    <row r="47" customFormat="false" ht="15" hidden="false" customHeight="false" outlineLevel="0" collapsed="false">
      <c r="A47" s="4" t="n">
        <v>42</v>
      </c>
      <c r="B47" s="5" t="n">
        <f aca="false">Defunciones!E47</f>
        <v>5045</v>
      </c>
      <c r="C47" s="6" t="n">
        <f aca="false">B47*Defunciones!$E$108</f>
        <v>5072.54719516609</v>
      </c>
      <c r="D47" s="6" t="n">
        <f aca="false">IF(AND(Preparación!$J$5=1,$A47&gt;=10,$A47&lt;=97),AVERAGE(C45:C49),C47)</f>
        <v>5164.84845037248</v>
      </c>
      <c r="E47" s="5" t="n">
        <f aca="false">Población!D47</f>
        <v>1925907</v>
      </c>
      <c r="F47" s="6" t="n">
        <f aca="false">IF(AND(Preparación!$J$5=1,$A47&gt;=10,$A47&lt;=97),AVERAGE(E45:E49),E47)</f>
        <v>1700717.2</v>
      </c>
      <c r="G47" s="7" t="n">
        <f aca="false">D47/(F47+D47/2)</f>
        <v>0.00303226066448639</v>
      </c>
    </row>
    <row r="48" customFormat="false" ht="15" hidden="false" customHeight="false" outlineLevel="0" collapsed="false">
      <c r="A48" s="4" t="n">
        <v>43</v>
      </c>
      <c r="B48" s="5" t="n">
        <f aca="false">Defunciones!E48</f>
        <v>5302</v>
      </c>
      <c r="C48" s="6" t="n">
        <f aca="false">B48*Defunciones!$E$108</f>
        <v>5330.95049133213</v>
      </c>
      <c r="D48" s="6" t="n">
        <f aca="false">IF(AND(Preparación!$J$5=1,$A48&gt;=10,$A48&lt;=97),AVERAGE(C46:C50),C48)</f>
        <v>5431.697613028</v>
      </c>
      <c r="E48" s="5" t="n">
        <f aca="false">Población!D48</f>
        <v>1618309</v>
      </c>
      <c r="F48" s="6" t="n">
        <f aca="false">IF(AND(Preparación!$J$5=1,$A48&gt;=10,$A48&lt;=97),AVERAGE(E46:E50),E48)</f>
        <v>1638705.2</v>
      </c>
      <c r="G48" s="7" t="n">
        <f aca="false">D48/(F48+D48/2)</f>
        <v>0.00330914338949011</v>
      </c>
    </row>
    <row r="49" customFormat="false" ht="15" hidden="false" customHeight="false" outlineLevel="0" collapsed="false">
      <c r="A49" s="4" t="n">
        <v>44</v>
      </c>
      <c r="B49" s="5" t="n">
        <f aca="false">Defunciones!E49</f>
        <v>5713</v>
      </c>
      <c r="C49" s="6" t="n">
        <f aca="false">B49*Defunciones!$E$108</f>
        <v>5744.19467313853</v>
      </c>
      <c r="D49" s="6" t="n">
        <f aca="false">IF(AND(Preparación!$J$5=1,$A49&gt;=10,$A49&lt;=97),AVERAGE(C47:C51),C49)</f>
        <v>5770.93991702186</v>
      </c>
      <c r="E49" s="5" t="n">
        <f aca="false">Población!D49</f>
        <v>1438125</v>
      </c>
      <c r="F49" s="6" t="n">
        <f aca="false">IF(AND(Preparación!$J$5=1,$A49&gt;=10,$A49&lt;=97),AVERAGE(E47:E51),E49)</f>
        <v>1677556</v>
      </c>
      <c r="G49" s="7" t="n">
        <f aca="false">D49/(F49+D49/2)</f>
        <v>0.00343418085080008</v>
      </c>
    </row>
    <row r="50" customFormat="false" ht="15" hidden="false" customHeight="false" outlineLevel="0" collapsed="false">
      <c r="A50" s="4" t="n">
        <v>45</v>
      </c>
      <c r="B50" s="5" t="n">
        <f aca="false">Defunciones!E50</f>
        <v>6144</v>
      </c>
      <c r="C50" s="6" t="n">
        <f aca="false">B50*Defunciones!$E$108</f>
        <v>6177.54806087224</v>
      </c>
      <c r="D50" s="6" t="n">
        <f aca="false">IF(AND(Preparación!$J$5=1,$A50&gt;=10,$A50&lt;=97),AVERAGE(C48:C52),C50)</f>
        <v>6109.98112895645</v>
      </c>
      <c r="E50" s="5" t="n">
        <f aca="false">Población!D50</f>
        <v>1895945</v>
      </c>
      <c r="F50" s="6" t="n">
        <f aca="false">IF(AND(Preparación!$J$5=1,$A50&gt;=10,$A50&lt;=97),AVERAGE(E48:E52),E50)</f>
        <v>1593949.2</v>
      </c>
      <c r="G50" s="7" t="n">
        <f aca="false">D50/(F50+D50/2)</f>
        <v>0.00382590175095083</v>
      </c>
    </row>
    <row r="51" customFormat="false" ht="15" hidden="false" customHeight="false" outlineLevel="0" collapsed="false">
      <c r="A51" s="4" t="n">
        <v>46</v>
      </c>
      <c r="B51" s="5" t="n">
        <f aca="false">Defunciones!E51</f>
        <v>6494</v>
      </c>
      <c r="C51" s="6" t="n">
        <f aca="false">B51*Defunciones!$E$108</f>
        <v>6529.45916460032</v>
      </c>
      <c r="D51" s="6" t="n">
        <f aca="false">IF(AND(Preparación!$J$5=1,$A51&gt;=10,$A51&lt;=97),AVERAGE(C49:C53),C51)</f>
        <v>6375.8248313156</v>
      </c>
      <c r="E51" s="5" t="n">
        <f aca="false">Población!D51</f>
        <v>1509494</v>
      </c>
      <c r="F51" s="6" t="n">
        <f aca="false">IF(AND(Preparación!$J$5=1,$A51&gt;=10,$A51&lt;=97),AVERAGE(E49:E53),E51)</f>
        <v>1588553.4</v>
      </c>
      <c r="G51" s="7" t="n">
        <f aca="false">D51/(F51+D51/2)</f>
        <v>0.00400556596827881</v>
      </c>
    </row>
    <row r="52" customFormat="false" ht="15" hidden="false" customHeight="false" outlineLevel="0" collapsed="false">
      <c r="A52" s="4" t="n">
        <v>47</v>
      </c>
      <c r="B52" s="5" t="n">
        <f aca="false">Defunciones!E52</f>
        <v>6731</v>
      </c>
      <c r="C52" s="6" t="n">
        <f aca="false">B52*Defunciones!$E$108</f>
        <v>6767.75325483904</v>
      </c>
      <c r="D52" s="6" t="n">
        <f aca="false">IF(AND(Preparación!$J$5=1,$A52&gt;=10,$A52&lt;=97),AVERAGE(C50:C54),C52)</f>
        <v>6604.66759476849</v>
      </c>
      <c r="E52" s="5" t="n">
        <f aca="false">Población!D52</f>
        <v>1507873</v>
      </c>
      <c r="F52" s="6" t="n">
        <f aca="false">IF(AND(Preparación!$J$5=1,$A52&gt;=10,$A52&lt;=97),AVERAGE(E50:E54),E52)</f>
        <v>1588482.6</v>
      </c>
      <c r="G52" s="7" t="n">
        <f aca="false">D52/(F52+D52/2)</f>
        <v>0.00414922107536996</v>
      </c>
    </row>
    <row r="53" customFormat="false" ht="15" hidden="false" customHeight="false" outlineLevel="0" collapsed="false">
      <c r="A53" s="4" t="n">
        <v>48</v>
      </c>
      <c r="B53" s="5" t="n">
        <f aca="false">Defunciones!E53</f>
        <v>6624</v>
      </c>
      <c r="C53" s="6" t="n">
        <f aca="false">B53*Defunciones!$E$108</f>
        <v>6660.16900312789</v>
      </c>
      <c r="D53" s="6" t="n">
        <f aca="false">IF(AND(Preparación!$J$5=1,$A53&gt;=10,$A53&lt;=97),AVERAGE(C51:C55),C53)</f>
        <v>6882.17463656548</v>
      </c>
      <c r="E53" s="5" t="n">
        <f aca="false">Población!D53</f>
        <v>1591330</v>
      </c>
      <c r="F53" s="6" t="n">
        <f aca="false">IF(AND(Preparación!$J$5=1,$A53&gt;=10,$A53&lt;=97),AVERAGE(E51:E55),E53)</f>
        <v>1582328.8</v>
      </c>
      <c r="G53" s="7" t="n">
        <f aca="false">D53/(F53+D53/2)</f>
        <v>0.00433995795455797</v>
      </c>
    </row>
    <row r="54" customFormat="false" ht="15" hidden="false" customHeight="false" outlineLevel="0" collapsed="false">
      <c r="A54" s="4" t="n">
        <v>49</v>
      </c>
      <c r="B54" s="5" t="n">
        <f aca="false">Defunciones!E54</f>
        <v>6851</v>
      </c>
      <c r="C54" s="6" t="n">
        <f aca="false">B54*Defunciones!$E$108</f>
        <v>6888.40849040295</v>
      </c>
      <c r="D54" s="6" t="n">
        <f aca="false">IF(AND(Preparación!$J$5=1,$A54&gt;=10,$A54&lt;=97),AVERAGE(C52:C56),C54)</f>
        <v>7087.08744496486</v>
      </c>
      <c r="E54" s="5" t="n">
        <f aca="false">Población!D54</f>
        <v>1437771</v>
      </c>
      <c r="F54" s="6" t="n">
        <f aca="false">IF(AND(Preparación!$J$5=1,$A54&gt;=10,$A54&lt;=97),AVERAGE(E52:E56),E54)</f>
        <v>1500527.4</v>
      </c>
      <c r="G54" s="7" t="n">
        <f aca="false">D54/(F54+D54/2)</f>
        <v>0.00471193694323006</v>
      </c>
    </row>
    <row r="55" customFormat="false" ht="15" hidden="false" customHeight="false" outlineLevel="0" collapsed="false">
      <c r="A55" s="4" t="n">
        <v>50</v>
      </c>
      <c r="B55" s="5" t="n">
        <f aca="false">Defunciones!E55</f>
        <v>7524</v>
      </c>
      <c r="C55" s="6" t="n">
        <f aca="false">B55*Defunciones!$E$108</f>
        <v>7565.08326985722</v>
      </c>
      <c r="D55" s="6" t="n">
        <f aca="false">IF(AND(Preparación!$J$5=1,$A55&gt;=10,$A55&lt;=97),AVERAGE(C53:C57),C55)</f>
        <v>7304.2668689799</v>
      </c>
      <c r="E55" s="5" t="n">
        <f aca="false">Población!D55</f>
        <v>1865176</v>
      </c>
      <c r="F55" s="6" t="n">
        <f aca="false">IF(AND(Preparación!$J$5=1,$A55&gt;=10,$A55&lt;=97),AVERAGE(E53:E57),E55)</f>
        <v>1497144.8</v>
      </c>
      <c r="G55" s="7" t="n">
        <f aca="false">D55/(F55+D55/2)</f>
        <v>0.00486692550221601</v>
      </c>
    </row>
    <row r="56" customFormat="false" ht="15" hidden="false" customHeight="false" outlineLevel="0" collapsed="false">
      <c r="A56" s="4" t="n">
        <v>51</v>
      </c>
      <c r="B56" s="5" t="n">
        <f aca="false">Defunciones!E56</f>
        <v>7513</v>
      </c>
      <c r="C56" s="6" t="n">
        <f aca="false">B56*Defunciones!$E$108</f>
        <v>7554.02320659719</v>
      </c>
      <c r="D56" s="6" t="n">
        <f aca="false">IF(AND(Preparación!$J$5=1,$A56&gt;=10,$A56&lt;=97),AVERAGE(C54:C58),C56)</f>
        <v>7591.02414550346</v>
      </c>
      <c r="E56" s="5" t="n">
        <f aca="false">Población!D56</f>
        <v>1100487</v>
      </c>
      <c r="F56" s="6" t="n">
        <f aca="false">IF(AND(Preparación!$J$5=1,$A56&gt;=10,$A56&lt;=97),AVERAGE(E54:E58),E56)</f>
        <v>1435230.8</v>
      </c>
      <c r="G56" s="7" t="n">
        <f aca="false">D56/(F56+D56/2)</f>
        <v>0.00527511142903945</v>
      </c>
    </row>
    <row r="57" customFormat="false" ht="15" hidden="false" customHeight="false" outlineLevel="0" collapsed="false">
      <c r="A57" s="4" t="n">
        <v>52</v>
      </c>
      <c r="B57" s="5" t="n">
        <f aca="false">Defunciones!E57</f>
        <v>7811</v>
      </c>
      <c r="C57" s="6" t="n">
        <f aca="false">B57*Defunciones!$E$108</f>
        <v>7853.65037491424</v>
      </c>
      <c r="D57" s="6" t="n">
        <f aca="false">IF(AND(Preparación!$J$5=1,$A57&gt;=10,$A57&lt;=97),AVERAGE(C55:C59),C57)</f>
        <v>7975.71325489306</v>
      </c>
      <c r="E57" s="5" t="n">
        <f aca="false">Población!D57</f>
        <v>1490960</v>
      </c>
      <c r="F57" s="6" t="n">
        <f aca="false">IF(AND(Preparación!$J$5=1,$A57&gt;=10,$A57&lt;=97),AVERAGE(E55:E59),E57)</f>
        <v>1407506.4</v>
      </c>
      <c r="G57" s="7" t="n">
        <f aca="false">D57/(F57+D57/2)</f>
        <v>0.00565054602060502</v>
      </c>
    </row>
    <row r="58" customFormat="false" ht="15" hidden="false" customHeight="false" outlineLevel="0" collapsed="false">
      <c r="A58" s="4" t="n">
        <v>53</v>
      </c>
      <c r="B58" s="5" t="n">
        <f aca="false">Defunciones!E58</f>
        <v>8050</v>
      </c>
      <c r="C58" s="6" t="n">
        <f aca="false">B58*Defunciones!$E$108</f>
        <v>8093.9553857457</v>
      </c>
      <c r="D58" s="6" t="n">
        <f aca="false">IF(AND(Preparación!$J$5=1,$A58&gt;=10,$A58&lt;=97),AVERAGE(C56:C60),C58)</f>
        <v>8289.01468324069</v>
      </c>
      <c r="E58" s="5" t="n">
        <f aca="false">Población!D58</f>
        <v>1281760</v>
      </c>
      <c r="F58" s="6" t="n">
        <f aca="false">IF(AND(Preparación!$J$5=1,$A58&gt;=10,$A58&lt;=97),AVERAGE(E56:E60),E58)</f>
        <v>1297572.8</v>
      </c>
      <c r="G58" s="7" t="n">
        <f aca="false">D58/(F58+D58/2)</f>
        <v>0.00636775330288002</v>
      </c>
    </row>
    <row r="59" customFormat="false" ht="15" hidden="false" customHeight="false" outlineLevel="0" collapsed="false">
      <c r="A59" s="4" t="n">
        <v>54</v>
      </c>
      <c r="B59" s="5" t="n">
        <f aca="false">Defunciones!E59</f>
        <v>8764</v>
      </c>
      <c r="C59" s="6" t="n">
        <f aca="false">B59*Defunciones!$E$108</f>
        <v>8811.85403735097</v>
      </c>
      <c r="D59" s="6" t="n">
        <f aca="false">IF(AND(Preparación!$J$5=1,$A59&gt;=10,$A59&lt;=97),AVERAGE(C57:C61),C59)</f>
        <v>8668.67649114846</v>
      </c>
      <c r="E59" s="5" t="n">
        <f aca="false">Población!D59</f>
        <v>1299149</v>
      </c>
      <c r="F59" s="6" t="n">
        <f aca="false">IF(AND(Preparación!$J$5=1,$A59&gt;=10,$A59&lt;=97),AVERAGE(E57:E61),E59)</f>
        <v>1324639.2</v>
      </c>
      <c r="G59" s="7" t="n">
        <f aca="false">D59/(F59+D59/2)</f>
        <v>0.00652283603975463</v>
      </c>
    </row>
    <row r="60" customFormat="false" ht="15" hidden="false" customHeight="false" outlineLevel="0" collapsed="false">
      <c r="A60" s="4" t="n">
        <v>55</v>
      </c>
      <c r="B60" s="5" t="n">
        <f aca="false">Defunciones!E60</f>
        <v>9082</v>
      </c>
      <c r="C60" s="6" t="n">
        <f aca="false">B60*Defunciones!$E$108</f>
        <v>9131.59041159533</v>
      </c>
      <c r="D60" s="6" t="n">
        <f aca="false">IF(AND(Preparación!$J$5=1,$A60&gt;=10,$A60&lt;=97),AVERAGE(C58:C62),C60)</f>
        <v>9060.00163849408</v>
      </c>
      <c r="E60" s="5" t="n">
        <f aca="false">Población!D60</f>
        <v>1315508</v>
      </c>
      <c r="F60" s="6" t="n">
        <f aca="false">IF(AND(Preparación!$J$5=1,$A60&gt;=10,$A60&lt;=97),AVERAGE(E58:E62),E60)</f>
        <v>1229081.2</v>
      </c>
      <c r="G60" s="7" t="n">
        <f aca="false">D60/(F60+D60/2)</f>
        <v>0.00734429262029827</v>
      </c>
    </row>
    <row r="61" customFormat="false" ht="15" hidden="false" customHeight="false" outlineLevel="0" collapsed="false">
      <c r="A61" s="4" t="n">
        <v>56</v>
      </c>
      <c r="B61" s="5" t="n">
        <f aca="false">Defunciones!E61</f>
        <v>9401</v>
      </c>
      <c r="C61" s="6" t="n">
        <f aca="false">B61*Defunciones!$E$108</f>
        <v>9452.33224613606</v>
      </c>
      <c r="D61" s="6" t="n">
        <f aca="false">IF(AND(Preparación!$J$5=1,$A61&gt;=10,$A61&lt;=97),AVERAGE(C59:C63),C61)</f>
        <v>9537.59527926789</v>
      </c>
      <c r="E61" s="5" t="n">
        <f aca="false">Población!D61</f>
        <v>1235819</v>
      </c>
      <c r="F61" s="6" t="n">
        <f aca="false">IF(AND(Preparación!$J$5=1,$A61&gt;=10,$A61&lt;=97),AVERAGE(E59:E63),E61)</f>
        <v>1195392.8</v>
      </c>
      <c r="G61" s="7" t="n">
        <f aca="false">D61/(F61+D61/2)</f>
        <v>0.00794692589566734</v>
      </c>
    </row>
    <row r="62" customFormat="false" ht="15" hidden="false" customHeight="false" outlineLevel="0" collapsed="false">
      <c r="A62" s="4" t="n">
        <v>57</v>
      </c>
      <c r="B62" s="5" t="n">
        <f aca="false">Defunciones!E62</f>
        <v>9757</v>
      </c>
      <c r="C62" s="6" t="n">
        <f aca="false">B62*Defunciones!$E$108</f>
        <v>9810.27611164233</v>
      </c>
      <c r="D62" s="6" t="n">
        <f aca="false">IF(AND(Preparación!$J$5=1,$A62&gt;=10,$A62&lt;=97),AVERAGE(C60:C64),C62)</f>
        <v>9984.01965085436</v>
      </c>
      <c r="E62" s="5" t="n">
        <f aca="false">Población!D62</f>
        <v>1013170</v>
      </c>
      <c r="F62" s="6" t="n">
        <f aca="false">IF(AND(Preparación!$J$5=1,$A62&gt;=10,$A62&lt;=97),AVERAGE(E60:E64),E62)</f>
        <v>1139191.6</v>
      </c>
      <c r="G62" s="7" t="n">
        <f aca="false">D62/(F62+D62/2)</f>
        <v>0.00872588941592833</v>
      </c>
    </row>
    <row r="63" customFormat="false" ht="15" hidden="false" customHeight="false" outlineLevel="0" collapsed="false">
      <c r="A63" s="4" t="n">
        <v>58</v>
      </c>
      <c r="B63" s="5" t="n">
        <f aca="false">Defunciones!E63</f>
        <v>10425</v>
      </c>
      <c r="C63" s="6" t="n">
        <f aca="false">B63*Defunciones!$E$108</f>
        <v>10481.9235896148</v>
      </c>
      <c r="D63" s="6" t="n">
        <f aca="false">IF(AND(Preparación!$J$5=1,$A63&gt;=10,$A63&lt;=97),AVERAGE(C61:C65),C63)</f>
        <v>10411.7424609284</v>
      </c>
      <c r="E63" s="5" t="n">
        <f aca="false">Población!D63</f>
        <v>1113318</v>
      </c>
      <c r="F63" s="6" t="n">
        <f aca="false">IF(AND(Preparación!$J$5=1,$A63&gt;=10,$A63&lt;=97),AVERAGE(E61:E65),E63)</f>
        <v>1142796</v>
      </c>
      <c r="G63" s="7" t="n">
        <f aca="false">D63/(F63+D63/2)</f>
        <v>0.00906944729085572</v>
      </c>
    </row>
    <row r="64" customFormat="false" ht="15" hidden="false" customHeight="false" outlineLevel="0" collapsed="false">
      <c r="A64" s="4" t="n">
        <v>59</v>
      </c>
      <c r="B64" s="5" t="n">
        <f aca="false">Defunciones!E64</f>
        <v>10984</v>
      </c>
      <c r="C64" s="6" t="n">
        <f aca="false">B64*Defunciones!$E$108</f>
        <v>11043.9758952833</v>
      </c>
      <c r="D64" s="6" t="n">
        <f aca="false">IF(AND(Preparación!$J$5=1,$A64&gt;=10,$A64&lt;=97),AVERAGE(C62:C66),C64)</f>
        <v>10772.099431146</v>
      </c>
      <c r="E64" s="5" t="n">
        <f aca="false">Población!D64</f>
        <v>1018143</v>
      </c>
      <c r="F64" s="6" t="n">
        <f aca="false">IF(AND(Preparación!$J$5=1,$A64&gt;=10,$A64&lt;=97),AVERAGE(E62:E66),E64)</f>
        <v>1044904.6</v>
      </c>
      <c r="G64" s="7" t="n">
        <f aca="false">D64/(F64+D64/2)</f>
        <v>0.0102563032757296</v>
      </c>
    </row>
    <row r="65" customFormat="false" ht="15" hidden="false" customHeight="false" outlineLevel="0" collapsed="false">
      <c r="A65" s="4" t="n">
        <v>60</v>
      </c>
      <c r="B65" s="5" t="n">
        <f aca="false">Defunciones!E65</f>
        <v>11209</v>
      </c>
      <c r="C65" s="6" t="n">
        <f aca="false">B65*Defunciones!$E$108</f>
        <v>11270.2044619657</v>
      </c>
      <c r="D65" s="6" t="n">
        <f aca="false">IF(AND(Preparación!$J$5=1,$A65&gt;=10,$A65&lt;=97),AVERAGE(C63:C67),C65)</f>
        <v>11167.2453276178</v>
      </c>
      <c r="E65" s="5" t="n">
        <f aca="false">Población!D65</f>
        <v>1333530</v>
      </c>
      <c r="F65" s="6" t="n">
        <f aca="false">IF(AND(Preparación!$J$5=1,$A65&gt;=10,$A65&lt;=97),AVERAGE(E63:E67),E65)</f>
        <v>1036826.2</v>
      </c>
      <c r="G65" s="7" t="n">
        <f aca="false">D65/(F65+D65/2)</f>
        <v>0.0107129126038746</v>
      </c>
    </row>
    <row r="66" customFormat="false" ht="15" hidden="false" customHeight="false" outlineLevel="0" collapsed="false">
      <c r="A66" s="4" t="n">
        <v>61</v>
      </c>
      <c r="B66" s="5" t="n">
        <f aca="false">Defunciones!E66</f>
        <v>11193</v>
      </c>
      <c r="C66" s="6" t="n">
        <f aca="false">B66*Defunciones!$E$108</f>
        <v>11254.1170972238</v>
      </c>
      <c r="D66" s="6" t="n">
        <f aca="false">IF(AND(Preparación!$J$5=1,$A66&gt;=10,$A66&lt;=97),AVERAGE(C64:C68),C66)</f>
        <v>11536.6514405026</v>
      </c>
      <c r="E66" s="5" t="n">
        <f aca="false">Población!D66</f>
        <v>746362</v>
      </c>
      <c r="F66" s="6" t="n">
        <f aca="false">IF(AND(Preparación!$J$5=1,$A66&gt;=10,$A66&lt;=97),AVERAGE(E64:E68),E66)</f>
        <v>998126.6</v>
      </c>
      <c r="G66" s="7" t="n">
        <f aca="false">D66/(F66+D66/2)</f>
        <v>0.0114918913772032</v>
      </c>
    </row>
    <row r="67" customFormat="false" ht="15" hidden="false" customHeight="false" outlineLevel="0" collapsed="false">
      <c r="A67" s="4" t="n">
        <v>62</v>
      </c>
      <c r="B67" s="5" t="n">
        <f aca="false">Defunciones!E67</f>
        <v>11722</v>
      </c>
      <c r="C67" s="6" t="n">
        <f aca="false">B67*Defunciones!$E$108</f>
        <v>11786.0055940014</v>
      </c>
      <c r="D67" s="6" t="n">
        <f aca="false">IF(AND(Preparación!$J$5=1,$A67&gt;=10,$A67&lt;=97),AVERAGE(C65:C69),C67)</f>
        <v>11848.7463164946</v>
      </c>
      <c r="E67" s="5" t="n">
        <f aca="false">Población!D67</f>
        <v>972778</v>
      </c>
      <c r="F67" s="6" t="n">
        <f aca="false">IF(AND(Preparación!$J$5=1,$A67&gt;=10,$A67&lt;=97),AVERAGE(E65:E69),E67)</f>
        <v>964212.4</v>
      </c>
      <c r="G67" s="7" t="n">
        <f aca="false">D67/(F67+D67/2)</f>
        <v>0.0122134802476577</v>
      </c>
    </row>
    <row r="68" customFormat="false" ht="15" hidden="false" customHeight="false" outlineLevel="0" collapsed="false">
      <c r="A68" s="4" t="n">
        <v>63</v>
      </c>
      <c r="B68" s="5" t="n">
        <f aca="false">Defunciones!E68</f>
        <v>12262</v>
      </c>
      <c r="C68" s="6" t="n">
        <f aca="false">B68*Defunciones!$E$108</f>
        <v>12328.954154039</v>
      </c>
      <c r="D68" s="6" t="n">
        <f aca="false">IF(AND(Preparación!$J$5=1,$A68&gt;=10,$A68&lt;=97),AVERAGE(C66:C70),C68)</f>
        <v>12118.4107679799</v>
      </c>
      <c r="E68" s="5" t="n">
        <f aca="false">Población!D68</f>
        <v>919820</v>
      </c>
      <c r="F68" s="6" t="n">
        <f aca="false">IF(AND(Preparación!$J$5=1,$A68&gt;=10,$A68&lt;=97),AVERAGE(E66:E70),E68)</f>
        <v>894126.6</v>
      </c>
      <c r="G68" s="7" t="n">
        <f aca="false">D68/(F68+D68/2)</f>
        <v>0.0134621215925646</v>
      </c>
    </row>
    <row r="69" customFormat="false" ht="15" hidden="false" customHeight="false" outlineLevel="0" collapsed="false">
      <c r="A69" s="4" t="n">
        <v>64</v>
      </c>
      <c r="B69" s="5" t="n">
        <f aca="false">Defunciones!E69</f>
        <v>12536</v>
      </c>
      <c r="C69" s="6" t="n">
        <f aca="false">B69*Defunciones!$E$108</f>
        <v>12604.4502752432</v>
      </c>
      <c r="D69" s="6" t="n">
        <f aca="false">IF(AND(Preparación!$J$5=1,$A69&gt;=10,$A69&lt;=97),AVERAGE(C67:C71),C69)</f>
        <v>12418.4401204155</v>
      </c>
      <c r="E69" s="5" t="n">
        <f aca="false">Población!D69</f>
        <v>848572</v>
      </c>
      <c r="F69" s="6" t="n">
        <f aca="false">IF(AND(Preparación!$J$5=1,$A69&gt;=10,$A69&lt;=97),AVERAGE(E67:E71),E69)</f>
        <v>880812.2</v>
      </c>
      <c r="G69" s="7" t="n">
        <f aca="false">D69/(F69+D69/2)</f>
        <v>0.0140001581016754</v>
      </c>
    </row>
    <row r="70" customFormat="false" ht="15" hidden="false" customHeight="false" outlineLevel="0" collapsed="false">
      <c r="A70" s="4" t="n">
        <v>65</v>
      </c>
      <c r="B70" s="5" t="n">
        <f aca="false">Defunciones!E70</f>
        <v>12550</v>
      </c>
      <c r="C70" s="6" t="n">
        <f aca="false">B70*Defunciones!$E$108</f>
        <v>12618.5267193924</v>
      </c>
      <c r="D70" s="6" t="n">
        <f aca="false">IF(AND(Preparación!$J$5=1,$A70&gt;=10,$A70&lt;=97),AVERAGE(C68:C72),C70)</f>
        <v>12522.2036230005</v>
      </c>
      <c r="E70" s="5" t="n">
        <f aca="false">Población!D70</f>
        <v>983101</v>
      </c>
      <c r="F70" s="6" t="n">
        <f aca="false">IF(AND(Preparación!$J$5=1,$A70&gt;=10,$A70&lt;=97),AVERAGE(E68:E72),E70)</f>
        <v>819626.8</v>
      </c>
      <c r="G70" s="7" t="n">
        <f aca="false">D70/(F70+D70/2)</f>
        <v>0.0151621104940929</v>
      </c>
    </row>
    <row r="71" customFormat="false" ht="15" hidden="false" customHeight="false" outlineLevel="0" collapsed="false">
      <c r="A71" s="4" t="n">
        <v>66</v>
      </c>
      <c r="B71" s="5" t="n">
        <f aca="false">Defunciones!E71</f>
        <v>12685</v>
      </c>
      <c r="C71" s="6" t="n">
        <f aca="false">B71*Defunciones!$E$108</f>
        <v>12754.2638594018</v>
      </c>
      <c r="D71" s="6" t="n">
        <f aca="false">IF(AND(Preparación!$J$5=1,$A71&gt;=10,$A71&lt;=97),AVERAGE(C69:C73),C71)</f>
        <v>12718.4694728511</v>
      </c>
      <c r="E71" s="5" t="n">
        <f aca="false">Población!D71</f>
        <v>679790</v>
      </c>
      <c r="F71" s="6" t="n">
        <f aca="false">IF(AND(Preparación!$J$5=1,$A71&gt;=10,$A71&lt;=97),AVERAGE(E69:E73),E71)</f>
        <v>786405.4</v>
      </c>
      <c r="G71" s="7" t="n">
        <f aca="false">D71/(F71+D71/2)</f>
        <v>0.0160431847178447</v>
      </c>
    </row>
    <row r="72" customFormat="false" ht="15" hidden="false" customHeight="false" outlineLevel="0" collapsed="false">
      <c r="A72" s="4" t="n">
        <v>67</v>
      </c>
      <c r="B72" s="5" t="n">
        <f aca="false">Defunciones!E72</f>
        <v>12238</v>
      </c>
      <c r="C72" s="6" t="n">
        <f aca="false">B72*Defunciones!$E$108</f>
        <v>12304.8231069262</v>
      </c>
      <c r="D72" s="6" t="n">
        <f aca="false">IF(AND(Preparación!$J$5=1,$A72&gt;=10,$A72&lt;=97),AVERAGE(C70:C74),C72)</f>
        <v>12862.0492031722</v>
      </c>
      <c r="E72" s="5" t="n">
        <f aca="false">Población!D72</f>
        <v>666851</v>
      </c>
      <c r="F72" s="6" t="n">
        <f aca="false">IF(AND(Preparación!$J$5=1,$A72&gt;=10,$A72&lt;=97),AVERAGE(E70:E74),E72)</f>
        <v>729015.4</v>
      </c>
      <c r="G72" s="7" t="n">
        <f aca="false">D72/(F72+D72/2)</f>
        <v>0.0174887643381229</v>
      </c>
    </row>
    <row r="73" customFormat="false" ht="15" hidden="false" customHeight="false" outlineLevel="0" collapsed="false">
      <c r="A73" s="4" t="n">
        <v>68</v>
      </c>
      <c r="B73" s="5" t="n">
        <f aca="false">Defunciones!E73</f>
        <v>13238</v>
      </c>
      <c r="C73" s="6" t="n">
        <f aca="false">B73*Defunciones!$E$108</f>
        <v>13310.2834032921</v>
      </c>
      <c r="D73" s="6" t="n">
        <f aca="false">IF(AND(Preparación!$J$5=1,$A73&gt;=10,$A73&lt;=97),AVERAGE(C71:C75),C73)</f>
        <v>12992.1557655219</v>
      </c>
      <c r="E73" s="5" t="n">
        <f aca="false">Población!D73</f>
        <v>753713</v>
      </c>
      <c r="F73" s="6" t="n">
        <f aca="false">IF(AND(Preparación!$J$5=1,$A73&gt;=10,$A73&lt;=97),AVERAGE(E71:E75),E73)</f>
        <v>675644.4</v>
      </c>
      <c r="G73" s="7" t="n">
        <f aca="false">D73/(F73+D73/2)</f>
        <v>0.0190461586531959</v>
      </c>
    </row>
    <row r="74" customFormat="false" ht="15" hidden="false" customHeight="false" outlineLevel="0" collapsed="false">
      <c r="A74" s="4" t="n">
        <v>69</v>
      </c>
      <c r="B74" s="5" t="n">
        <f aca="false">Defunciones!E74</f>
        <v>13250</v>
      </c>
      <c r="C74" s="6" t="n">
        <f aca="false">B74*Defunciones!$E$108</f>
        <v>13322.3489268485</v>
      </c>
      <c r="D74" s="6" t="n">
        <f aca="false">IF(AND(Preparación!$J$5=1,$A74&gt;=10,$A74&lt;=97),AVERAGE(C72:C76),C74)</f>
        <v>13207.5253610035</v>
      </c>
      <c r="E74" s="5" t="n">
        <f aca="false">Población!D74</f>
        <v>561622</v>
      </c>
      <c r="F74" s="6" t="n">
        <f aca="false">IF(AND(Preparación!$J$5=1,$A74&gt;=10,$A74&lt;=97),AVERAGE(E72:E76),E74)</f>
        <v>622387.8</v>
      </c>
      <c r="G74" s="7" t="n">
        <f aca="false">D74/(F74+D74/2)</f>
        <v>0.0209979372453241</v>
      </c>
    </row>
    <row r="75" customFormat="false" ht="15" hidden="false" customHeight="false" outlineLevel="0" collapsed="false">
      <c r="A75" s="4" t="n">
        <v>70</v>
      </c>
      <c r="B75" s="5" t="n">
        <f aca="false">Defunciones!E75</f>
        <v>13197</v>
      </c>
      <c r="C75" s="6" t="n">
        <f aca="false">B75*Defunciones!$E$108</f>
        <v>13269.0595311411</v>
      </c>
      <c r="D75" s="6" t="n">
        <f aca="false">IF(AND(Preparación!$J$5=1,$A75&gt;=10,$A75&lt;=97),AVERAGE(C73:C77),C75)</f>
        <v>13552.398242657</v>
      </c>
      <c r="E75" s="5" t="n">
        <f aca="false">Población!D75</f>
        <v>716246</v>
      </c>
      <c r="F75" s="6" t="n">
        <f aca="false">IF(AND(Preparación!$J$5=1,$A75&gt;=10,$A75&lt;=97),AVERAGE(E73:E77),E75)</f>
        <v>605019.8</v>
      </c>
      <c r="G75" s="7" t="n">
        <f aca="false">D75/(F75+D75/2)</f>
        <v>0.0221518255466221</v>
      </c>
    </row>
    <row r="76" customFormat="false" ht="15" hidden="false" customHeight="false" outlineLevel="0" collapsed="false">
      <c r="A76" s="4" t="n">
        <v>71</v>
      </c>
      <c r="B76" s="5" t="n">
        <f aca="false">Defunciones!E76</f>
        <v>13756</v>
      </c>
      <c r="C76" s="6" t="n">
        <f aca="false">B76*Defunciones!$E$108</f>
        <v>13831.1118368097</v>
      </c>
      <c r="D76" s="6" t="n">
        <f aca="false">IF(AND(Preparación!$J$5=1,$A76&gt;=10,$A76&lt;=97),AVERAGE(C74:C78),C76)</f>
        <v>13733.1800039436</v>
      </c>
      <c r="E76" s="5" t="n">
        <f aca="false">Población!D76</f>
        <v>413507</v>
      </c>
      <c r="F76" s="6" t="n">
        <f aca="false">IF(AND(Preparación!$J$5=1,$A76&gt;=10,$A76&lt;=97),AVERAGE(E74:E78),E76)</f>
        <v>550362</v>
      </c>
      <c r="G76" s="7" t="n">
        <f aca="false">D76/(F76+D76/2)</f>
        <v>0.024645505005217</v>
      </c>
    </row>
    <row r="77" customFormat="false" ht="15" hidden="false" customHeight="false" outlineLevel="0" collapsed="false">
      <c r="A77" s="4" t="n">
        <v>72</v>
      </c>
      <c r="B77" s="5" t="n">
        <f aca="false">Defunciones!E77</f>
        <v>13953</v>
      </c>
      <c r="C77" s="6" t="n">
        <f aca="false">B77*Defunciones!$E$108</f>
        <v>14029.1875151938</v>
      </c>
      <c r="D77" s="6" t="n">
        <f aca="false">IF(AND(Preparación!$J$5=1,$A77&gt;=10,$A77&lt;=97),AVERAGE(C75:C79),C77)</f>
        <v>13985.7516303907</v>
      </c>
      <c r="E77" s="5" t="n">
        <f aca="false">Población!D77</f>
        <v>580011</v>
      </c>
      <c r="F77" s="6" t="n">
        <f aca="false">IF(AND(Preparación!$J$5=1,$A77&gt;=10,$A77&lt;=97),AVERAGE(E75:E79),E77)</f>
        <v>529468</v>
      </c>
      <c r="G77" s="7" t="n">
        <f aca="false">D77/(F77+D77/2)</f>
        <v>0.0260704037533739</v>
      </c>
    </row>
    <row r="78" customFormat="false" ht="15" hidden="false" customHeight="false" outlineLevel="0" collapsed="false">
      <c r="A78" s="4" t="n">
        <v>73</v>
      </c>
      <c r="B78" s="5" t="n">
        <f aca="false">Defunciones!E78</f>
        <v>14137</v>
      </c>
      <c r="C78" s="6" t="n">
        <f aca="false">B78*Defunciones!$E$108</f>
        <v>14214.1922097251</v>
      </c>
      <c r="D78" s="6" t="n">
        <f aca="false">IF(AND(Preparación!$J$5=1,$A78&gt;=10,$A78&lt;=97),AVERAGE(C76:C80),C78)</f>
        <v>14189.860070553</v>
      </c>
      <c r="E78" s="5" t="n">
        <f aca="false">Población!D78</f>
        <v>480424</v>
      </c>
      <c r="F78" s="6" t="n">
        <f aca="false">IF(AND(Preparación!$J$5=1,$A78&gt;=10,$A78&lt;=97),AVERAGE(E76:E80),E78)</f>
        <v>480241.8</v>
      </c>
      <c r="G78" s="7" t="n">
        <f aca="false">D78/(F78+D78/2)</f>
        <v>0.0291171569799918</v>
      </c>
    </row>
    <row r="79" customFormat="false" ht="15" hidden="false" customHeight="false" outlineLevel="0" collapsed="false">
      <c r="A79" s="4" t="n">
        <v>74</v>
      </c>
      <c r="B79" s="5" t="n">
        <f aca="false">Defunciones!E79</f>
        <v>14506</v>
      </c>
      <c r="C79" s="6" t="n">
        <f aca="false">B79*Defunciones!$E$108</f>
        <v>14585.2070590841</v>
      </c>
      <c r="D79" s="6" t="n">
        <f aca="false">IF(AND(Preparación!$J$5=1,$A79&gt;=10,$A79&lt;=97),AVERAGE(C77:C81),C79)</f>
        <v>14348.5217053196</v>
      </c>
      <c r="E79" s="5" t="n">
        <f aca="false">Población!D79</f>
        <v>457152</v>
      </c>
      <c r="F79" s="6" t="n">
        <f aca="false">IF(AND(Preparación!$J$5=1,$A79&gt;=10,$A79&lt;=97),AVERAGE(E77:E81),E79)</f>
        <v>474273.8</v>
      </c>
      <c r="G79" s="7" t="n">
        <f aca="false">D79/(F79+D79/2)</f>
        <v>0.0298028445267967</v>
      </c>
    </row>
    <row r="80" customFormat="false" ht="15" hidden="false" customHeight="false" outlineLevel="0" collapsed="false">
      <c r="A80" s="4" t="n">
        <v>75</v>
      </c>
      <c r="B80" s="5" t="n">
        <f aca="false">Defunciones!E80</f>
        <v>14212</v>
      </c>
      <c r="C80" s="6" t="n">
        <f aca="false">B80*Defunciones!$E$108</f>
        <v>14289.6017319525</v>
      </c>
      <c r="D80" s="6" t="n">
        <f aca="false">IF(AND(Preparación!$J$5=1,$A80&gt;=10,$A80&lt;=97),AVERAGE(C78:C82),C80)</f>
        <v>14447.2579064227</v>
      </c>
      <c r="E80" s="5" t="n">
        <f aca="false">Población!D80</f>
        <v>470115</v>
      </c>
      <c r="F80" s="6" t="n">
        <f aca="false">IF(AND(Preparación!$J$5=1,$A80&gt;=10,$A80&lt;=97),AVERAGE(E78:E82),E80)</f>
        <v>421755</v>
      </c>
      <c r="G80" s="7" t="n">
        <f aca="false">D80/(F80+D80/2)</f>
        <v>0.033678269571789</v>
      </c>
    </row>
    <row r="81" customFormat="false" ht="15" hidden="false" customHeight="false" outlineLevel="0" collapsed="false">
      <c r="A81" s="4" t="n">
        <v>76</v>
      </c>
      <c r="B81" s="5" t="n">
        <f aca="false">Defunciones!E81</f>
        <v>14545</v>
      </c>
      <c r="C81" s="6" t="n">
        <f aca="false">B81*Defunciones!$E$108</f>
        <v>14624.4200106424</v>
      </c>
      <c r="D81" s="6" t="n">
        <f aca="false">IF(AND(Preparación!$J$5=1,$A81&gt;=10,$A81&lt;=97),AVERAGE(C79:C83),C81)</f>
        <v>14673.8886572236</v>
      </c>
      <c r="E81" s="5" t="n">
        <f aca="false">Población!D81</f>
        <v>383667</v>
      </c>
      <c r="F81" s="6" t="n">
        <f aca="false">IF(AND(Preparación!$J$5=1,$A81&gt;=10,$A81&lt;=97),AVERAGE(E79:E83),E81)</f>
        <v>398249.8</v>
      </c>
      <c r="G81" s="7" t="n">
        <f aca="false">D81/(F81+D81/2)</f>
        <v>0.0361794088747008</v>
      </c>
    </row>
    <row r="82" customFormat="false" ht="15" hidden="false" customHeight="false" outlineLevel="0" collapsed="false">
      <c r="A82" s="4" t="n">
        <v>77</v>
      </c>
      <c r="B82" s="5" t="n">
        <f aca="false">Defunciones!E82</f>
        <v>14444</v>
      </c>
      <c r="C82" s="6" t="n">
        <f aca="false">B82*Defunciones!$E$108</f>
        <v>14522.8685207094</v>
      </c>
      <c r="D82" s="6" t="n">
        <f aca="false">IF(AND(Preparación!$J$5=1,$A82&gt;=10,$A82&lt;=97),AVERAGE(C80:C84),C82)</f>
        <v>14866.7359420666</v>
      </c>
      <c r="E82" s="5" t="n">
        <f aca="false">Población!D82</f>
        <v>317417</v>
      </c>
      <c r="F82" s="6" t="n">
        <f aca="false">IF(AND(Preparación!$J$5=1,$A82&gt;=10,$A82&lt;=97),AVERAGE(E80:E84),E82)</f>
        <v>362916.4</v>
      </c>
      <c r="G82" s="7" t="n">
        <f aca="false">D82/(F82+D82/2)</f>
        <v>0.0401424200250326</v>
      </c>
    </row>
    <row r="83" customFormat="false" ht="15" hidden="false" customHeight="false" outlineLevel="0" collapsed="false">
      <c r="A83" s="4" t="n">
        <v>78</v>
      </c>
      <c r="B83" s="5" t="n">
        <f aca="false">Defunciones!E83</f>
        <v>15264</v>
      </c>
      <c r="C83" s="6" t="n">
        <f aca="false">B83*Defunciones!$E$108</f>
        <v>15347.3459637295</v>
      </c>
      <c r="D83" s="6" t="n">
        <f aca="false">IF(AND(Preparación!$J$5=1,$A83&gt;=10,$A83&lt;=97),AVERAGE(C81:C85),C83)</f>
        <v>15063.605068095</v>
      </c>
      <c r="E83" s="5" t="n">
        <f aca="false">Población!D83</f>
        <v>362898</v>
      </c>
      <c r="F83" s="6" t="n">
        <f aca="false">IF(AND(Preparación!$J$5=1,$A83&gt;=10,$A83&lt;=97),AVERAGE(E81:E85),E83)</f>
        <v>338693.8</v>
      </c>
      <c r="G83" s="7" t="n">
        <f aca="false">D83/(F83+D83/2)</f>
        <v>0.0435080622514439</v>
      </c>
    </row>
    <row r="84" customFormat="false" ht="15" hidden="false" customHeight="false" outlineLevel="0" collapsed="false">
      <c r="A84" s="4" t="n">
        <v>79</v>
      </c>
      <c r="B84" s="5" t="n">
        <f aca="false">Defunciones!E84</f>
        <v>15465</v>
      </c>
      <c r="C84" s="6" t="n">
        <f aca="false">B84*Defunciones!$E$108</f>
        <v>15549.443483299</v>
      </c>
      <c r="D84" s="6" t="n">
        <f aca="false">IF(AND(Preparación!$J$5=1,$A84&gt;=10,$A84&lt;=97),AVERAGE(C82:C86),C84)</f>
        <v>15153.0910344716</v>
      </c>
      <c r="E84" s="5" t="n">
        <f aca="false">Población!D84</f>
        <v>280485</v>
      </c>
      <c r="F84" s="6" t="n">
        <f aca="false">IF(AND(Preparación!$J$5=1,$A84&gt;=10,$A84&lt;=97),AVERAGE(E82:E86),E84)</f>
        <v>298301.2</v>
      </c>
      <c r="G84" s="7" t="n">
        <f aca="false">D84/(F84+D84/2)</f>
        <v>0.0495396976620443</v>
      </c>
    </row>
    <row r="85" customFormat="false" ht="15" hidden="false" customHeight="false" outlineLevel="0" collapsed="false">
      <c r="A85" s="4" t="n">
        <v>80</v>
      </c>
      <c r="B85" s="5" t="n">
        <f aca="false">Defunciones!E85</f>
        <v>15191</v>
      </c>
      <c r="C85" s="6" t="n">
        <f aca="false">B85*Defunciones!$E$108</f>
        <v>15273.9473620948</v>
      </c>
      <c r="D85" s="6" t="n">
        <f aca="false">IF(AND(Preparación!$J$5=1,$A85&gt;=10,$A85&lt;=97),AVERAGE(C83:C87),C85)</f>
        <v>15361.4224078786</v>
      </c>
      <c r="E85" s="5" t="n">
        <f aca="false">Población!D85</f>
        <v>349002</v>
      </c>
      <c r="F85" s="6" t="n">
        <f aca="false">IF(AND(Preparación!$J$5=1,$A85&gt;=10,$A85&lt;=97),AVERAGE(E83:E87),E85)</f>
        <v>280827.8</v>
      </c>
      <c r="G85" s="7" t="n">
        <f aca="false">D85/(F85+D85/2)</f>
        <v>0.0532442607802998</v>
      </c>
    </row>
    <row r="86" customFormat="false" ht="15" hidden="false" customHeight="false" outlineLevel="0" collapsed="false">
      <c r="A86" s="4" t="n">
        <v>81</v>
      </c>
      <c r="B86" s="5" t="n">
        <f aca="false">Defunciones!E86</f>
        <v>14990</v>
      </c>
      <c r="C86" s="6" t="n">
        <f aca="false">B86*Defunciones!$E$108</f>
        <v>15071.8498425252</v>
      </c>
      <c r="D86" s="6" t="n">
        <f aca="false">IF(AND(Preparación!$J$5=1,$A86&gt;=10,$A86&lt;=97),AVERAGE(C84:C88),C86)</f>
        <v>15503.5944937847</v>
      </c>
      <c r="E86" s="5" t="n">
        <f aca="false">Población!D86</f>
        <v>181704</v>
      </c>
      <c r="F86" s="6" t="n">
        <f aca="false">IF(AND(Preparación!$J$5=1,$A86&gt;=10,$A86&lt;=97),AVERAGE(E84:E88),E86)</f>
        <v>250322</v>
      </c>
      <c r="G86" s="7" t="n">
        <f aca="false">D86/(F86+D86/2)</f>
        <v>0.0600742681325097</v>
      </c>
    </row>
    <row r="87" customFormat="false" ht="15" hidden="false" customHeight="false" outlineLevel="0" collapsed="false">
      <c r="A87" s="4" t="n">
        <v>82</v>
      </c>
      <c r="B87" s="5" t="n">
        <f aca="false">Defunciones!E87</f>
        <v>15480</v>
      </c>
      <c r="C87" s="6" t="n">
        <f aca="false">B87*Defunciones!$E$108</f>
        <v>15564.5253877445</v>
      </c>
      <c r="D87" s="6" t="n">
        <f aca="false">IF(AND(Preparación!$J$5=1,$A87&gt;=10,$A87&lt;=97),AVERAGE(C85:C89),C87)</f>
        <v>15526.7200806012</v>
      </c>
      <c r="E87" s="5" t="n">
        <f aca="false">Población!D87</f>
        <v>230050</v>
      </c>
      <c r="F87" s="6" t="n">
        <f aca="false">IF(AND(Preparación!$J$5=1,$A87&gt;=10,$A87&lt;=97),AVERAGE(E85:E89),E87)</f>
        <v>235072.8</v>
      </c>
      <c r="G87" s="7" t="n">
        <f aca="false">D87/(F87+D87/2)</f>
        <v>0.0639390775987579</v>
      </c>
    </row>
    <row r="88" customFormat="false" ht="15" hidden="false" customHeight="false" outlineLevel="0" collapsed="false">
      <c r="A88" s="4" t="n">
        <v>83</v>
      </c>
      <c r="B88" s="5" t="n">
        <f aca="false">Defunciones!E88</f>
        <v>15971</v>
      </c>
      <c r="C88" s="6" t="n">
        <f aca="false">B88*Defunciones!$E$108</f>
        <v>16058.2063932602</v>
      </c>
      <c r="D88" s="6" t="n">
        <f aca="false">IF(AND(Preparación!$J$5=1,$A88&gt;=10,$A88&lt;=97),AVERAGE(C86:C90),C88)</f>
        <v>15402.6462800296</v>
      </c>
      <c r="E88" s="5" t="n">
        <f aca="false">Población!D88</f>
        <v>210369</v>
      </c>
      <c r="F88" s="6" t="n">
        <f aca="false">IF(AND(Preparación!$J$5=1,$A88&gt;=10,$A88&lt;=97),AVERAGE(E86:E90),E88)</f>
        <v>203226.2</v>
      </c>
      <c r="G88" s="7" t="n">
        <f aca="false">D88/(F88+D88/2)</f>
        <v>0.073023406574614</v>
      </c>
    </row>
    <row r="89" customFormat="false" ht="15" hidden="false" customHeight="false" outlineLevel="0" collapsed="false">
      <c r="A89" s="4" t="n">
        <v>84</v>
      </c>
      <c r="B89" s="5" t="n">
        <f aca="false">Defunciones!E89</f>
        <v>15580</v>
      </c>
      <c r="C89" s="6" t="n">
        <f aca="false">B89*Defunciones!$E$108</f>
        <v>15665.0714173811</v>
      </c>
      <c r="D89" s="6" t="n">
        <f aca="false">IF(AND(Preparación!$J$5=1,$A89&gt;=10,$A89&lt;=97),AVERAGE(C87:C91),C89)</f>
        <v>15208.1902587124</v>
      </c>
      <c r="E89" s="5" t="n">
        <f aca="false">Población!D89</f>
        <v>204239</v>
      </c>
      <c r="F89" s="6" t="n">
        <f aca="false">IF(AND(Preparación!$J$5=1,$A89&gt;=10,$A89&lt;=97),AVERAGE(E87:E91),E89)</f>
        <v>197018.4</v>
      </c>
      <c r="G89" s="7" t="n">
        <f aca="false">D89/(F89+D89/2)</f>
        <v>0.074323159089123</v>
      </c>
    </row>
    <row r="90" customFormat="false" ht="15" hidden="false" customHeight="false" outlineLevel="0" collapsed="false">
      <c r="A90" s="4" t="n">
        <v>85</v>
      </c>
      <c r="B90" s="5" t="n">
        <f aca="false">Defunciones!E90</f>
        <v>14574</v>
      </c>
      <c r="C90" s="6" t="n">
        <f aca="false">B90*Defunciones!$E$108</f>
        <v>14653.578359237</v>
      </c>
      <c r="D90" s="6" t="n">
        <f aca="false">IF(AND(Preparación!$J$5=1,$A90&gt;=10,$A90&lt;=97),AVERAGE(C88:C92),C90)</f>
        <v>14733.2108147092</v>
      </c>
      <c r="E90" s="5" t="n">
        <f aca="false">Población!D90</f>
        <v>189769</v>
      </c>
      <c r="F90" s="6" t="n">
        <f aca="false">IF(AND(Preparación!$J$5=1,$A90&gt;=10,$A90&lt;=97),AVERAGE(E88:E92),E90)</f>
        <v>175759</v>
      </c>
      <c r="G90" s="7" t="n">
        <f aca="false">D90/(F90+D90/2)</f>
        <v>0.0804541275477878</v>
      </c>
    </row>
    <row r="91" customFormat="false" ht="15" hidden="false" customHeight="false" outlineLevel="0" collapsed="false">
      <c r="A91" s="4" t="n">
        <v>86</v>
      </c>
      <c r="B91" s="5" t="n">
        <f aca="false">Defunciones!E91</f>
        <v>14023</v>
      </c>
      <c r="C91" s="6" t="n">
        <f aca="false">B91*Defunciones!$E$108</f>
        <v>14099.5697359394</v>
      </c>
      <c r="D91" s="6" t="n">
        <f aca="false">IF(AND(Preparación!$J$5=1,$A91&gt;=10,$A91&lt;=97),AVERAGE(C89:C93),C91)</f>
        <v>14305.2869125758</v>
      </c>
      <c r="E91" s="5" t="n">
        <f aca="false">Población!D91</f>
        <v>150665</v>
      </c>
      <c r="F91" s="6" t="n">
        <f aca="false">IF(AND(Preparación!$J$5=1,$A91&gt;=10,$A91&lt;=97),AVERAGE(E89:E93),E91)</f>
        <v>154056.2</v>
      </c>
      <c r="G91" s="7" t="n">
        <f aca="false">D91/(F91+D91/2)</f>
        <v>0.0887376064853089</v>
      </c>
    </row>
    <row r="92" customFormat="false" ht="15" hidden="false" customHeight="false" outlineLevel="0" collapsed="false">
      <c r="A92" s="4" t="n">
        <v>87</v>
      </c>
      <c r="B92" s="5" t="n">
        <f aca="false">Defunciones!E92</f>
        <v>13118</v>
      </c>
      <c r="C92" s="6" t="n">
        <f aca="false">B92*Defunciones!$E$108</f>
        <v>13189.6281677282</v>
      </c>
      <c r="D92" s="6" t="n">
        <f aca="false">IF(AND(Preparación!$J$5=1,$A92&gt;=10,$A92&lt;=97),AVERAGE(C90:C94),C92)</f>
        <v>13788.4803202437</v>
      </c>
      <c r="E92" s="5" t="n">
        <f aca="false">Población!D92</f>
        <v>123753</v>
      </c>
      <c r="F92" s="6" t="n">
        <f aca="false">IF(AND(Preparación!$J$5=1,$A92&gt;=10,$A92&lt;=97),AVERAGE(E90:E94),E92)</f>
        <v>131849</v>
      </c>
      <c r="G92" s="7" t="n">
        <f aca="false">D92/(F92+D92/2)</f>
        <v>0.0993812765532262</v>
      </c>
    </row>
    <row r="93" customFormat="false" ht="15" hidden="false" customHeight="false" outlineLevel="0" collapsed="false">
      <c r="A93" s="4" t="n">
        <v>88</v>
      </c>
      <c r="B93" s="5" t="n">
        <f aca="false">Defunciones!E93</f>
        <v>13843</v>
      </c>
      <c r="C93" s="6" t="n">
        <f aca="false">B93*Defunciones!$E$108</f>
        <v>13918.5868825935</v>
      </c>
      <c r="D93" s="6" t="n">
        <f aca="false">IF(AND(Preparación!$J$5=1,$A93&gt;=10,$A93&lt;=97),AVERAGE(C91:C95),C93)</f>
        <v>12917.7517035909</v>
      </c>
      <c r="E93" s="5" t="n">
        <f aca="false">Población!D93</f>
        <v>101855</v>
      </c>
      <c r="F93" s="6" t="n">
        <f aca="false">IF(AND(Preparación!$J$5=1,$A93&gt;=10,$A93&lt;=97),AVERAGE(E91:E95),E93)</f>
        <v>113147</v>
      </c>
      <c r="G93" s="7" t="n">
        <f aca="false">D93/(F93+D93/2)</f>
        <v>0.108002651304501</v>
      </c>
    </row>
    <row r="94" customFormat="false" ht="15" hidden="false" customHeight="false" outlineLevel="0" collapsed="false">
      <c r="A94" s="4" t="n">
        <v>89</v>
      </c>
      <c r="B94" s="5" t="n">
        <f aca="false">Defunciones!E94</f>
        <v>13010</v>
      </c>
      <c r="C94" s="6" t="n">
        <f aca="false">B94*Defunciones!$E$108</f>
        <v>13081.0384557207</v>
      </c>
      <c r="D94" s="6" t="n">
        <f aca="false">IF(AND(Preparación!$J$5=1,$A94&gt;=10,$A94&lt;=97),AVERAGE(C92:C96),C94)</f>
        <v>11986.695469156</v>
      </c>
      <c r="E94" s="5" t="n">
        <f aca="false">Población!D94</f>
        <v>93203</v>
      </c>
      <c r="F94" s="6" t="n">
        <f aca="false">IF(AND(Preparación!$J$5=1,$A94&gt;=10,$A94&lt;=97),AVERAGE(E92:E96),E94)</f>
        <v>91471</v>
      </c>
      <c r="G94" s="7" t="n">
        <f aca="false">D94/(F94+D94/2)</f>
        <v>0.122985437729487</v>
      </c>
    </row>
    <row r="95" customFormat="false" ht="15" hidden="false" customHeight="false" outlineLevel="0" collapsed="false">
      <c r="A95" s="4" t="n">
        <v>90</v>
      </c>
      <c r="B95" s="5" t="n">
        <f aca="false">Defunciones!E95</f>
        <v>10244</v>
      </c>
      <c r="C95" s="6" t="n">
        <f aca="false">B95*Defunciones!$E$108</f>
        <v>10299.9352759725</v>
      </c>
      <c r="D95" s="6" t="n">
        <f aca="false">IF(AND(Preparación!$J$5=1,$A95&gt;=10,$A95&lt;=97),AVERAGE(C93:C97),C95)</f>
        <v>11043.5737111648</v>
      </c>
      <c r="E95" s="5" t="n">
        <f aca="false">Población!D95</f>
        <v>96259</v>
      </c>
      <c r="F95" s="6" t="n">
        <f aca="false">IF(AND(Preparación!$J$5=1,$A95&gt;=10,$A95&lt;=97),AVERAGE(E93:E97),E95)</f>
        <v>76809.2</v>
      </c>
      <c r="G95" s="7" t="n">
        <f aca="false">D95/(F95+D95/2)</f>
        <v>0.134136297072892</v>
      </c>
    </row>
    <row r="96" customFormat="false" ht="15" hidden="false" customHeight="false" outlineLevel="0" collapsed="false">
      <c r="A96" s="4" t="n">
        <v>91</v>
      </c>
      <c r="B96" s="5" t="n">
        <f aca="false">Defunciones!E96</f>
        <v>9393</v>
      </c>
      <c r="C96" s="6" t="n">
        <f aca="false">B96*Defunciones!$E$108</f>
        <v>9444.28856376513</v>
      </c>
      <c r="D96" s="6" t="n">
        <f aca="false">IF(AND(Preparación!$J$5=1,$A96&gt;=10,$A96&lt;=97),AVERAGE(C94:C98),C96)</f>
        <v>9892.52276388506</v>
      </c>
      <c r="E96" s="5" t="n">
        <f aca="false">Población!D96</f>
        <v>42285</v>
      </c>
      <c r="F96" s="6" t="n">
        <f aca="false">IF(AND(Preparación!$J$5=1,$A96&gt;=10,$A96&lt;=97),AVERAGE(E94:E98),E96)</f>
        <v>64788.8</v>
      </c>
      <c r="G96" s="7" t="n">
        <f aca="false">D96/(F96+D96/2)</f>
        <v>0.141858665753561</v>
      </c>
    </row>
    <row r="97" customFormat="false" ht="15" hidden="false" customHeight="false" outlineLevel="0" collapsed="false">
      <c r="A97" s="4" t="n">
        <v>92</v>
      </c>
      <c r="B97" s="5" t="n">
        <f aca="false">Defunciones!E97</f>
        <v>8428</v>
      </c>
      <c r="C97" s="6" t="n">
        <f aca="false">B97*Defunciones!$E$108</f>
        <v>8474.01937777202</v>
      </c>
      <c r="D97" s="6" t="n">
        <f aca="false">IF(AND(Preparación!$J$5=1,$A97&gt;=10,$A97&lt;=97),AVERAGE(C95:C99),C97)</f>
        <v>8647.96400904332</v>
      </c>
      <c r="E97" s="5" t="n">
        <f aca="false">Población!D97</f>
        <v>50444</v>
      </c>
      <c r="F97" s="6" t="n">
        <f aca="false">IF(AND(Preparación!$J$5=1,$A97&gt;=10,$A97&lt;=97),AVERAGE(E95:E99),E97)</f>
        <v>53361.2</v>
      </c>
      <c r="G97" s="7" t="n">
        <f aca="false">D97/(F97+D97/2)</f>
        <v>0.149916559305741</v>
      </c>
    </row>
    <row r="98" customFormat="false" ht="15" hidden="false" customHeight="false" outlineLevel="0" collapsed="false">
      <c r="A98" s="4" t="n">
        <v>93</v>
      </c>
      <c r="B98" s="5" t="n">
        <f aca="false">Defunciones!E98</f>
        <v>8119</v>
      </c>
      <c r="C98" s="6" t="n">
        <f aca="false">B98*Defunciones!$E$108</f>
        <v>8163.33214619494</v>
      </c>
      <c r="D98" s="6" t="n">
        <f aca="false">IF(AND(Preparación!$J$5=1,$A98&gt;=10,$A98&lt;=97),AVERAGE(C96:C100),C98)</f>
        <v>7690.36362278441</v>
      </c>
      <c r="E98" s="5" t="n">
        <f aca="false">Población!D98</f>
        <v>41753</v>
      </c>
      <c r="F98" s="6" t="n">
        <f aca="false">IF(AND(Preparación!$J$5=1,$A98&gt;=10,$A98&lt;=97),AVERAGE(E96:E100),E98)</f>
        <v>40092.8</v>
      </c>
      <c r="G98" s="7" t="n">
        <f aca="false">D98/(F98+D98/2)</f>
        <v>0.175027693711468</v>
      </c>
    </row>
    <row r="99" customFormat="false" ht="15" hidden="false" customHeight="false" outlineLevel="0" collapsed="false">
      <c r="A99" s="4" t="n">
        <v>94</v>
      </c>
      <c r="B99" s="5" t="n">
        <f aca="false">Defunciones!E99</f>
        <v>6821</v>
      </c>
      <c r="C99" s="6" t="n">
        <f aca="false">B99*Defunciones!$E$108</f>
        <v>6858.24468151197</v>
      </c>
      <c r="D99" s="6" t="n">
        <f aca="false">IF(AND(Preparación!$J$5=1,$A99&gt;=10,$A99&lt;=97),AVERAGE(C97:C101),C99)</f>
        <v>6727.5348429844</v>
      </c>
      <c r="E99" s="5" t="n">
        <f aca="false">Población!D99</f>
        <v>36065</v>
      </c>
      <c r="F99" s="6" t="n">
        <f aca="false">IF(AND(Preparación!$J$5=1,$A99&gt;=10,$A99&lt;=97),AVERAGE(E97:E101),E99)</f>
        <v>36176.6</v>
      </c>
      <c r="G99" s="7" t="n">
        <f aca="false">D99/(F99+D99/2)</f>
        <v>0.170143457982326</v>
      </c>
    </row>
    <row r="100" customFormat="false" ht="15" hidden="false" customHeight="false" outlineLevel="0" collapsed="false">
      <c r="A100" s="4" t="n">
        <v>95</v>
      </c>
      <c r="B100" s="5" t="n">
        <f aca="false">Defunciones!E100</f>
        <v>5482</v>
      </c>
      <c r="C100" s="6" t="n">
        <f aca="false">B100*Defunciones!$E$108</f>
        <v>5511.933344678</v>
      </c>
      <c r="D100" s="6" t="n">
        <f aca="false">IF(AND(Preparación!$J$5=1,$A100&gt;=10,$A100&lt;=97),AVERAGE(C98:C102),C100)</f>
        <v>5720.46581014429</v>
      </c>
      <c r="E100" s="5" t="n">
        <f aca="false">Población!D100</f>
        <v>29917</v>
      </c>
      <c r="F100" s="6" t="n">
        <f aca="false">IF(AND(Preparación!$J$5=1,$A100&gt;=10,$A100&lt;=97),AVERAGE(E98:E102),E100)</f>
        <v>29395</v>
      </c>
      <c r="G100" s="7" t="n">
        <f aca="false">D100/(F100+D100/2)</f>
        <v>0.177350007888015</v>
      </c>
    </row>
    <row r="101" customFormat="false" ht="15" hidden="false" customHeight="false" outlineLevel="0" collapsed="false">
      <c r="A101" s="4" t="n">
        <v>96</v>
      </c>
      <c r="B101" s="5" t="n">
        <f aca="false">Defunciones!E101</f>
        <v>4605</v>
      </c>
      <c r="C101" s="6" t="n">
        <f aca="false">B101*Defunciones!$E$108</f>
        <v>4630.14466476509</v>
      </c>
      <c r="D101" s="6" t="n">
        <f aca="false">IF(AND(Preparación!$J$5=1,$A101&gt;=10,$A101&lt;=97),AVERAGE(C99:C103),C101)</f>
        <v>4673.98273368664</v>
      </c>
      <c r="E101" s="5" t="n">
        <f aca="false">Población!D101</f>
        <v>22704</v>
      </c>
      <c r="F101" s="6" t="n">
        <f aca="false">IF(AND(Preparación!$J$5=1,$A101&gt;=10,$A101&lt;=97),AVERAGE(E99:E103),E101)</f>
        <v>24134.8</v>
      </c>
      <c r="G101" s="7" t="n">
        <f aca="false">D101/(F101+D101/2)</f>
        <v>0.17656465589786</v>
      </c>
    </row>
    <row r="102" customFormat="false" ht="15" hidden="false" customHeight="false" outlineLevel="0" collapsed="false">
      <c r="A102" s="4" t="n">
        <v>97</v>
      </c>
      <c r="B102" s="5" t="n">
        <f aca="false">Defunciones!E102</f>
        <v>3420</v>
      </c>
      <c r="C102" s="6" t="n">
        <f aca="false">B102*Defunciones!$E$108</f>
        <v>3438.67421357146</v>
      </c>
      <c r="D102" s="6" t="n">
        <f aca="false">IF(AND(Preparación!$J$5=1,$A102&gt;=10,$A102&lt;=97),AVERAGE(C100:C104),C102)</f>
        <v>3732.67080422886</v>
      </c>
      <c r="E102" s="5" t="n">
        <f aca="false">Población!D102</f>
        <v>16536</v>
      </c>
      <c r="F102" s="6" t="n">
        <f aca="false">IF(AND(Preparación!$J$5=1,$A102&gt;=10,$A102&lt;=97),AVERAGE(E100:E104),E102)</f>
        <v>19041</v>
      </c>
      <c r="G102" s="7" t="n">
        <f aca="false">D102/(F102+D102/2)</f>
        <v>0.17853402800681</v>
      </c>
    </row>
    <row r="103" customFormat="false" ht="15" hidden="false" customHeight="false" outlineLevel="0" collapsed="false">
      <c r="A103" s="4" t="n">
        <v>98</v>
      </c>
      <c r="B103" s="5" t="n">
        <f aca="false">Defunciones!E103</f>
        <v>2915</v>
      </c>
      <c r="C103" s="6" t="n">
        <f aca="false">B103*Defunciones!$E$108</f>
        <v>2930.91676390667</v>
      </c>
      <c r="D103" s="6" t="n">
        <f aca="false">IF(AND(Preparación!$J$5=1,$A103&gt;=10,$A103&lt;=97),AVERAGE(C101:C105),C103)</f>
        <v>2930.91676390667</v>
      </c>
      <c r="E103" s="5" t="n">
        <f aca="false">Población!D103</f>
        <v>15452</v>
      </c>
      <c r="F103" s="6" t="n">
        <f aca="false">IF(AND(Preparación!$J$5=1,$A103&gt;=10,$A103&lt;=97),AVERAGE(E101:E105),E103)</f>
        <v>15452</v>
      </c>
      <c r="G103" s="7" t="n">
        <f aca="false">D103/(F103+D103/2)</f>
        <v>0.173248055218107</v>
      </c>
    </row>
    <row r="104" customFormat="false" ht="15" hidden="false" customHeight="false" outlineLevel="0" collapsed="false">
      <c r="A104" s="4" t="n">
        <v>99</v>
      </c>
      <c r="B104" s="5" t="n">
        <f aca="false">Defunciones!E104</f>
        <v>2140</v>
      </c>
      <c r="C104" s="6" t="n">
        <f aca="false">B104*Defunciones!$E$108</f>
        <v>2151.68503422308</v>
      </c>
      <c r="D104" s="6" t="n">
        <f aca="false">IF(AND(Preparación!$J$5=1,$A104&gt;=10,$A104&lt;=97),AVERAGE(C102:C106),C104)</f>
        <v>2151.68503422308</v>
      </c>
      <c r="E104" s="5" t="n">
        <f aca="false">Población!D104</f>
        <v>10596</v>
      </c>
      <c r="F104" s="6" t="n">
        <f aca="false">IF(AND(Preparación!$J$5=1,$A104&gt;=10,$A104&lt;=97),AVERAGE(E102:E106),E104)</f>
        <v>10596</v>
      </c>
      <c r="G104" s="7" t="n">
        <f aca="false">D104/(F104+D104/2)</f>
        <v>0.184348360686721</v>
      </c>
    </row>
    <row r="105" customFormat="false" ht="15" hidden="false" customHeight="false" outlineLevel="0" collapsed="false">
      <c r="A105" s="10" t="n">
        <v>100</v>
      </c>
      <c r="B105" s="5" t="n">
        <f aca="false">Defunciones!E105</f>
        <v>4282</v>
      </c>
      <c r="C105" s="6" t="n">
        <f aca="false">B105*Defunciones!$E$108</f>
        <v>4305.38098903889</v>
      </c>
      <c r="D105" s="6" t="n">
        <f aca="false">IF(AND(Preparación!$J$5=1,$A105&gt;=10,$A105&lt;=97),AVERAGE(C103:C107),C105)</f>
        <v>4305.38098903889</v>
      </c>
      <c r="E105" s="5" t="n">
        <f aca="false">Población!D105</f>
        <v>18295</v>
      </c>
      <c r="F105" s="6" t="n">
        <f aca="false">IF(AND(Preparación!$J$5=1,$A105&gt;=10,$A105&lt;=97),AVERAGE(E103:E107),E105)</f>
        <v>18295</v>
      </c>
      <c r="G105" s="11" t="n">
        <v>1</v>
      </c>
    </row>
    <row r="107" customFormat="false" ht="15" hidden="false" customHeight="false" outlineLevel="0" collapsed="false">
      <c r="A107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"/>
    <col collapsed="false" customWidth="true" hidden="false" outlineLevel="0" max="7" min="7" style="0" width="58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6.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31.5" hidden="false" customHeight="true" outlineLevel="0" collapsed="false">
      <c r="A4" s="3" t="s">
        <v>2</v>
      </c>
      <c r="B4" s="3" t="s">
        <v>14</v>
      </c>
      <c r="C4" s="3" t="s">
        <v>15</v>
      </c>
      <c r="D4" s="3" t="s">
        <v>16</v>
      </c>
      <c r="E4" s="3" t="s">
        <v>17</v>
      </c>
      <c r="G4" s="3" t="s">
        <v>18</v>
      </c>
      <c r="H4" s="3" t="s">
        <v>19</v>
      </c>
      <c r="I4" s="3" t="s">
        <v>20</v>
      </c>
    </row>
    <row r="5" customFormat="false" ht="15" hidden="false" customHeight="false" outlineLevel="0" collapsed="false">
      <c r="A5" s="4" t="n">
        <v>0</v>
      </c>
      <c r="B5" s="12" t="n">
        <v>12712</v>
      </c>
      <c r="C5" s="12" t="n">
        <v>9991</v>
      </c>
      <c r="D5" s="12" t="n">
        <v>93</v>
      </c>
      <c r="E5" s="13" t="n">
        <f aca="false">SUM(B5:D5)</f>
        <v>22796</v>
      </c>
      <c r="G5" s="14" t="s">
        <v>21</v>
      </c>
      <c r="H5" s="14" t="n">
        <v>2019</v>
      </c>
      <c r="I5" s="12" t="n">
        <v>729057</v>
      </c>
    </row>
    <row r="6" customFormat="false" ht="15" hidden="false" customHeight="false" outlineLevel="0" collapsed="false">
      <c r="A6" s="4" t="n">
        <v>1</v>
      </c>
      <c r="B6" s="12" t="n">
        <v>1120</v>
      </c>
      <c r="C6" s="12" t="n">
        <v>1011</v>
      </c>
      <c r="D6" s="12" t="n">
        <v>0</v>
      </c>
      <c r="E6" s="13" t="n">
        <f aca="false">SUM(B6:D6)</f>
        <v>2131</v>
      </c>
      <c r="G6" s="14" t="s">
        <v>22</v>
      </c>
      <c r="H6" s="14" t="n">
        <v>2020</v>
      </c>
      <c r="I6" s="12" t="n">
        <v>14425</v>
      </c>
    </row>
    <row r="7" customFormat="false" ht="15" hidden="false" customHeight="false" outlineLevel="0" collapsed="false">
      <c r="A7" s="4" t="n">
        <v>2</v>
      </c>
      <c r="B7" s="12" t="n">
        <v>609</v>
      </c>
      <c r="C7" s="12" t="n">
        <v>500</v>
      </c>
      <c r="D7" s="12" t="n">
        <v>1</v>
      </c>
      <c r="E7" s="13" t="n">
        <f aca="false">SUM(B7:D7)</f>
        <v>1110</v>
      </c>
      <c r="G7" s="14" t="s">
        <v>23</v>
      </c>
      <c r="H7" s="14" t="n">
        <v>2021</v>
      </c>
      <c r="I7" s="12" t="n">
        <v>997</v>
      </c>
    </row>
    <row r="8" customFormat="false" ht="15" hidden="false" customHeight="false" outlineLevel="0" collapsed="false">
      <c r="A8" s="4" t="n">
        <v>3</v>
      </c>
      <c r="B8" s="12" t="n">
        <v>418</v>
      </c>
      <c r="C8" s="12" t="n">
        <v>341</v>
      </c>
      <c r="D8" s="12" t="n">
        <v>0</v>
      </c>
      <c r="E8" s="13" t="n">
        <f aca="false">SUM(B8:D8)</f>
        <v>759</v>
      </c>
      <c r="G8" s="15" t="s">
        <v>17</v>
      </c>
      <c r="I8" s="16" t="n">
        <f aca="false">SUM(I5:I7)</f>
        <v>744479</v>
      </c>
    </row>
    <row r="9" customFormat="false" ht="15" hidden="false" customHeight="false" outlineLevel="0" collapsed="false">
      <c r="A9" s="4" t="n">
        <v>4</v>
      </c>
      <c r="B9" s="12" t="n">
        <v>337</v>
      </c>
      <c r="C9" s="12" t="n">
        <v>295</v>
      </c>
      <c r="D9" s="12" t="n">
        <v>0</v>
      </c>
      <c r="E9" s="13" t="n">
        <f aca="false">SUM(B9:D9)</f>
        <v>632</v>
      </c>
      <c r="G9" s="2" t="s">
        <v>24</v>
      </c>
      <c r="I9" s="17" t="n">
        <f aca="false">I8-E107</f>
        <v>0</v>
      </c>
    </row>
    <row r="10" customFormat="false" ht="15" hidden="false" customHeight="false" outlineLevel="0" collapsed="false">
      <c r="A10" s="4" t="n">
        <v>5</v>
      </c>
      <c r="B10" s="12" t="n">
        <v>287</v>
      </c>
      <c r="C10" s="12" t="n">
        <v>263</v>
      </c>
      <c r="D10" s="12" t="n">
        <v>0</v>
      </c>
      <c r="E10" s="13" t="n">
        <f aca="false">SUM(B10:D10)</f>
        <v>550</v>
      </c>
    </row>
    <row r="11" customFormat="false" ht="15" hidden="false" customHeight="false" outlineLevel="0" collapsed="false">
      <c r="A11" s="4" t="n">
        <v>6</v>
      </c>
      <c r="B11" s="12" t="n">
        <v>261</v>
      </c>
      <c r="C11" s="12" t="n">
        <v>213</v>
      </c>
      <c r="D11" s="12" t="n">
        <v>0</v>
      </c>
      <c r="E11" s="13" t="n">
        <f aca="false">SUM(B11:D11)</f>
        <v>474</v>
      </c>
    </row>
    <row r="12" customFormat="false" ht="15" hidden="false" customHeight="false" outlineLevel="0" collapsed="false">
      <c r="A12" s="4" t="n">
        <v>7</v>
      </c>
      <c r="B12" s="12" t="n">
        <v>250</v>
      </c>
      <c r="C12" s="12" t="n">
        <v>240</v>
      </c>
      <c r="D12" s="12" t="n">
        <v>0</v>
      </c>
      <c r="E12" s="13" t="n">
        <f aca="false">SUM(B12:D12)</f>
        <v>490</v>
      </c>
    </row>
    <row r="13" customFormat="false" ht="15" hidden="false" customHeight="false" outlineLevel="0" collapsed="false">
      <c r="A13" s="4" t="n">
        <v>8</v>
      </c>
      <c r="B13" s="12" t="n">
        <v>260</v>
      </c>
      <c r="C13" s="12" t="n">
        <v>187</v>
      </c>
      <c r="D13" s="12" t="n">
        <v>0</v>
      </c>
      <c r="E13" s="13" t="n">
        <f aca="false">SUM(B13:D13)</f>
        <v>447</v>
      </c>
    </row>
    <row r="14" customFormat="false" ht="15" hidden="false" customHeight="false" outlineLevel="0" collapsed="false">
      <c r="A14" s="4" t="n">
        <v>9</v>
      </c>
      <c r="B14" s="12" t="n">
        <v>286</v>
      </c>
      <c r="C14" s="12" t="n">
        <v>227</v>
      </c>
      <c r="D14" s="12" t="n">
        <v>0</v>
      </c>
      <c r="E14" s="13" t="n">
        <f aca="false">SUM(B14:D14)</f>
        <v>513</v>
      </c>
    </row>
    <row r="15" customFormat="false" ht="15" hidden="false" customHeight="false" outlineLevel="0" collapsed="false">
      <c r="A15" s="4" t="n">
        <v>10</v>
      </c>
      <c r="B15" s="12" t="n">
        <v>307</v>
      </c>
      <c r="C15" s="12" t="n">
        <v>224</v>
      </c>
      <c r="D15" s="12" t="n">
        <v>0</v>
      </c>
      <c r="E15" s="13" t="n">
        <f aca="false">SUM(B15:D15)</f>
        <v>531</v>
      </c>
    </row>
    <row r="16" customFormat="false" ht="15" hidden="false" customHeight="false" outlineLevel="0" collapsed="false">
      <c r="A16" s="4" t="n">
        <v>11</v>
      </c>
      <c r="B16" s="12" t="n">
        <v>292</v>
      </c>
      <c r="C16" s="12" t="n">
        <v>188</v>
      </c>
      <c r="D16" s="12" t="n">
        <v>0</v>
      </c>
      <c r="E16" s="13" t="n">
        <f aca="false">SUM(B16:D16)</f>
        <v>480</v>
      </c>
    </row>
    <row r="17" customFormat="false" ht="15" hidden="false" customHeight="false" outlineLevel="0" collapsed="false">
      <c r="A17" s="4" t="n">
        <v>12</v>
      </c>
      <c r="B17" s="12" t="n">
        <v>328</v>
      </c>
      <c r="C17" s="12" t="n">
        <v>266</v>
      </c>
      <c r="D17" s="12" t="n">
        <v>0</v>
      </c>
      <c r="E17" s="13" t="n">
        <f aca="false">SUM(B17:D17)</f>
        <v>594</v>
      </c>
    </row>
    <row r="18" customFormat="false" ht="15" hidden="false" customHeight="false" outlineLevel="0" collapsed="false">
      <c r="A18" s="4" t="n">
        <v>13</v>
      </c>
      <c r="B18" s="12" t="n">
        <v>402</v>
      </c>
      <c r="C18" s="12" t="n">
        <v>291</v>
      </c>
      <c r="D18" s="12" t="n">
        <v>0</v>
      </c>
      <c r="E18" s="13" t="n">
        <f aca="false">SUM(B18:D18)</f>
        <v>693</v>
      </c>
    </row>
    <row r="19" customFormat="false" ht="15" hidden="false" customHeight="false" outlineLevel="0" collapsed="false">
      <c r="A19" s="4" t="n">
        <v>14</v>
      </c>
      <c r="B19" s="12" t="n">
        <v>537</v>
      </c>
      <c r="C19" s="12" t="n">
        <v>316</v>
      </c>
      <c r="D19" s="12" t="n">
        <v>0</v>
      </c>
      <c r="E19" s="13" t="n">
        <f aca="false">SUM(B19:D19)</f>
        <v>853</v>
      </c>
    </row>
    <row r="20" customFormat="false" ht="15" hidden="false" customHeight="false" outlineLevel="0" collapsed="false">
      <c r="A20" s="4" t="n">
        <v>15</v>
      </c>
      <c r="B20" s="12" t="n">
        <v>760</v>
      </c>
      <c r="C20" s="12" t="n">
        <v>399</v>
      </c>
      <c r="D20" s="12" t="n">
        <v>0</v>
      </c>
      <c r="E20" s="13" t="n">
        <f aca="false">SUM(B20:D20)</f>
        <v>1159</v>
      </c>
    </row>
    <row r="21" customFormat="false" ht="15" hidden="false" customHeight="false" outlineLevel="0" collapsed="false">
      <c r="A21" s="4" t="n">
        <v>16</v>
      </c>
      <c r="B21" s="12" t="n">
        <v>1033</v>
      </c>
      <c r="C21" s="12" t="n">
        <v>471</v>
      </c>
      <c r="D21" s="12" t="n">
        <v>0</v>
      </c>
      <c r="E21" s="13" t="n">
        <f aca="false">SUM(B21:D21)</f>
        <v>1504</v>
      </c>
    </row>
    <row r="22" customFormat="false" ht="15" hidden="false" customHeight="false" outlineLevel="0" collapsed="false">
      <c r="A22" s="4" t="n">
        <v>17</v>
      </c>
      <c r="B22" s="12" t="n">
        <v>1281</v>
      </c>
      <c r="C22" s="12" t="n">
        <v>507</v>
      </c>
      <c r="D22" s="12" t="n">
        <v>0</v>
      </c>
      <c r="E22" s="13" t="n">
        <f aca="false">SUM(B22:D22)</f>
        <v>1788</v>
      </c>
    </row>
    <row r="23" customFormat="false" ht="15" hidden="false" customHeight="false" outlineLevel="0" collapsed="false">
      <c r="A23" s="4" t="n">
        <v>18</v>
      </c>
      <c r="B23" s="12" t="n">
        <v>1652</v>
      </c>
      <c r="C23" s="12" t="n">
        <v>534</v>
      </c>
      <c r="D23" s="12" t="n">
        <v>0</v>
      </c>
      <c r="E23" s="13" t="n">
        <f aca="false">SUM(B23:D23)</f>
        <v>2186</v>
      </c>
    </row>
    <row r="24" customFormat="false" ht="15" hidden="false" customHeight="false" outlineLevel="0" collapsed="false">
      <c r="A24" s="4" t="n">
        <v>19</v>
      </c>
      <c r="B24" s="12" t="n">
        <v>1797</v>
      </c>
      <c r="C24" s="12" t="n">
        <v>599</v>
      </c>
      <c r="D24" s="12" t="n">
        <v>0</v>
      </c>
      <c r="E24" s="13" t="n">
        <f aca="false">SUM(B24:D24)</f>
        <v>2396</v>
      </c>
    </row>
    <row r="25" customFormat="false" ht="15" hidden="false" customHeight="false" outlineLevel="0" collapsed="false">
      <c r="A25" s="4" t="n">
        <v>20</v>
      </c>
      <c r="B25" s="12" t="n">
        <v>2138</v>
      </c>
      <c r="C25" s="12" t="n">
        <v>600</v>
      </c>
      <c r="D25" s="12" t="n">
        <v>2</v>
      </c>
      <c r="E25" s="13" t="n">
        <f aca="false">SUM(B25:D25)</f>
        <v>2740</v>
      </c>
    </row>
    <row r="26" customFormat="false" ht="15" hidden="false" customHeight="false" outlineLevel="0" collapsed="false">
      <c r="A26" s="4" t="n">
        <v>21</v>
      </c>
      <c r="B26" s="12" t="n">
        <v>2251</v>
      </c>
      <c r="C26" s="12" t="n">
        <v>601</v>
      </c>
      <c r="D26" s="12" t="n">
        <v>0</v>
      </c>
      <c r="E26" s="13" t="n">
        <f aca="false">SUM(B26:D26)</f>
        <v>2852</v>
      </c>
    </row>
    <row r="27" customFormat="false" ht="15" hidden="false" customHeight="false" outlineLevel="0" collapsed="false">
      <c r="A27" s="4" t="n">
        <v>22</v>
      </c>
      <c r="B27" s="12" t="n">
        <v>2324</v>
      </c>
      <c r="C27" s="12" t="n">
        <v>597</v>
      </c>
      <c r="D27" s="12" t="n">
        <v>0</v>
      </c>
      <c r="E27" s="13" t="n">
        <f aca="false">SUM(B27:D27)</f>
        <v>2921</v>
      </c>
    </row>
    <row r="28" customFormat="false" ht="15" hidden="false" customHeight="false" outlineLevel="0" collapsed="false">
      <c r="A28" s="4" t="n">
        <v>23</v>
      </c>
      <c r="B28" s="12" t="n">
        <v>2554</v>
      </c>
      <c r="C28" s="12" t="n">
        <v>674</v>
      </c>
      <c r="D28" s="12" t="n">
        <v>0</v>
      </c>
      <c r="E28" s="13" t="n">
        <f aca="false">SUM(B28:D28)</f>
        <v>3228</v>
      </c>
    </row>
    <row r="29" customFormat="false" ht="15" hidden="false" customHeight="false" outlineLevel="0" collapsed="false">
      <c r="A29" s="4" t="n">
        <v>24</v>
      </c>
      <c r="B29" s="12" t="n">
        <v>2540</v>
      </c>
      <c r="C29" s="12" t="n">
        <v>718</v>
      </c>
      <c r="D29" s="12" t="n">
        <v>0</v>
      </c>
      <c r="E29" s="13" t="n">
        <f aca="false">SUM(B29:D29)</f>
        <v>3258</v>
      </c>
    </row>
    <row r="30" customFormat="false" ht="15" hidden="false" customHeight="false" outlineLevel="0" collapsed="false">
      <c r="A30" s="4" t="n">
        <v>25</v>
      </c>
      <c r="B30" s="12" t="n">
        <v>2864</v>
      </c>
      <c r="C30" s="12" t="n">
        <v>718</v>
      </c>
      <c r="D30" s="12" t="n">
        <v>1</v>
      </c>
      <c r="E30" s="13" t="n">
        <f aca="false">SUM(B30:D30)</f>
        <v>3583</v>
      </c>
    </row>
    <row r="31" customFormat="false" ht="15" hidden="false" customHeight="false" outlineLevel="0" collapsed="false">
      <c r="A31" s="4" t="n">
        <v>26</v>
      </c>
      <c r="B31" s="12" t="n">
        <v>2746</v>
      </c>
      <c r="C31" s="12" t="n">
        <v>707</v>
      </c>
      <c r="D31" s="12" t="n">
        <v>0</v>
      </c>
      <c r="E31" s="13" t="n">
        <f aca="false">SUM(B31:D31)</f>
        <v>3453</v>
      </c>
    </row>
    <row r="32" customFormat="false" ht="15" hidden="false" customHeight="false" outlineLevel="0" collapsed="false">
      <c r="A32" s="4" t="n">
        <v>27</v>
      </c>
      <c r="B32" s="12" t="n">
        <v>2865</v>
      </c>
      <c r="C32" s="12" t="n">
        <v>797</v>
      </c>
      <c r="D32" s="12" t="n">
        <v>0</v>
      </c>
      <c r="E32" s="13" t="n">
        <f aca="false">SUM(B32:D32)</f>
        <v>3662</v>
      </c>
    </row>
    <row r="33" customFormat="false" ht="15" hidden="false" customHeight="false" outlineLevel="0" collapsed="false">
      <c r="A33" s="4" t="n">
        <v>28</v>
      </c>
      <c r="B33" s="12" t="n">
        <v>2855</v>
      </c>
      <c r="C33" s="12" t="n">
        <v>801</v>
      </c>
      <c r="D33" s="12" t="n">
        <v>1</v>
      </c>
      <c r="E33" s="13" t="n">
        <f aca="false">SUM(B33:D33)</f>
        <v>3657</v>
      </c>
    </row>
    <row r="34" customFormat="false" ht="15" hidden="false" customHeight="false" outlineLevel="0" collapsed="false">
      <c r="A34" s="4" t="n">
        <v>29</v>
      </c>
      <c r="B34" s="12" t="n">
        <v>2835</v>
      </c>
      <c r="C34" s="12" t="n">
        <v>757</v>
      </c>
      <c r="D34" s="12" t="n">
        <v>0</v>
      </c>
      <c r="E34" s="13" t="n">
        <f aca="false">SUM(B34:D34)</f>
        <v>3592</v>
      </c>
    </row>
    <row r="35" customFormat="false" ht="15" hidden="false" customHeight="false" outlineLevel="0" collapsed="false">
      <c r="A35" s="4" t="n">
        <v>30</v>
      </c>
      <c r="B35" s="12" t="n">
        <v>3003</v>
      </c>
      <c r="C35" s="12" t="n">
        <v>854</v>
      </c>
      <c r="D35" s="12" t="n">
        <v>1</v>
      </c>
      <c r="E35" s="13" t="n">
        <f aca="false">SUM(B35:D35)</f>
        <v>3858</v>
      </c>
    </row>
    <row r="36" customFormat="false" ht="15" hidden="false" customHeight="false" outlineLevel="0" collapsed="false">
      <c r="A36" s="4" t="n">
        <v>31</v>
      </c>
      <c r="B36" s="12" t="n">
        <v>2781</v>
      </c>
      <c r="C36" s="12" t="n">
        <v>833</v>
      </c>
      <c r="D36" s="12" t="n">
        <v>0</v>
      </c>
      <c r="E36" s="13" t="n">
        <f aca="false">SUM(B36:D36)</f>
        <v>3614</v>
      </c>
    </row>
    <row r="37" customFormat="false" ht="15" hidden="false" customHeight="false" outlineLevel="0" collapsed="false">
      <c r="A37" s="4" t="n">
        <v>32</v>
      </c>
      <c r="B37" s="12" t="n">
        <v>2784</v>
      </c>
      <c r="C37" s="12" t="n">
        <v>847</v>
      </c>
      <c r="D37" s="12" t="n">
        <v>0</v>
      </c>
      <c r="E37" s="13" t="n">
        <f aca="false">SUM(B37:D37)</f>
        <v>3631</v>
      </c>
    </row>
    <row r="38" customFormat="false" ht="15" hidden="false" customHeight="false" outlineLevel="0" collapsed="false">
      <c r="A38" s="4" t="n">
        <v>33</v>
      </c>
      <c r="B38" s="12" t="n">
        <v>2817</v>
      </c>
      <c r="C38" s="12" t="n">
        <v>948</v>
      </c>
      <c r="D38" s="12" t="n">
        <v>0</v>
      </c>
      <c r="E38" s="13" t="n">
        <f aca="false">SUM(B38:D38)</f>
        <v>3765</v>
      </c>
    </row>
    <row r="39" customFormat="false" ht="15" hidden="false" customHeight="false" outlineLevel="0" collapsed="false">
      <c r="A39" s="4" t="n">
        <v>34</v>
      </c>
      <c r="B39" s="12" t="n">
        <v>2857</v>
      </c>
      <c r="C39" s="12" t="n">
        <v>910</v>
      </c>
      <c r="D39" s="12" t="n">
        <v>0</v>
      </c>
      <c r="E39" s="13" t="n">
        <f aca="false">SUM(B39:D39)</f>
        <v>3767</v>
      </c>
    </row>
    <row r="40" customFormat="false" ht="15" hidden="false" customHeight="false" outlineLevel="0" collapsed="false">
      <c r="A40" s="4" t="n">
        <v>35</v>
      </c>
      <c r="B40" s="12" t="n">
        <v>3150</v>
      </c>
      <c r="C40" s="12" t="n">
        <v>1021</v>
      </c>
      <c r="D40" s="12" t="n">
        <v>1</v>
      </c>
      <c r="E40" s="13" t="n">
        <f aca="false">SUM(B40:D40)</f>
        <v>4172</v>
      </c>
    </row>
    <row r="41" customFormat="false" ht="15" hidden="false" customHeight="false" outlineLevel="0" collapsed="false">
      <c r="A41" s="4" t="n">
        <v>36</v>
      </c>
      <c r="B41" s="12" t="n">
        <v>2881</v>
      </c>
      <c r="C41" s="12" t="n">
        <v>1045</v>
      </c>
      <c r="D41" s="12" t="n">
        <v>0</v>
      </c>
      <c r="E41" s="13" t="n">
        <f aca="false">SUM(B41:D41)</f>
        <v>3926</v>
      </c>
    </row>
    <row r="42" customFormat="false" ht="15" hidden="false" customHeight="false" outlineLevel="0" collapsed="false">
      <c r="A42" s="4" t="n">
        <v>37</v>
      </c>
      <c r="B42" s="12" t="n">
        <v>3100</v>
      </c>
      <c r="C42" s="12" t="n">
        <v>1092</v>
      </c>
      <c r="D42" s="12" t="n">
        <v>0</v>
      </c>
      <c r="E42" s="13" t="n">
        <f aca="false">SUM(B42:D42)</f>
        <v>4192</v>
      </c>
    </row>
    <row r="43" customFormat="false" ht="15" hidden="false" customHeight="false" outlineLevel="0" collapsed="false">
      <c r="A43" s="4" t="n">
        <v>38</v>
      </c>
      <c r="B43" s="12" t="n">
        <v>3047</v>
      </c>
      <c r="C43" s="12" t="n">
        <v>1180</v>
      </c>
      <c r="D43" s="12" t="n">
        <v>1</v>
      </c>
      <c r="E43" s="13" t="n">
        <f aca="false">SUM(B43:D43)</f>
        <v>4228</v>
      </c>
    </row>
    <row r="44" customFormat="false" ht="15" hidden="false" customHeight="false" outlineLevel="0" collapsed="false">
      <c r="A44" s="4" t="n">
        <v>39</v>
      </c>
      <c r="B44" s="12" t="n">
        <v>3139</v>
      </c>
      <c r="C44" s="12" t="n">
        <v>1282</v>
      </c>
      <c r="D44" s="12" t="n">
        <v>0</v>
      </c>
      <c r="E44" s="13" t="n">
        <f aca="false">SUM(B44:D44)</f>
        <v>4421</v>
      </c>
    </row>
    <row r="45" customFormat="false" ht="15" hidden="false" customHeight="false" outlineLevel="0" collapsed="false">
      <c r="A45" s="4" t="n">
        <v>40</v>
      </c>
      <c r="B45" s="12" t="n">
        <v>3466</v>
      </c>
      <c r="C45" s="12" t="n">
        <v>1348</v>
      </c>
      <c r="D45" s="12" t="n">
        <v>3</v>
      </c>
      <c r="E45" s="13" t="n">
        <f aca="false">SUM(B45:D45)</f>
        <v>4817</v>
      </c>
    </row>
    <row r="46" customFormat="false" ht="15" hidden="false" customHeight="false" outlineLevel="0" collapsed="false">
      <c r="A46" s="4" t="n">
        <v>41</v>
      </c>
      <c r="B46" s="12" t="n">
        <v>3384</v>
      </c>
      <c r="C46" s="12" t="n">
        <v>1423</v>
      </c>
      <c r="D46" s="12" t="n">
        <v>0</v>
      </c>
      <c r="E46" s="13" t="n">
        <f aca="false">SUM(B46:D46)</f>
        <v>4807</v>
      </c>
    </row>
    <row r="47" customFormat="false" ht="15" hidden="false" customHeight="false" outlineLevel="0" collapsed="false">
      <c r="A47" s="4" t="n">
        <v>42</v>
      </c>
      <c r="B47" s="12" t="n">
        <v>3491</v>
      </c>
      <c r="C47" s="12" t="n">
        <v>1553</v>
      </c>
      <c r="D47" s="12" t="n">
        <v>1</v>
      </c>
      <c r="E47" s="13" t="n">
        <f aca="false">SUM(B47:D47)</f>
        <v>5045</v>
      </c>
    </row>
    <row r="48" customFormat="false" ht="15" hidden="false" customHeight="false" outlineLevel="0" collapsed="false">
      <c r="A48" s="4" t="n">
        <v>43</v>
      </c>
      <c r="B48" s="12" t="n">
        <v>3713</v>
      </c>
      <c r="C48" s="12" t="n">
        <v>1589</v>
      </c>
      <c r="D48" s="12" t="n">
        <v>0</v>
      </c>
      <c r="E48" s="13" t="n">
        <f aca="false">SUM(B48:D48)</f>
        <v>5302</v>
      </c>
    </row>
    <row r="49" customFormat="false" ht="15" hidden="false" customHeight="false" outlineLevel="0" collapsed="false">
      <c r="A49" s="4" t="n">
        <v>44</v>
      </c>
      <c r="B49" s="12" t="n">
        <v>3833</v>
      </c>
      <c r="C49" s="12" t="n">
        <v>1880</v>
      </c>
      <c r="D49" s="12" t="n">
        <v>0</v>
      </c>
      <c r="E49" s="13" t="n">
        <f aca="false">SUM(B49:D49)</f>
        <v>5713</v>
      </c>
    </row>
    <row r="50" customFormat="false" ht="15" hidden="false" customHeight="false" outlineLevel="0" collapsed="false">
      <c r="A50" s="4" t="n">
        <v>45</v>
      </c>
      <c r="B50" s="12" t="n">
        <v>4180</v>
      </c>
      <c r="C50" s="12" t="n">
        <v>1961</v>
      </c>
      <c r="D50" s="12" t="n">
        <v>3</v>
      </c>
      <c r="E50" s="13" t="n">
        <f aca="false">SUM(B50:D50)</f>
        <v>6144</v>
      </c>
    </row>
    <row r="51" customFormat="false" ht="15" hidden="false" customHeight="false" outlineLevel="0" collapsed="false">
      <c r="A51" s="4" t="n">
        <v>46</v>
      </c>
      <c r="B51" s="12" t="n">
        <v>4319</v>
      </c>
      <c r="C51" s="12" t="n">
        <v>2175</v>
      </c>
      <c r="D51" s="12" t="n">
        <v>0</v>
      </c>
      <c r="E51" s="13" t="n">
        <f aca="false">SUM(B51:D51)</f>
        <v>6494</v>
      </c>
    </row>
    <row r="52" customFormat="false" ht="15" hidden="false" customHeight="false" outlineLevel="0" collapsed="false">
      <c r="A52" s="4" t="n">
        <v>47</v>
      </c>
      <c r="B52" s="12" t="n">
        <v>4361</v>
      </c>
      <c r="C52" s="12" t="n">
        <v>2369</v>
      </c>
      <c r="D52" s="12" t="n">
        <v>1</v>
      </c>
      <c r="E52" s="13" t="n">
        <f aca="false">SUM(B52:D52)</f>
        <v>6731</v>
      </c>
    </row>
    <row r="53" customFormat="false" ht="15" hidden="false" customHeight="false" outlineLevel="0" collapsed="false">
      <c r="A53" s="4" t="n">
        <v>48</v>
      </c>
      <c r="B53" s="12" t="n">
        <v>4328</v>
      </c>
      <c r="C53" s="12" t="n">
        <v>2296</v>
      </c>
      <c r="D53" s="12" t="n">
        <v>0</v>
      </c>
      <c r="E53" s="13" t="n">
        <f aca="false">SUM(B53:D53)</f>
        <v>6624</v>
      </c>
    </row>
    <row r="54" customFormat="false" ht="15" hidden="false" customHeight="false" outlineLevel="0" collapsed="false">
      <c r="A54" s="4" t="n">
        <v>49</v>
      </c>
      <c r="B54" s="12" t="n">
        <v>4340</v>
      </c>
      <c r="C54" s="12" t="n">
        <v>2511</v>
      </c>
      <c r="D54" s="12" t="n">
        <v>0</v>
      </c>
      <c r="E54" s="13" t="n">
        <f aca="false">SUM(B54:D54)</f>
        <v>6851</v>
      </c>
    </row>
    <row r="55" customFormat="false" ht="15" hidden="false" customHeight="false" outlineLevel="0" collapsed="false">
      <c r="A55" s="4" t="n">
        <v>50</v>
      </c>
      <c r="B55" s="12" t="n">
        <v>4872</v>
      </c>
      <c r="C55" s="12" t="n">
        <v>2651</v>
      </c>
      <c r="D55" s="12" t="n">
        <v>1</v>
      </c>
      <c r="E55" s="13" t="n">
        <f aca="false">SUM(B55:D55)</f>
        <v>7524</v>
      </c>
    </row>
    <row r="56" customFormat="false" ht="15" hidden="false" customHeight="false" outlineLevel="0" collapsed="false">
      <c r="A56" s="4" t="n">
        <v>51</v>
      </c>
      <c r="B56" s="12" t="n">
        <v>4738</v>
      </c>
      <c r="C56" s="12" t="n">
        <v>2775</v>
      </c>
      <c r="D56" s="12" t="n">
        <v>0</v>
      </c>
      <c r="E56" s="13" t="n">
        <f aca="false">SUM(B56:D56)</f>
        <v>7513</v>
      </c>
    </row>
    <row r="57" customFormat="false" ht="15" hidden="false" customHeight="false" outlineLevel="0" collapsed="false">
      <c r="A57" s="4" t="n">
        <v>52</v>
      </c>
      <c r="B57" s="12" t="n">
        <v>4853</v>
      </c>
      <c r="C57" s="12" t="n">
        <v>2958</v>
      </c>
      <c r="D57" s="12" t="n">
        <v>0</v>
      </c>
      <c r="E57" s="13" t="n">
        <f aca="false">SUM(B57:D57)</f>
        <v>7811</v>
      </c>
    </row>
    <row r="58" customFormat="false" ht="15" hidden="false" customHeight="false" outlineLevel="0" collapsed="false">
      <c r="A58" s="4" t="n">
        <v>53</v>
      </c>
      <c r="B58" s="12" t="n">
        <v>4970</v>
      </c>
      <c r="C58" s="12" t="n">
        <v>3080</v>
      </c>
      <c r="D58" s="12" t="n">
        <v>0</v>
      </c>
      <c r="E58" s="13" t="n">
        <f aca="false">SUM(B58:D58)</f>
        <v>8050</v>
      </c>
    </row>
    <row r="59" customFormat="false" ht="15" hidden="false" customHeight="false" outlineLevel="0" collapsed="false">
      <c r="A59" s="4" t="n">
        <v>54</v>
      </c>
      <c r="B59" s="12" t="n">
        <v>5403</v>
      </c>
      <c r="C59" s="12" t="n">
        <v>3361</v>
      </c>
      <c r="D59" s="12" t="n">
        <v>0</v>
      </c>
      <c r="E59" s="13" t="n">
        <f aca="false">SUM(B59:D59)</f>
        <v>8764</v>
      </c>
    </row>
    <row r="60" customFormat="false" ht="15" hidden="false" customHeight="false" outlineLevel="0" collapsed="false">
      <c r="A60" s="4" t="n">
        <v>55</v>
      </c>
      <c r="B60" s="12" t="n">
        <v>5549</v>
      </c>
      <c r="C60" s="12" t="n">
        <v>3531</v>
      </c>
      <c r="D60" s="12" t="n">
        <v>2</v>
      </c>
      <c r="E60" s="13" t="n">
        <f aca="false">SUM(B60:D60)</f>
        <v>9082</v>
      </c>
    </row>
    <row r="61" customFormat="false" ht="15" hidden="false" customHeight="false" outlineLevel="0" collapsed="false">
      <c r="A61" s="4" t="n">
        <v>56</v>
      </c>
      <c r="B61" s="12" t="n">
        <v>5727</v>
      </c>
      <c r="C61" s="12" t="n">
        <v>3674</v>
      </c>
      <c r="D61" s="12" t="n">
        <v>0</v>
      </c>
      <c r="E61" s="13" t="n">
        <f aca="false">SUM(B61:D61)</f>
        <v>9401</v>
      </c>
    </row>
    <row r="62" customFormat="false" ht="15" hidden="false" customHeight="false" outlineLevel="0" collapsed="false">
      <c r="A62" s="4" t="n">
        <v>57</v>
      </c>
      <c r="B62" s="12" t="n">
        <v>5888</v>
      </c>
      <c r="C62" s="12" t="n">
        <v>3869</v>
      </c>
      <c r="D62" s="12" t="n">
        <v>0</v>
      </c>
      <c r="E62" s="13" t="n">
        <f aca="false">SUM(B62:D62)</f>
        <v>9757</v>
      </c>
    </row>
    <row r="63" customFormat="false" ht="15" hidden="false" customHeight="false" outlineLevel="0" collapsed="false">
      <c r="A63" s="4" t="n">
        <v>58</v>
      </c>
      <c r="B63" s="12" t="n">
        <v>6185</v>
      </c>
      <c r="C63" s="12" t="n">
        <v>4240</v>
      </c>
      <c r="D63" s="12" t="n">
        <v>0</v>
      </c>
      <c r="E63" s="13" t="n">
        <f aca="false">SUM(B63:D63)</f>
        <v>10425</v>
      </c>
    </row>
    <row r="64" customFormat="false" ht="15" hidden="false" customHeight="false" outlineLevel="0" collapsed="false">
      <c r="A64" s="4" t="n">
        <v>59</v>
      </c>
      <c r="B64" s="12" t="n">
        <v>6390</v>
      </c>
      <c r="C64" s="12" t="n">
        <v>4594</v>
      </c>
      <c r="D64" s="12" t="n">
        <v>0</v>
      </c>
      <c r="E64" s="13" t="n">
        <f aca="false">SUM(B64:D64)</f>
        <v>10984</v>
      </c>
    </row>
    <row r="65" customFormat="false" ht="15" hidden="false" customHeight="false" outlineLevel="0" collapsed="false">
      <c r="A65" s="4" t="n">
        <v>60</v>
      </c>
      <c r="B65" s="12" t="n">
        <v>6623</v>
      </c>
      <c r="C65" s="12" t="n">
        <v>4584</v>
      </c>
      <c r="D65" s="12" t="n">
        <v>2</v>
      </c>
      <c r="E65" s="13" t="n">
        <f aca="false">SUM(B65:D65)</f>
        <v>11209</v>
      </c>
    </row>
    <row r="66" customFormat="false" ht="15" hidden="false" customHeight="false" outlineLevel="0" collapsed="false">
      <c r="A66" s="4" t="n">
        <v>61</v>
      </c>
      <c r="B66" s="12" t="n">
        <v>6534</v>
      </c>
      <c r="C66" s="12" t="n">
        <v>4659</v>
      </c>
      <c r="D66" s="12" t="n">
        <v>0</v>
      </c>
      <c r="E66" s="13" t="n">
        <f aca="false">SUM(B66:D66)</f>
        <v>11193</v>
      </c>
    </row>
    <row r="67" customFormat="false" ht="15" hidden="false" customHeight="false" outlineLevel="0" collapsed="false">
      <c r="A67" s="4" t="n">
        <v>62</v>
      </c>
      <c r="B67" s="12" t="n">
        <v>6724</v>
      </c>
      <c r="C67" s="12" t="n">
        <v>4998</v>
      </c>
      <c r="D67" s="12" t="n">
        <v>0</v>
      </c>
      <c r="E67" s="13" t="n">
        <f aca="false">SUM(B67:D67)</f>
        <v>11722</v>
      </c>
    </row>
    <row r="68" customFormat="false" ht="15" hidden="false" customHeight="false" outlineLevel="0" collapsed="false">
      <c r="A68" s="4" t="n">
        <v>63</v>
      </c>
      <c r="B68" s="12" t="n">
        <v>6957</v>
      </c>
      <c r="C68" s="12" t="n">
        <v>5304</v>
      </c>
      <c r="D68" s="12" t="n">
        <v>1</v>
      </c>
      <c r="E68" s="13" t="n">
        <f aca="false">SUM(B68:D68)</f>
        <v>12262</v>
      </c>
    </row>
    <row r="69" customFormat="false" ht="15" hidden="false" customHeight="false" outlineLevel="0" collapsed="false">
      <c r="A69" s="4" t="n">
        <v>64</v>
      </c>
      <c r="B69" s="12" t="n">
        <v>7177</v>
      </c>
      <c r="C69" s="12" t="n">
        <v>5359</v>
      </c>
      <c r="D69" s="12" t="n">
        <v>0</v>
      </c>
      <c r="E69" s="13" t="n">
        <f aca="false">SUM(B69:D69)</f>
        <v>12536</v>
      </c>
    </row>
    <row r="70" customFormat="false" ht="15" hidden="false" customHeight="false" outlineLevel="0" collapsed="false">
      <c r="A70" s="4" t="n">
        <v>65</v>
      </c>
      <c r="B70" s="12" t="n">
        <v>7102</v>
      </c>
      <c r="C70" s="12" t="n">
        <v>5448</v>
      </c>
      <c r="D70" s="12" t="n">
        <v>0</v>
      </c>
      <c r="E70" s="13" t="n">
        <f aca="false">SUM(B70:D70)</f>
        <v>12550</v>
      </c>
    </row>
    <row r="71" customFormat="false" ht="15" hidden="false" customHeight="false" outlineLevel="0" collapsed="false">
      <c r="A71" s="4" t="n">
        <v>66</v>
      </c>
      <c r="B71" s="12" t="n">
        <v>7067</v>
      </c>
      <c r="C71" s="12" t="n">
        <v>5618</v>
      </c>
      <c r="D71" s="12" t="n">
        <v>0</v>
      </c>
      <c r="E71" s="13" t="n">
        <f aca="false">SUM(B71:D71)</f>
        <v>12685</v>
      </c>
    </row>
    <row r="72" customFormat="false" ht="15" hidden="false" customHeight="false" outlineLevel="0" collapsed="false">
      <c r="A72" s="4" t="n">
        <v>67</v>
      </c>
      <c r="B72" s="12" t="n">
        <v>6784</v>
      </c>
      <c r="C72" s="12" t="n">
        <v>5454</v>
      </c>
      <c r="D72" s="12" t="n">
        <v>0</v>
      </c>
      <c r="E72" s="13" t="n">
        <f aca="false">SUM(B72:D72)</f>
        <v>12238</v>
      </c>
    </row>
    <row r="73" customFormat="false" ht="15" hidden="false" customHeight="false" outlineLevel="0" collapsed="false">
      <c r="A73" s="4" t="n">
        <v>68</v>
      </c>
      <c r="B73" s="12" t="n">
        <v>7250</v>
      </c>
      <c r="C73" s="12" t="n">
        <v>5987</v>
      </c>
      <c r="D73" s="12" t="n">
        <v>1</v>
      </c>
      <c r="E73" s="13" t="n">
        <f aca="false">SUM(B73:D73)</f>
        <v>13238</v>
      </c>
    </row>
    <row r="74" customFormat="false" ht="15" hidden="false" customHeight="false" outlineLevel="0" collapsed="false">
      <c r="A74" s="4" t="n">
        <v>69</v>
      </c>
      <c r="B74" s="12" t="n">
        <v>7201</v>
      </c>
      <c r="C74" s="12" t="n">
        <v>6049</v>
      </c>
      <c r="D74" s="12" t="n">
        <v>0</v>
      </c>
      <c r="E74" s="13" t="n">
        <f aca="false">SUM(B74:D74)</f>
        <v>13250</v>
      </c>
    </row>
    <row r="75" customFormat="false" ht="15" hidden="false" customHeight="false" outlineLevel="0" collapsed="false">
      <c r="A75" s="4" t="n">
        <v>70</v>
      </c>
      <c r="B75" s="12" t="n">
        <v>7362</v>
      </c>
      <c r="C75" s="12" t="n">
        <v>5835</v>
      </c>
      <c r="D75" s="12" t="n">
        <v>0</v>
      </c>
      <c r="E75" s="13" t="n">
        <f aca="false">SUM(B75:D75)</f>
        <v>13197</v>
      </c>
    </row>
    <row r="76" customFormat="false" ht="15" hidden="false" customHeight="false" outlineLevel="0" collapsed="false">
      <c r="A76" s="4" t="n">
        <v>71</v>
      </c>
      <c r="B76" s="12" t="n">
        <v>7551</v>
      </c>
      <c r="C76" s="12" t="n">
        <v>6205</v>
      </c>
      <c r="D76" s="12" t="n">
        <v>0</v>
      </c>
      <c r="E76" s="13" t="n">
        <f aca="false">SUM(B76:D76)</f>
        <v>13756</v>
      </c>
    </row>
    <row r="77" customFormat="false" ht="15" hidden="false" customHeight="false" outlineLevel="0" collapsed="false">
      <c r="A77" s="4" t="n">
        <v>72</v>
      </c>
      <c r="B77" s="12" t="n">
        <v>7628</v>
      </c>
      <c r="C77" s="12" t="n">
        <v>6325</v>
      </c>
      <c r="D77" s="12" t="n">
        <v>0</v>
      </c>
      <c r="E77" s="13" t="n">
        <f aca="false">SUM(B77:D77)</f>
        <v>13953</v>
      </c>
    </row>
    <row r="78" customFormat="false" ht="15" hidden="false" customHeight="false" outlineLevel="0" collapsed="false">
      <c r="A78" s="4" t="n">
        <v>73</v>
      </c>
      <c r="B78" s="12" t="n">
        <v>7651</v>
      </c>
      <c r="C78" s="12" t="n">
        <v>6486</v>
      </c>
      <c r="D78" s="12" t="n">
        <v>0</v>
      </c>
      <c r="E78" s="13" t="n">
        <f aca="false">SUM(B78:D78)</f>
        <v>14137</v>
      </c>
    </row>
    <row r="79" customFormat="false" ht="15" hidden="false" customHeight="false" outlineLevel="0" collapsed="false">
      <c r="A79" s="4" t="n">
        <v>74</v>
      </c>
      <c r="B79" s="12" t="n">
        <v>7756</v>
      </c>
      <c r="C79" s="12" t="n">
        <v>6750</v>
      </c>
      <c r="D79" s="12" t="n">
        <v>0</v>
      </c>
      <c r="E79" s="13" t="n">
        <f aca="false">SUM(B79:D79)</f>
        <v>14506</v>
      </c>
    </row>
    <row r="80" customFormat="false" ht="15" hidden="false" customHeight="false" outlineLevel="0" collapsed="false">
      <c r="A80" s="4" t="n">
        <v>75</v>
      </c>
      <c r="B80" s="12" t="n">
        <v>7609</v>
      </c>
      <c r="C80" s="12" t="n">
        <v>6602</v>
      </c>
      <c r="D80" s="12" t="n">
        <v>1</v>
      </c>
      <c r="E80" s="13" t="n">
        <f aca="false">SUM(B80:D80)</f>
        <v>14212</v>
      </c>
    </row>
    <row r="81" customFormat="false" ht="15" hidden="false" customHeight="false" outlineLevel="0" collapsed="false">
      <c r="A81" s="4" t="n">
        <v>76</v>
      </c>
      <c r="B81" s="12" t="n">
        <v>7789</v>
      </c>
      <c r="C81" s="12" t="n">
        <v>6756</v>
      </c>
      <c r="D81" s="12" t="n">
        <v>0</v>
      </c>
      <c r="E81" s="13" t="n">
        <f aca="false">SUM(B81:D81)</f>
        <v>14545</v>
      </c>
    </row>
    <row r="82" customFormat="false" ht="15" hidden="false" customHeight="false" outlineLevel="0" collapsed="false">
      <c r="A82" s="4" t="n">
        <v>77</v>
      </c>
      <c r="B82" s="12" t="n">
        <v>7686</v>
      </c>
      <c r="C82" s="12" t="n">
        <v>6756</v>
      </c>
      <c r="D82" s="12" t="n">
        <v>2</v>
      </c>
      <c r="E82" s="13" t="n">
        <f aca="false">SUM(B82:D82)</f>
        <v>14444</v>
      </c>
    </row>
    <row r="83" customFormat="false" ht="15" hidden="false" customHeight="false" outlineLevel="0" collapsed="false">
      <c r="A83" s="4" t="n">
        <v>78</v>
      </c>
      <c r="B83" s="12" t="n">
        <v>7870</v>
      </c>
      <c r="C83" s="12" t="n">
        <v>7394</v>
      </c>
      <c r="D83" s="12" t="n">
        <v>0</v>
      </c>
      <c r="E83" s="13" t="n">
        <f aca="false">SUM(B83:D83)</f>
        <v>15264</v>
      </c>
    </row>
    <row r="84" customFormat="false" ht="15" hidden="false" customHeight="false" outlineLevel="0" collapsed="false">
      <c r="A84" s="4" t="n">
        <v>79</v>
      </c>
      <c r="B84" s="12" t="n">
        <v>7947</v>
      </c>
      <c r="C84" s="12" t="n">
        <v>7518</v>
      </c>
      <c r="D84" s="12" t="n">
        <v>0</v>
      </c>
      <c r="E84" s="13" t="n">
        <f aca="false">SUM(B84:D84)</f>
        <v>15465</v>
      </c>
    </row>
    <row r="85" customFormat="false" ht="15" hidden="false" customHeight="false" outlineLevel="0" collapsed="false">
      <c r="A85" s="4" t="n">
        <v>80</v>
      </c>
      <c r="B85" s="12" t="n">
        <v>7779</v>
      </c>
      <c r="C85" s="12" t="n">
        <v>7412</v>
      </c>
      <c r="D85" s="12" t="n">
        <v>0</v>
      </c>
      <c r="E85" s="13" t="n">
        <f aca="false">SUM(B85:D85)</f>
        <v>15191</v>
      </c>
    </row>
    <row r="86" customFormat="false" ht="15" hidden="false" customHeight="false" outlineLevel="0" collapsed="false">
      <c r="A86" s="4" t="n">
        <v>81</v>
      </c>
      <c r="B86" s="12" t="n">
        <v>7533</v>
      </c>
      <c r="C86" s="12" t="n">
        <v>7457</v>
      </c>
      <c r="D86" s="12" t="n">
        <v>0</v>
      </c>
      <c r="E86" s="13" t="n">
        <f aca="false">SUM(B86:D86)</f>
        <v>14990</v>
      </c>
    </row>
    <row r="87" customFormat="false" ht="15" hidden="false" customHeight="false" outlineLevel="0" collapsed="false">
      <c r="A87" s="4" t="n">
        <v>82</v>
      </c>
      <c r="B87" s="12" t="n">
        <v>7640</v>
      </c>
      <c r="C87" s="12" t="n">
        <v>7840</v>
      </c>
      <c r="D87" s="12" t="n">
        <v>0</v>
      </c>
      <c r="E87" s="13" t="n">
        <f aca="false">SUM(B87:D87)</f>
        <v>15480</v>
      </c>
    </row>
    <row r="88" customFormat="false" ht="15" hidden="false" customHeight="false" outlineLevel="0" collapsed="false">
      <c r="A88" s="4" t="n">
        <v>83</v>
      </c>
      <c r="B88" s="12" t="n">
        <v>7697</v>
      </c>
      <c r="C88" s="12" t="n">
        <v>8274</v>
      </c>
      <c r="D88" s="12" t="n">
        <v>0</v>
      </c>
      <c r="E88" s="13" t="n">
        <f aca="false">SUM(B88:D88)</f>
        <v>15971</v>
      </c>
    </row>
    <row r="89" customFormat="false" ht="15" hidden="false" customHeight="false" outlineLevel="0" collapsed="false">
      <c r="A89" s="4" t="n">
        <v>84</v>
      </c>
      <c r="B89" s="12" t="n">
        <v>7559</v>
      </c>
      <c r="C89" s="12" t="n">
        <v>8021</v>
      </c>
      <c r="D89" s="12" t="n">
        <v>0</v>
      </c>
      <c r="E89" s="13" t="n">
        <f aca="false">SUM(B89:D89)</f>
        <v>15580</v>
      </c>
    </row>
    <row r="90" customFormat="false" ht="15" hidden="false" customHeight="false" outlineLevel="0" collapsed="false">
      <c r="A90" s="4" t="n">
        <v>85</v>
      </c>
      <c r="B90" s="12" t="n">
        <v>6901</v>
      </c>
      <c r="C90" s="12" t="n">
        <v>7673</v>
      </c>
      <c r="D90" s="12" t="n">
        <v>0</v>
      </c>
      <c r="E90" s="13" t="n">
        <f aca="false">SUM(B90:D90)</f>
        <v>14574</v>
      </c>
    </row>
    <row r="91" customFormat="false" ht="15" hidden="false" customHeight="false" outlineLevel="0" collapsed="false">
      <c r="A91" s="4" t="n">
        <v>86</v>
      </c>
      <c r="B91" s="12" t="n">
        <v>6505</v>
      </c>
      <c r="C91" s="12" t="n">
        <v>7518</v>
      </c>
      <c r="D91" s="12" t="n">
        <v>0</v>
      </c>
      <c r="E91" s="13" t="n">
        <f aca="false">SUM(B91:D91)</f>
        <v>14023</v>
      </c>
    </row>
    <row r="92" customFormat="false" ht="15" hidden="false" customHeight="false" outlineLevel="0" collapsed="false">
      <c r="A92" s="4" t="n">
        <v>87</v>
      </c>
      <c r="B92" s="12" t="n">
        <v>6033</v>
      </c>
      <c r="C92" s="12" t="n">
        <v>7085</v>
      </c>
      <c r="D92" s="12" t="n">
        <v>0</v>
      </c>
      <c r="E92" s="13" t="n">
        <f aca="false">SUM(B92:D92)</f>
        <v>13118</v>
      </c>
    </row>
    <row r="93" customFormat="false" ht="15" hidden="false" customHeight="false" outlineLevel="0" collapsed="false">
      <c r="A93" s="4" t="n">
        <v>88</v>
      </c>
      <c r="B93" s="12" t="n">
        <v>6072</v>
      </c>
      <c r="C93" s="12" t="n">
        <v>7771</v>
      </c>
      <c r="D93" s="12" t="n">
        <v>0</v>
      </c>
      <c r="E93" s="13" t="n">
        <f aca="false">SUM(B93:D93)</f>
        <v>13843</v>
      </c>
    </row>
    <row r="94" customFormat="false" ht="15" hidden="false" customHeight="false" outlineLevel="0" collapsed="false">
      <c r="A94" s="4" t="n">
        <v>89</v>
      </c>
      <c r="B94" s="12" t="n">
        <v>5726</v>
      </c>
      <c r="C94" s="12" t="n">
        <v>7284</v>
      </c>
      <c r="D94" s="12" t="n">
        <v>0</v>
      </c>
      <c r="E94" s="13" t="n">
        <f aca="false">SUM(B94:D94)</f>
        <v>13010</v>
      </c>
    </row>
    <row r="95" customFormat="false" ht="15" hidden="false" customHeight="false" outlineLevel="0" collapsed="false">
      <c r="A95" s="4" t="n">
        <v>90</v>
      </c>
      <c r="B95" s="12" t="n">
        <v>4397</v>
      </c>
      <c r="C95" s="12" t="n">
        <v>5847</v>
      </c>
      <c r="D95" s="12" t="n">
        <v>0</v>
      </c>
      <c r="E95" s="13" t="n">
        <f aca="false">SUM(B95:D95)</f>
        <v>10244</v>
      </c>
    </row>
    <row r="96" customFormat="false" ht="15" hidden="false" customHeight="false" outlineLevel="0" collapsed="false">
      <c r="A96" s="4" t="n">
        <v>91</v>
      </c>
      <c r="B96" s="12" t="n">
        <v>3966</v>
      </c>
      <c r="C96" s="12" t="n">
        <v>5427</v>
      </c>
      <c r="D96" s="12" t="n">
        <v>0</v>
      </c>
      <c r="E96" s="13" t="n">
        <f aca="false">SUM(B96:D96)</f>
        <v>9393</v>
      </c>
    </row>
    <row r="97" customFormat="false" ht="15" hidden="false" customHeight="false" outlineLevel="0" collapsed="false">
      <c r="A97" s="4" t="n">
        <v>92</v>
      </c>
      <c r="B97" s="12" t="n">
        <v>3530</v>
      </c>
      <c r="C97" s="12" t="n">
        <v>4898</v>
      </c>
      <c r="D97" s="12" t="n">
        <v>0</v>
      </c>
      <c r="E97" s="13" t="n">
        <f aca="false">SUM(B97:D97)</f>
        <v>8428</v>
      </c>
    </row>
    <row r="98" customFormat="false" ht="15" hidden="false" customHeight="false" outlineLevel="0" collapsed="false">
      <c r="A98" s="4" t="n">
        <v>93</v>
      </c>
      <c r="B98" s="12" t="n">
        <v>3259</v>
      </c>
      <c r="C98" s="12" t="n">
        <v>4860</v>
      </c>
      <c r="D98" s="12" t="n">
        <v>0</v>
      </c>
      <c r="E98" s="13" t="n">
        <f aca="false">SUM(B98:D98)</f>
        <v>8119</v>
      </c>
    </row>
    <row r="99" customFormat="false" ht="15" hidden="false" customHeight="false" outlineLevel="0" collapsed="false">
      <c r="A99" s="4" t="n">
        <v>94</v>
      </c>
      <c r="B99" s="12" t="n">
        <v>2714</v>
      </c>
      <c r="C99" s="12" t="n">
        <v>4107</v>
      </c>
      <c r="D99" s="12" t="n">
        <v>0</v>
      </c>
      <c r="E99" s="13" t="n">
        <f aca="false">SUM(B99:D99)</f>
        <v>6821</v>
      </c>
    </row>
    <row r="100" customFormat="false" ht="15" hidden="false" customHeight="false" outlineLevel="0" collapsed="false">
      <c r="A100" s="4" t="n">
        <v>95</v>
      </c>
      <c r="B100" s="12" t="n">
        <v>2242</v>
      </c>
      <c r="C100" s="12" t="n">
        <v>3240</v>
      </c>
      <c r="D100" s="12" t="n">
        <v>0</v>
      </c>
      <c r="E100" s="13" t="n">
        <f aca="false">SUM(B100:D100)</f>
        <v>5482</v>
      </c>
    </row>
    <row r="101" customFormat="false" ht="15" hidden="false" customHeight="false" outlineLevel="0" collapsed="false">
      <c r="A101" s="4" t="n">
        <v>96</v>
      </c>
      <c r="B101" s="12" t="n">
        <v>1830</v>
      </c>
      <c r="C101" s="12" t="n">
        <v>2775</v>
      </c>
      <c r="D101" s="12" t="n">
        <v>0</v>
      </c>
      <c r="E101" s="13" t="n">
        <f aca="false">SUM(B101:D101)</f>
        <v>4605</v>
      </c>
    </row>
    <row r="102" customFormat="false" ht="15" hidden="false" customHeight="false" outlineLevel="0" collapsed="false">
      <c r="A102" s="4" t="n">
        <v>97</v>
      </c>
      <c r="B102" s="12" t="n">
        <v>1314</v>
      </c>
      <c r="C102" s="12" t="n">
        <v>2106</v>
      </c>
      <c r="D102" s="12" t="n">
        <v>0</v>
      </c>
      <c r="E102" s="13" t="n">
        <f aca="false">SUM(B102:D102)</f>
        <v>3420</v>
      </c>
    </row>
    <row r="103" customFormat="false" ht="15" hidden="false" customHeight="false" outlineLevel="0" collapsed="false">
      <c r="A103" s="4" t="n">
        <v>98</v>
      </c>
      <c r="B103" s="12" t="n">
        <v>1100</v>
      </c>
      <c r="C103" s="12" t="n">
        <v>1814</v>
      </c>
      <c r="D103" s="12" t="n">
        <v>1</v>
      </c>
      <c r="E103" s="13" t="n">
        <f aca="false">SUM(B103:D103)</f>
        <v>2915</v>
      </c>
    </row>
    <row r="104" customFormat="false" ht="15" hidden="false" customHeight="false" outlineLevel="0" collapsed="false">
      <c r="A104" s="4" t="n">
        <v>99</v>
      </c>
      <c r="B104" s="12" t="n">
        <v>821</v>
      </c>
      <c r="C104" s="12" t="n">
        <v>1317</v>
      </c>
      <c r="D104" s="12" t="n">
        <v>2</v>
      </c>
      <c r="E104" s="13" t="n">
        <f aca="false">SUM(B104:D104)</f>
        <v>2140</v>
      </c>
    </row>
    <row r="105" customFormat="false" ht="15" hidden="false" customHeight="false" outlineLevel="0" collapsed="false">
      <c r="A105" s="10" t="n">
        <v>100</v>
      </c>
      <c r="B105" s="12" t="n">
        <v>1480</v>
      </c>
      <c r="C105" s="12" t="n">
        <v>2802</v>
      </c>
      <c r="D105" s="12" t="n">
        <v>0</v>
      </c>
      <c r="E105" s="13" t="n">
        <f aca="false">SUM(B105:D105)</f>
        <v>4282</v>
      </c>
    </row>
    <row r="106" customFormat="false" ht="15" hidden="false" customHeight="false" outlineLevel="0" collapsed="false">
      <c r="A106" s="15" t="s">
        <v>25</v>
      </c>
      <c r="B106" s="12" t="n">
        <v>3294</v>
      </c>
      <c r="C106" s="12" t="n">
        <v>371</v>
      </c>
      <c r="D106" s="12" t="n">
        <v>378</v>
      </c>
      <c r="E106" s="13" t="n">
        <f aca="false">SUM(B106:D106)</f>
        <v>4043</v>
      </c>
    </row>
    <row r="107" customFormat="false" ht="15" hidden="false" customHeight="false" outlineLevel="0" collapsed="false">
      <c r="A107" s="15" t="s">
        <v>17</v>
      </c>
      <c r="B107" s="16" t="n">
        <f aca="false">SUM(B5:B106)</f>
        <v>420110</v>
      </c>
      <c r="C107" s="16" t="n">
        <f aca="false">SUM(C5:C106)</f>
        <v>323869</v>
      </c>
      <c r="D107" s="16" t="n">
        <f aca="false">SUM(D5:D106)</f>
        <v>500</v>
      </c>
      <c r="E107" s="16" t="n">
        <f aca="false">SUM(E5:E106)</f>
        <v>744479</v>
      </c>
    </row>
    <row r="108" customFormat="false" ht="15" hidden="false" customHeight="false" outlineLevel="0" collapsed="false">
      <c r="A108" s="15" t="s">
        <v>26</v>
      </c>
      <c r="E108" s="18" t="n">
        <f aca="false">E107/(E107-E106)</f>
        <v>1.00546029636593</v>
      </c>
    </row>
    <row r="110" customFormat="false" ht="15" hidden="false" customHeight="false" outlineLevel="0" collapsed="false">
      <c r="A110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4" min="2" style="0" width="15"/>
  </cols>
  <sheetData>
    <row r="1" customFormat="false" ht="16.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3" t="s">
        <v>2</v>
      </c>
      <c r="B4" s="3" t="s">
        <v>14</v>
      </c>
      <c r="C4" s="3" t="s">
        <v>15</v>
      </c>
      <c r="D4" s="3" t="s">
        <v>17</v>
      </c>
    </row>
    <row r="5" customFormat="false" ht="15" hidden="false" customHeight="false" outlineLevel="0" collapsed="false">
      <c r="A5" s="4" t="n">
        <v>0</v>
      </c>
      <c r="B5" s="12" t="n">
        <v>916140</v>
      </c>
      <c r="C5" s="12" t="n">
        <v>896837</v>
      </c>
      <c r="D5" s="13" t="n">
        <f aca="false">B5+C5</f>
        <v>1812977</v>
      </c>
    </row>
    <row r="6" customFormat="false" ht="15" hidden="false" customHeight="false" outlineLevel="0" collapsed="false">
      <c r="A6" s="4" t="n">
        <v>1</v>
      </c>
      <c r="B6" s="12" t="n">
        <v>967223</v>
      </c>
      <c r="C6" s="12" t="n">
        <v>942735</v>
      </c>
      <c r="D6" s="13" t="n">
        <f aca="false">B6+C6</f>
        <v>1909958</v>
      </c>
    </row>
    <row r="7" customFormat="false" ht="15" hidden="false" customHeight="false" outlineLevel="0" collapsed="false">
      <c r="A7" s="4" t="n">
        <v>2</v>
      </c>
      <c r="B7" s="12" t="n">
        <v>1031816</v>
      </c>
      <c r="C7" s="12" t="n">
        <v>1009303</v>
      </c>
      <c r="D7" s="13" t="n">
        <f aca="false">B7+C7</f>
        <v>2041119</v>
      </c>
    </row>
    <row r="8" customFormat="false" ht="15" hidden="false" customHeight="false" outlineLevel="0" collapsed="false">
      <c r="A8" s="4" t="n">
        <v>3</v>
      </c>
      <c r="B8" s="12" t="n">
        <v>1060809</v>
      </c>
      <c r="C8" s="12" t="n">
        <v>1047597</v>
      </c>
      <c r="D8" s="13" t="n">
        <f aca="false">B8+C8</f>
        <v>2108406</v>
      </c>
    </row>
    <row r="9" customFormat="false" ht="15" hidden="false" customHeight="false" outlineLevel="0" collapsed="false">
      <c r="A9" s="4" t="n">
        <v>4</v>
      </c>
      <c r="B9" s="12" t="n">
        <v>1101494</v>
      </c>
      <c r="C9" s="12" t="n">
        <v>1073411</v>
      </c>
      <c r="D9" s="13" t="n">
        <f aca="false">B9+C9</f>
        <v>2174905</v>
      </c>
    </row>
    <row r="10" customFormat="false" ht="15" hidden="false" customHeight="false" outlineLevel="0" collapsed="false">
      <c r="A10" s="4" t="n">
        <v>5</v>
      </c>
      <c r="B10" s="12" t="n">
        <v>1106361</v>
      </c>
      <c r="C10" s="12" t="n">
        <v>1072540</v>
      </c>
      <c r="D10" s="13" t="n">
        <f aca="false">B10+C10</f>
        <v>2178901</v>
      </c>
    </row>
    <row r="11" customFormat="false" ht="15" hidden="false" customHeight="false" outlineLevel="0" collapsed="false">
      <c r="A11" s="4" t="n">
        <v>6</v>
      </c>
      <c r="B11" s="12" t="n">
        <v>1057642</v>
      </c>
      <c r="C11" s="12" t="n">
        <v>1037707</v>
      </c>
      <c r="D11" s="13" t="n">
        <f aca="false">B11+C11</f>
        <v>2095349</v>
      </c>
    </row>
    <row r="12" customFormat="false" ht="15" hidden="false" customHeight="false" outlineLevel="0" collapsed="false">
      <c r="A12" s="4" t="n">
        <v>7</v>
      </c>
      <c r="B12" s="12" t="n">
        <v>1087091</v>
      </c>
      <c r="C12" s="12" t="n">
        <v>1059203</v>
      </c>
      <c r="D12" s="13" t="n">
        <f aca="false">B12+C12</f>
        <v>2146294</v>
      </c>
    </row>
    <row r="13" customFormat="false" ht="15" hidden="false" customHeight="false" outlineLevel="0" collapsed="false">
      <c r="A13" s="4" t="n">
        <v>8</v>
      </c>
      <c r="B13" s="12" t="n">
        <v>1140496</v>
      </c>
      <c r="C13" s="12" t="n">
        <v>1093999</v>
      </c>
      <c r="D13" s="13" t="n">
        <f aca="false">B13+C13</f>
        <v>2234495</v>
      </c>
    </row>
    <row r="14" customFormat="false" ht="15" hidden="false" customHeight="false" outlineLevel="0" collapsed="false">
      <c r="A14" s="4" t="n">
        <v>9</v>
      </c>
      <c r="B14" s="12" t="n">
        <v>1061501</v>
      </c>
      <c r="C14" s="12" t="n">
        <v>1047839</v>
      </c>
      <c r="D14" s="13" t="n">
        <f aca="false">B14+C14</f>
        <v>2109340</v>
      </c>
    </row>
    <row r="15" customFormat="false" ht="15" hidden="false" customHeight="false" outlineLevel="0" collapsed="false">
      <c r="A15" s="4" t="n">
        <v>10</v>
      </c>
      <c r="B15" s="12" t="n">
        <v>1174026</v>
      </c>
      <c r="C15" s="12" t="n">
        <v>1125241</v>
      </c>
      <c r="D15" s="13" t="n">
        <f aca="false">B15+C15</f>
        <v>2299267</v>
      </c>
    </row>
    <row r="16" customFormat="false" ht="15" hidden="false" customHeight="false" outlineLevel="0" collapsed="false">
      <c r="A16" s="4" t="n">
        <v>11</v>
      </c>
      <c r="B16" s="12" t="n">
        <v>1066706</v>
      </c>
      <c r="C16" s="12" t="n">
        <v>1034766</v>
      </c>
      <c r="D16" s="13" t="n">
        <f aca="false">B16+C16</f>
        <v>2101472</v>
      </c>
    </row>
    <row r="17" customFormat="false" ht="15" hidden="false" customHeight="false" outlineLevel="0" collapsed="false">
      <c r="A17" s="4" t="n">
        <v>12</v>
      </c>
      <c r="B17" s="12" t="n">
        <v>1146128</v>
      </c>
      <c r="C17" s="12" t="n">
        <v>1103439</v>
      </c>
      <c r="D17" s="13" t="n">
        <f aca="false">B17+C17</f>
        <v>2249567</v>
      </c>
    </row>
    <row r="18" customFormat="false" ht="15" hidden="false" customHeight="false" outlineLevel="0" collapsed="false">
      <c r="A18" s="4" t="n">
        <v>13</v>
      </c>
      <c r="B18" s="12" t="n">
        <v>1082309</v>
      </c>
      <c r="C18" s="12" t="n">
        <v>1058332</v>
      </c>
      <c r="D18" s="13" t="n">
        <f aca="false">B18+C18</f>
        <v>2140641</v>
      </c>
    </row>
    <row r="19" customFormat="false" ht="15" hidden="false" customHeight="false" outlineLevel="0" collapsed="false">
      <c r="A19" s="4" t="n">
        <v>14</v>
      </c>
      <c r="B19" s="12" t="n">
        <v>1085091</v>
      </c>
      <c r="C19" s="12" t="n">
        <v>1067502</v>
      </c>
      <c r="D19" s="13" t="n">
        <f aca="false">B19+C19</f>
        <v>2152593</v>
      </c>
    </row>
    <row r="20" customFormat="false" ht="15" hidden="false" customHeight="false" outlineLevel="0" collapsed="false">
      <c r="A20" s="4" t="n">
        <v>15</v>
      </c>
      <c r="B20" s="12" t="n">
        <v>1113136</v>
      </c>
      <c r="C20" s="12" t="n">
        <v>1080658</v>
      </c>
      <c r="D20" s="13" t="n">
        <f aca="false">B20+C20</f>
        <v>2193794</v>
      </c>
    </row>
    <row r="21" customFormat="false" ht="15" hidden="false" customHeight="false" outlineLevel="0" collapsed="false">
      <c r="A21" s="4" t="n">
        <v>16</v>
      </c>
      <c r="B21" s="12" t="n">
        <v>1054448</v>
      </c>
      <c r="C21" s="12" t="n">
        <v>1032036</v>
      </c>
      <c r="D21" s="13" t="n">
        <f aca="false">B21+C21</f>
        <v>2086484</v>
      </c>
    </row>
    <row r="22" customFormat="false" ht="15" hidden="false" customHeight="false" outlineLevel="0" collapsed="false">
      <c r="A22" s="4" t="n">
        <v>17</v>
      </c>
      <c r="B22" s="12" t="n">
        <v>1122956</v>
      </c>
      <c r="C22" s="12" t="n">
        <v>1089440</v>
      </c>
      <c r="D22" s="13" t="n">
        <f aca="false">B22+C22</f>
        <v>2212396</v>
      </c>
    </row>
    <row r="23" customFormat="false" ht="15" hidden="false" customHeight="false" outlineLevel="0" collapsed="false">
      <c r="A23" s="4" t="n">
        <v>18</v>
      </c>
      <c r="B23" s="12" t="n">
        <v>1172693</v>
      </c>
      <c r="C23" s="12" t="n">
        <v>1134982</v>
      </c>
      <c r="D23" s="13" t="n">
        <f aca="false">B23+C23</f>
        <v>2307675</v>
      </c>
    </row>
    <row r="24" customFormat="false" ht="15" hidden="false" customHeight="false" outlineLevel="0" collapsed="false">
      <c r="A24" s="4" t="n">
        <v>19</v>
      </c>
      <c r="B24" s="12" t="n">
        <v>998917</v>
      </c>
      <c r="C24" s="12" t="n">
        <v>1007424</v>
      </c>
      <c r="D24" s="13" t="n">
        <f aca="false">B24+C24</f>
        <v>2006341</v>
      </c>
    </row>
    <row r="25" customFormat="false" ht="15" hidden="false" customHeight="false" outlineLevel="0" collapsed="false">
      <c r="A25" s="4" t="n">
        <v>20</v>
      </c>
      <c r="B25" s="12" t="n">
        <v>1146232</v>
      </c>
      <c r="C25" s="12" t="n">
        <v>1161603</v>
      </c>
      <c r="D25" s="13" t="n">
        <f aca="false">B25+C25</f>
        <v>2307835</v>
      </c>
    </row>
    <row r="26" customFormat="false" ht="15" hidden="false" customHeight="false" outlineLevel="0" collapsed="false">
      <c r="A26" s="4" t="n">
        <v>21</v>
      </c>
      <c r="B26" s="12" t="n">
        <v>957236</v>
      </c>
      <c r="C26" s="12" t="n">
        <v>960314</v>
      </c>
      <c r="D26" s="13" t="n">
        <f aca="false">B26+C26</f>
        <v>1917550</v>
      </c>
    </row>
    <row r="27" customFormat="false" ht="15" hidden="false" customHeight="false" outlineLevel="0" collapsed="false">
      <c r="A27" s="4" t="n">
        <v>22</v>
      </c>
      <c r="B27" s="12" t="n">
        <v>1061846</v>
      </c>
      <c r="C27" s="12" t="n">
        <v>1067065</v>
      </c>
      <c r="D27" s="13" t="n">
        <f aca="false">B27+C27</f>
        <v>2128911</v>
      </c>
    </row>
    <row r="28" customFormat="false" ht="15" hidden="false" customHeight="false" outlineLevel="0" collapsed="false">
      <c r="A28" s="4" t="n">
        <v>23</v>
      </c>
      <c r="B28" s="12" t="n">
        <v>1005112</v>
      </c>
      <c r="C28" s="12" t="n">
        <v>1028971</v>
      </c>
      <c r="D28" s="13" t="n">
        <f aca="false">B28+C28</f>
        <v>2034083</v>
      </c>
    </row>
    <row r="29" customFormat="false" ht="15" hidden="false" customHeight="false" outlineLevel="0" collapsed="false">
      <c r="A29" s="4" t="n">
        <v>24</v>
      </c>
      <c r="B29" s="12" t="n">
        <v>995458</v>
      </c>
      <c r="C29" s="12" t="n">
        <v>1038258</v>
      </c>
      <c r="D29" s="13" t="n">
        <f aca="false">B29+C29</f>
        <v>2033716</v>
      </c>
    </row>
    <row r="30" customFormat="false" ht="15" hidden="false" customHeight="false" outlineLevel="0" collapsed="false">
      <c r="A30" s="4" t="n">
        <v>25</v>
      </c>
      <c r="B30" s="12" t="n">
        <v>1063775</v>
      </c>
      <c r="C30" s="12" t="n">
        <v>1115241</v>
      </c>
      <c r="D30" s="13" t="n">
        <f aca="false">B30+C30</f>
        <v>2179016</v>
      </c>
    </row>
    <row r="31" customFormat="false" ht="15" hidden="false" customHeight="false" outlineLevel="0" collapsed="false">
      <c r="A31" s="4" t="n">
        <v>26</v>
      </c>
      <c r="B31" s="12" t="n">
        <v>954163</v>
      </c>
      <c r="C31" s="12" t="n">
        <v>1022308</v>
      </c>
      <c r="D31" s="13" t="n">
        <f aca="false">B31+C31</f>
        <v>1976471</v>
      </c>
    </row>
    <row r="32" customFormat="false" ht="15" hidden="false" customHeight="false" outlineLevel="0" collapsed="false">
      <c r="A32" s="4" t="n">
        <v>27</v>
      </c>
      <c r="B32" s="12" t="n">
        <v>955081</v>
      </c>
      <c r="C32" s="12" t="n">
        <v>999565</v>
      </c>
      <c r="D32" s="13" t="n">
        <f aca="false">B32+C32</f>
        <v>1954646</v>
      </c>
    </row>
    <row r="33" customFormat="false" ht="15" hidden="false" customHeight="false" outlineLevel="0" collapsed="false">
      <c r="A33" s="4" t="n">
        <v>28</v>
      </c>
      <c r="B33" s="12" t="n">
        <v>1001692</v>
      </c>
      <c r="C33" s="12" t="n">
        <v>1042848</v>
      </c>
      <c r="D33" s="13" t="n">
        <f aca="false">B33+C33</f>
        <v>2044540</v>
      </c>
    </row>
    <row r="34" customFormat="false" ht="15" hidden="false" customHeight="false" outlineLevel="0" collapsed="false">
      <c r="A34" s="4" t="n">
        <v>29</v>
      </c>
      <c r="B34" s="12" t="n">
        <v>886693</v>
      </c>
      <c r="C34" s="12" t="n">
        <v>951635</v>
      </c>
      <c r="D34" s="13" t="n">
        <f aca="false">B34+C34</f>
        <v>1838328</v>
      </c>
    </row>
    <row r="35" customFormat="false" ht="15" hidden="false" customHeight="false" outlineLevel="0" collapsed="false">
      <c r="A35" s="4" t="n">
        <v>30</v>
      </c>
      <c r="B35" s="12" t="n">
        <v>1148015</v>
      </c>
      <c r="C35" s="12" t="n">
        <v>1218303</v>
      </c>
      <c r="D35" s="13" t="n">
        <f aca="false">B35+C35</f>
        <v>2366318</v>
      </c>
    </row>
    <row r="36" customFormat="false" ht="15" hidden="false" customHeight="false" outlineLevel="0" collapsed="false">
      <c r="A36" s="4" t="n">
        <v>31</v>
      </c>
      <c r="B36" s="12" t="n">
        <v>734272</v>
      </c>
      <c r="C36" s="12" t="n">
        <v>807132</v>
      </c>
      <c r="D36" s="13" t="n">
        <f aca="false">B36+C36</f>
        <v>1541404</v>
      </c>
    </row>
    <row r="37" customFormat="false" ht="15" hidden="false" customHeight="false" outlineLevel="0" collapsed="false">
      <c r="A37" s="4" t="n">
        <v>32</v>
      </c>
      <c r="B37" s="12" t="n">
        <v>959947</v>
      </c>
      <c r="C37" s="12" t="n">
        <v>1037842</v>
      </c>
      <c r="D37" s="13" t="n">
        <f aca="false">B37+C37</f>
        <v>1997789</v>
      </c>
    </row>
    <row r="38" customFormat="false" ht="15" hidden="false" customHeight="false" outlineLevel="0" collapsed="false">
      <c r="A38" s="4" t="n">
        <v>33</v>
      </c>
      <c r="B38" s="12" t="n">
        <v>849187</v>
      </c>
      <c r="C38" s="12" t="n">
        <v>927893</v>
      </c>
      <c r="D38" s="13" t="n">
        <f aca="false">B38+C38</f>
        <v>1777080</v>
      </c>
    </row>
    <row r="39" customFormat="false" ht="15" hidden="false" customHeight="false" outlineLevel="0" collapsed="false">
      <c r="A39" s="4" t="n">
        <v>34</v>
      </c>
      <c r="B39" s="12" t="n">
        <v>836305</v>
      </c>
      <c r="C39" s="12" t="n">
        <v>901931</v>
      </c>
      <c r="D39" s="13" t="n">
        <f aca="false">B39+C39</f>
        <v>1738236</v>
      </c>
    </row>
    <row r="40" customFormat="false" ht="15" hidden="false" customHeight="false" outlineLevel="0" collapsed="false">
      <c r="A40" s="4" t="n">
        <v>35</v>
      </c>
      <c r="B40" s="12" t="n">
        <v>966246</v>
      </c>
      <c r="C40" s="12" t="n">
        <v>1036930</v>
      </c>
      <c r="D40" s="13" t="n">
        <f aca="false">B40+C40</f>
        <v>2003176</v>
      </c>
    </row>
    <row r="41" customFormat="false" ht="15" hidden="false" customHeight="false" outlineLevel="0" collapsed="false">
      <c r="A41" s="4" t="n">
        <v>36</v>
      </c>
      <c r="B41" s="12" t="n">
        <v>870975</v>
      </c>
      <c r="C41" s="12" t="n">
        <v>957381</v>
      </c>
      <c r="D41" s="13" t="n">
        <f aca="false">B41+C41</f>
        <v>1828356</v>
      </c>
    </row>
    <row r="42" customFormat="false" ht="15" hidden="false" customHeight="false" outlineLevel="0" collapsed="false">
      <c r="A42" s="4" t="n">
        <v>37</v>
      </c>
      <c r="B42" s="12" t="n">
        <v>767996</v>
      </c>
      <c r="C42" s="12" t="n">
        <v>832855</v>
      </c>
      <c r="D42" s="13" t="n">
        <f aca="false">B42+C42</f>
        <v>1600851</v>
      </c>
    </row>
    <row r="43" customFormat="false" ht="15" hidden="false" customHeight="false" outlineLevel="0" collapsed="false">
      <c r="A43" s="4" t="n">
        <v>38</v>
      </c>
      <c r="B43" s="12" t="n">
        <v>941824</v>
      </c>
      <c r="C43" s="12" t="n">
        <v>1000225</v>
      </c>
      <c r="D43" s="13" t="n">
        <f aca="false">B43+C43</f>
        <v>1942049</v>
      </c>
    </row>
    <row r="44" customFormat="false" ht="15" hidden="false" customHeight="false" outlineLevel="0" collapsed="false">
      <c r="A44" s="4" t="n">
        <v>39</v>
      </c>
      <c r="B44" s="12" t="n">
        <v>784489</v>
      </c>
      <c r="C44" s="12" t="n">
        <v>861355</v>
      </c>
      <c r="D44" s="13" t="n">
        <f aca="false">B44+C44</f>
        <v>1645844</v>
      </c>
    </row>
    <row r="45" customFormat="false" ht="15" hidden="false" customHeight="false" outlineLevel="0" collapsed="false">
      <c r="A45" s="4" t="n">
        <v>40</v>
      </c>
      <c r="B45" s="12" t="n">
        <v>1059322</v>
      </c>
      <c r="C45" s="12" t="n">
        <v>1146683</v>
      </c>
      <c r="D45" s="13" t="n">
        <f aca="false">B45+C45</f>
        <v>2206005</v>
      </c>
    </row>
    <row r="46" customFormat="false" ht="15" hidden="false" customHeight="false" outlineLevel="0" collapsed="false">
      <c r="A46" s="4" t="n">
        <v>41</v>
      </c>
      <c r="B46" s="12" t="n">
        <v>624905</v>
      </c>
      <c r="C46" s="12" t="n">
        <v>690335</v>
      </c>
      <c r="D46" s="13" t="n">
        <f aca="false">B46+C46</f>
        <v>1315240</v>
      </c>
    </row>
    <row r="47" customFormat="false" ht="15" hidden="false" customHeight="false" outlineLevel="0" collapsed="false">
      <c r="A47" s="4" t="n">
        <v>42</v>
      </c>
      <c r="B47" s="12" t="n">
        <v>928285</v>
      </c>
      <c r="C47" s="12" t="n">
        <v>997622</v>
      </c>
      <c r="D47" s="13" t="n">
        <f aca="false">B47+C47</f>
        <v>1925907</v>
      </c>
    </row>
    <row r="48" customFormat="false" ht="15" hidden="false" customHeight="false" outlineLevel="0" collapsed="false">
      <c r="A48" s="4" t="n">
        <v>43</v>
      </c>
      <c r="B48" s="12" t="n">
        <v>768115</v>
      </c>
      <c r="C48" s="12" t="n">
        <v>850194</v>
      </c>
      <c r="D48" s="13" t="n">
        <f aca="false">B48+C48</f>
        <v>1618309</v>
      </c>
    </row>
    <row r="49" customFormat="false" ht="15" hidden="false" customHeight="false" outlineLevel="0" collapsed="false">
      <c r="A49" s="4" t="n">
        <v>44</v>
      </c>
      <c r="B49" s="12" t="n">
        <v>681677</v>
      </c>
      <c r="C49" s="12" t="n">
        <v>756448</v>
      </c>
      <c r="D49" s="13" t="n">
        <f aca="false">B49+C49</f>
        <v>1438125</v>
      </c>
    </row>
    <row r="50" customFormat="false" ht="15" hidden="false" customHeight="false" outlineLevel="0" collapsed="false">
      <c r="A50" s="4" t="n">
        <v>45</v>
      </c>
      <c r="B50" s="12" t="n">
        <v>919327</v>
      </c>
      <c r="C50" s="12" t="n">
        <v>976618</v>
      </c>
      <c r="D50" s="13" t="n">
        <f aca="false">B50+C50</f>
        <v>1895945</v>
      </c>
    </row>
    <row r="51" customFormat="false" ht="15" hidden="false" customHeight="false" outlineLevel="0" collapsed="false">
      <c r="A51" s="4" t="n">
        <v>46</v>
      </c>
      <c r="B51" s="12" t="n">
        <v>718647</v>
      </c>
      <c r="C51" s="12" t="n">
        <v>790847</v>
      </c>
      <c r="D51" s="13" t="n">
        <f aca="false">B51+C51</f>
        <v>1509494</v>
      </c>
    </row>
    <row r="52" customFormat="false" ht="15" hidden="false" customHeight="false" outlineLevel="0" collapsed="false">
      <c r="A52" s="4" t="n">
        <v>47</v>
      </c>
      <c r="B52" s="12" t="n">
        <v>725378</v>
      </c>
      <c r="C52" s="12" t="n">
        <v>782495</v>
      </c>
      <c r="D52" s="13" t="n">
        <f aca="false">B52+C52</f>
        <v>1507873</v>
      </c>
    </row>
    <row r="53" customFormat="false" ht="15" hidden="false" customHeight="false" outlineLevel="0" collapsed="false">
      <c r="A53" s="4" t="n">
        <v>48</v>
      </c>
      <c r="B53" s="12" t="n">
        <v>763098</v>
      </c>
      <c r="C53" s="12" t="n">
        <v>828232</v>
      </c>
      <c r="D53" s="13" t="n">
        <f aca="false">B53+C53</f>
        <v>1591330</v>
      </c>
    </row>
    <row r="54" customFormat="false" ht="15" hidden="false" customHeight="false" outlineLevel="0" collapsed="false">
      <c r="A54" s="4" t="n">
        <v>49</v>
      </c>
      <c r="B54" s="12" t="n">
        <v>685894</v>
      </c>
      <c r="C54" s="12" t="n">
        <v>751877</v>
      </c>
      <c r="D54" s="13" t="n">
        <f aca="false">B54+C54</f>
        <v>1437771</v>
      </c>
    </row>
    <row r="55" customFormat="false" ht="15" hidden="false" customHeight="false" outlineLevel="0" collapsed="false">
      <c r="A55" s="4" t="n">
        <v>50</v>
      </c>
      <c r="B55" s="12" t="n">
        <v>890709</v>
      </c>
      <c r="C55" s="12" t="n">
        <v>974467</v>
      </c>
      <c r="D55" s="13" t="n">
        <f aca="false">B55+C55</f>
        <v>1865176</v>
      </c>
    </row>
    <row r="56" customFormat="false" ht="15" hidden="false" customHeight="false" outlineLevel="0" collapsed="false">
      <c r="A56" s="4" t="n">
        <v>51</v>
      </c>
      <c r="B56" s="12" t="n">
        <v>519757</v>
      </c>
      <c r="C56" s="12" t="n">
        <v>580730</v>
      </c>
      <c r="D56" s="13" t="n">
        <f aca="false">B56+C56</f>
        <v>1100487</v>
      </c>
    </row>
    <row r="57" customFormat="false" ht="15" hidden="false" customHeight="false" outlineLevel="0" collapsed="false">
      <c r="A57" s="4" t="n">
        <v>52</v>
      </c>
      <c r="B57" s="12" t="n">
        <v>711793</v>
      </c>
      <c r="C57" s="12" t="n">
        <v>779167</v>
      </c>
      <c r="D57" s="13" t="n">
        <f aca="false">B57+C57</f>
        <v>1490960</v>
      </c>
    </row>
    <row r="58" customFormat="false" ht="15" hidden="false" customHeight="false" outlineLevel="0" collapsed="false">
      <c r="A58" s="4" t="n">
        <v>53</v>
      </c>
      <c r="B58" s="12" t="n">
        <v>606024</v>
      </c>
      <c r="C58" s="12" t="n">
        <v>675736</v>
      </c>
      <c r="D58" s="13" t="n">
        <f aca="false">B58+C58</f>
        <v>1281760</v>
      </c>
    </row>
    <row r="59" customFormat="false" ht="15" hidden="false" customHeight="false" outlineLevel="0" collapsed="false">
      <c r="A59" s="4" t="n">
        <v>54</v>
      </c>
      <c r="B59" s="12" t="n">
        <v>603880</v>
      </c>
      <c r="C59" s="12" t="n">
        <v>695269</v>
      </c>
      <c r="D59" s="13" t="n">
        <f aca="false">B59+C59</f>
        <v>1299149</v>
      </c>
    </row>
    <row r="60" customFormat="false" ht="15" hidden="false" customHeight="false" outlineLevel="0" collapsed="false">
      <c r="A60" s="4" t="n">
        <v>55</v>
      </c>
      <c r="B60" s="12" t="n">
        <v>621423</v>
      </c>
      <c r="C60" s="12" t="n">
        <v>694085</v>
      </c>
      <c r="D60" s="13" t="n">
        <f aca="false">B60+C60</f>
        <v>1315508</v>
      </c>
    </row>
    <row r="61" customFormat="false" ht="15" hidden="false" customHeight="false" outlineLevel="0" collapsed="false">
      <c r="A61" s="4" t="n">
        <v>56</v>
      </c>
      <c r="B61" s="12" t="n">
        <v>591296</v>
      </c>
      <c r="C61" s="12" t="n">
        <v>644523</v>
      </c>
      <c r="D61" s="13" t="n">
        <f aca="false">B61+C61</f>
        <v>1235819</v>
      </c>
    </row>
    <row r="62" customFormat="false" ht="15" hidden="false" customHeight="false" outlineLevel="0" collapsed="false">
      <c r="A62" s="4" t="n">
        <v>57</v>
      </c>
      <c r="B62" s="12" t="n">
        <v>476655</v>
      </c>
      <c r="C62" s="12" t="n">
        <v>536515</v>
      </c>
      <c r="D62" s="13" t="n">
        <f aca="false">B62+C62</f>
        <v>1013170</v>
      </c>
    </row>
    <row r="63" customFormat="false" ht="15" hidden="false" customHeight="false" outlineLevel="0" collapsed="false">
      <c r="A63" s="4" t="n">
        <v>58</v>
      </c>
      <c r="B63" s="12" t="n">
        <v>524223</v>
      </c>
      <c r="C63" s="12" t="n">
        <v>589095</v>
      </c>
      <c r="D63" s="13" t="n">
        <f aca="false">B63+C63</f>
        <v>1113318</v>
      </c>
    </row>
    <row r="64" customFormat="false" ht="15" hidden="false" customHeight="false" outlineLevel="0" collapsed="false">
      <c r="A64" s="4" t="n">
        <v>59</v>
      </c>
      <c r="B64" s="12" t="n">
        <v>479379</v>
      </c>
      <c r="C64" s="12" t="n">
        <v>538764</v>
      </c>
      <c r="D64" s="13" t="n">
        <f aca="false">B64+C64</f>
        <v>1018143</v>
      </c>
    </row>
    <row r="65" customFormat="false" ht="15" hidden="false" customHeight="false" outlineLevel="0" collapsed="false">
      <c r="A65" s="4" t="n">
        <v>60</v>
      </c>
      <c r="B65" s="12" t="n">
        <v>627532</v>
      </c>
      <c r="C65" s="12" t="n">
        <v>705998</v>
      </c>
      <c r="D65" s="13" t="n">
        <f aca="false">B65+C65</f>
        <v>1333530</v>
      </c>
    </row>
    <row r="66" customFormat="false" ht="15" hidden="false" customHeight="false" outlineLevel="0" collapsed="false">
      <c r="A66" s="4" t="n">
        <v>61</v>
      </c>
      <c r="B66" s="12" t="n">
        <v>347068</v>
      </c>
      <c r="C66" s="12" t="n">
        <v>399294</v>
      </c>
      <c r="D66" s="13" t="n">
        <f aca="false">B66+C66</f>
        <v>746362</v>
      </c>
    </row>
    <row r="67" customFormat="false" ht="15" hidden="false" customHeight="false" outlineLevel="0" collapsed="false">
      <c r="A67" s="4" t="n">
        <v>62</v>
      </c>
      <c r="B67" s="12" t="n">
        <v>456755</v>
      </c>
      <c r="C67" s="12" t="n">
        <v>516023</v>
      </c>
      <c r="D67" s="13" t="n">
        <f aca="false">B67+C67</f>
        <v>972778</v>
      </c>
    </row>
    <row r="68" customFormat="false" ht="15" hidden="false" customHeight="false" outlineLevel="0" collapsed="false">
      <c r="A68" s="4" t="n">
        <v>63</v>
      </c>
      <c r="B68" s="12" t="n">
        <v>431407</v>
      </c>
      <c r="C68" s="12" t="n">
        <v>488413</v>
      </c>
      <c r="D68" s="13" t="n">
        <f aca="false">B68+C68</f>
        <v>919820</v>
      </c>
    </row>
    <row r="69" customFormat="false" ht="15" hidden="false" customHeight="false" outlineLevel="0" collapsed="false">
      <c r="A69" s="4" t="n">
        <v>64</v>
      </c>
      <c r="B69" s="12" t="n">
        <v>395100</v>
      </c>
      <c r="C69" s="12" t="n">
        <v>453472</v>
      </c>
      <c r="D69" s="13" t="n">
        <f aca="false">B69+C69</f>
        <v>848572</v>
      </c>
    </row>
    <row r="70" customFormat="false" ht="15" hidden="false" customHeight="false" outlineLevel="0" collapsed="false">
      <c r="A70" s="4" t="n">
        <v>65</v>
      </c>
      <c r="B70" s="12" t="n">
        <v>462245</v>
      </c>
      <c r="C70" s="12" t="n">
        <v>520856</v>
      </c>
      <c r="D70" s="13" t="n">
        <f aca="false">B70+C70</f>
        <v>983101</v>
      </c>
    </row>
    <row r="71" customFormat="false" ht="15" hidden="false" customHeight="false" outlineLevel="0" collapsed="false">
      <c r="A71" s="4" t="n">
        <v>66</v>
      </c>
      <c r="B71" s="12" t="n">
        <v>316121</v>
      </c>
      <c r="C71" s="12" t="n">
        <v>363669</v>
      </c>
      <c r="D71" s="13" t="n">
        <f aca="false">B71+C71</f>
        <v>679790</v>
      </c>
    </row>
    <row r="72" customFormat="false" ht="15" hidden="false" customHeight="false" outlineLevel="0" collapsed="false">
      <c r="A72" s="4" t="n">
        <v>67</v>
      </c>
      <c r="B72" s="12" t="n">
        <v>316743</v>
      </c>
      <c r="C72" s="12" t="n">
        <v>350108</v>
      </c>
      <c r="D72" s="13" t="n">
        <f aca="false">B72+C72</f>
        <v>666851</v>
      </c>
    </row>
    <row r="73" customFormat="false" ht="15" hidden="false" customHeight="false" outlineLevel="0" collapsed="false">
      <c r="A73" s="4" t="n">
        <v>68</v>
      </c>
      <c r="B73" s="12" t="n">
        <v>349542</v>
      </c>
      <c r="C73" s="12" t="n">
        <v>404171</v>
      </c>
      <c r="D73" s="13" t="n">
        <f aca="false">B73+C73</f>
        <v>753713</v>
      </c>
    </row>
    <row r="74" customFormat="false" ht="15" hidden="false" customHeight="false" outlineLevel="0" collapsed="false">
      <c r="A74" s="4" t="n">
        <v>69</v>
      </c>
      <c r="B74" s="12" t="n">
        <v>262199</v>
      </c>
      <c r="C74" s="12" t="n">
        <v>299423</v>
      </c>
      <c r="D74" s="13" t="n">
        <f aca="false">B74+C74</f>
        <v>561622</v>
      </c>
    </row>
    <row r="75" customFormat="false" ht="15" hidden="false" customHeight="false" outlineLevel="0" collapsed="false">
      <c r="A75" s="4" t="n">
        <v>70</v>
      </c>
      <c r="B75" s="12" t="n">
        <v>332464</v>
      </c>
      <c r="C75" s="12" t="n">
        <v>383782</v>
      </c>
      <c r="D75" s="13" t="n">
        <f aca="false">B75+C75</f>
        <v>716246</v>
      </c>
    </row>
    <row r="76" customFormat="false" ht="15" hidden="false" customHeight="false" outlineLevel="0" collapsed="false">
      <c r="A76" s="4" t="n">
        <v>71</v>
      </c>
      <c r="B76" s="12" t="n">
        <v>194181</v>
      </c>
      <c r="C76" s="12" t="n">
        <v>219326</v>
      </c>
      <c r="D76" s="13" t="n">
        <f aca="false">B76+C76</f>
        <v>413507</v>
      </c>
    </row>
    <row r="77" customFormat="false" ht="15" hidden="false" customHeight="false" outlineLevel="0" collapsed="false">
      <c r="A77" s="4" t="n">
        <v>72</v>
      </c>
      <c r="B77" s="12" t="n">
        <v>272830</v>
      </c>
      <c r="C77" s="12" t="n">
        <v>307181</v>
      </c>
      <c r="D77" s="13" t="n">
        <f aca="false">B77+C77</f>
        <v>580011</v>
      </c>
    </row>
    <row r="78" customFormat="false" ht="15" hidden="false" customHeight="false" outlineLevel="0" collapsed="false">
      <c r="A78" s="4" t="n">
        <v>73</v>
      </c>
      <c r="B78" s="12" t="n">
        <v>223788</v>
      </c>
      <c r="C78" s="12" t="n">
        <v>256636</v>
      </c>
      <c r="D78" s="13" t="n">
        <f aca="false">B78+C78</f>
        <v>480424</v>
      </c>
    </row>
    <row r="79" customFormat="false" ht="15" hidden="false" customHeight="false" outlineLevel="0" collapsed="false">
      <c r="A79" s="4" t="n">
        <v>74</v>
      </c>
      <c r="B79" s="12" t="n">
        <v>210229</v>
      </c>
      <c r="C79" s="12" t="n">
        <v>246923</v>
      </c>
      <c r="D79" s="13" t="n">
        <f aca="false">B79+C79</f>
        <v>457152</v>
      </c>
    </row>
    <row r="80" customFormat="false" ht="15" hidden="false" customHeight="false" outlineLevel="0" collapsed="false">
      <c r="A80" s="4" t="n">
        <v>75</v>
      </c>
      <c r="B80" s="12" t="n">
        <v>219479</v>
      </c>
      <c r="C80" s="12" t="n">
        <v>250636</v>
      </c>
      <c r="D80" s="13" t="n">
        <f aca="false">B80+C80</f>
        <v>470115</v>
      </c>
    </row>
    <row r="81" customFormat="false" ht="15" hidden="false" customHeight="false" outlineLevel="0" collapsed="false">
      <c r="A81" s="4" t="n">
        <v>76</v>
      </c>
      <c r="B81" s="12" t="n">
        <v>178282</v>
      </c>
      <c r="C81" s="12" t="n">
        <v>205385</v>
      </c>
      <c r="D81" s="13" t="n">
        <f aca="false">B81+C81</f>
        <v>383667</v>
      </c>
    </row>
    <row r="82" customFormat="false" ht="15" hidden="false" customHeight="false" outlineLevel="0" collapsed="false">
      <c r="A82" s="4" t="n">
        <v>77</v>
      </c>
      <c r="B82" s="12" t="n">
        <v>148489</v>
      </c>
      <c r="C82" s="12" t="n">
        <v>168928</v>
      </c>
      <c r="D82" s="13" t="n">
        <f aca="false">B82+C82</f>
        <v>317417</v>
      </c>
    </row>
    <row r="83" customFormat="false" ht="15" hidden="false" customHeight="false" outlineLevel="0" collapsed="false">
      <c r="A83" s="4" t="n">
        <v>78</v>
      </c>
      <c r="B83" s="12" t="n">
        <v>171128</v>
      </c>
      <c r="C83" s="12" t="n">
        <v>191770</v>
      </c>
      <c r="D83" s="13" t="n">
        <f aca="false">B83+C83</f>
        <v>362898</v>
      </c>
    </row>
    <row r="84" customFormat="false" ht="15" hidden="false" customHeight="false" outlineLevel="0" collapsed="false">
      <c r="A84" s="4" t="n">
        <v>79</v>
      </c>
      <c r="B84" s="12" t="n">
        <v>130520</v>
      </c>
      <c r="C84" s="12" t="n">
        <v>149965</v>
      </c>
      <c r="D84" s="13" t="n">
        <f aca="false">B84+C84</f>
        <v>280485</v>
      </c>
    </row>
    <row r="85" customFormat="false" ht="15" hidden="false" customHeight="false" outlineLevel="0" collapsed="false">
      <c r="A85" s="4" t="n">
        <v>80</v>
      </c>
      <c r="B85" s="12" t="n">
        <v>156170</v>
      </c>
      <c r="C85" s="12" t="n">
        <v>192832</v>
      </c>
      <c r="D85" s="13" t="n">
        <f aca="false">B85+C85</f>
        <v>349002</v>
      </c>
    </row>
    <row r="86" customFormat="false" ht="15" hidden="false" customHeight="false" outlineLevel="0" collapsed="false">
      <c r="A86" s="4" t="n">
        <v>81</v>
      </c>
      <c r="B86" s="12" t="n">
        <v>83368</v>
      </c>
      <c r="C86" s="12" t="n">
        <v>98336</v>
      </c>
      <c r="D86" s="13" t="n">
        <f aca="false">B86+C86</f>
        <v>181704</v>
      </c>
    </row>
    <row r="87" customFormat="false" ht="15" hidden="false" customHeight="false" outlineLevel="0" collapsed="false">
      <c r="A87" s="4" t="n">
        <v>82</v>
      </c>
      <c r="B87" s="12" t="n">
        <v>102905</v>
      </c>
      <c r="C87" s="12" t="n">
        <v>127145</v>
      </c>
      <c r="D87" s="13" t="n">
        <f aca="false">B87+C87</f>
        <v>230050</v>
      </c>
    </row>
    <row r="88" customFormat="false" ht="15" hidden="false" customHeight="false" outlineLevel="0" collapsed="false">
      <c r="A88" s="4" t="n">
        <v>83</v>
      </c>
      <c r="B88" s="12" t="n">
        <v>92350</v>
      </c>
      <c r="C88" s="12" t="n">
        <v>118019</v>
      </c>
      <c r="D88" s="13" t="n">
        <f aca="false">B88+C88</f>
        <v>210369</v>
      </c>
    </row>
    <row r="89" customFormat="false" ht="15" hidden="false" customHeight="false" outlineLevel="0" collapsed="false">
      <c r="A89" s="4" t="n">
        <v>84</v>
      </c>
      <c r="B89" s="12" t="n">
        <v>89019</v>
      </c>
      <c r="C89" s="12" t="n">
        <v>115220</v>
      </c>
      <c r="D89" s="13" t="n">
        <f aca="false">B89+C89</f>
        <v>204239</v>
      </c>
    </row>
    <row r="90" customFormat="false" ht="15" hidden="false" customHeight="false" outlineLevel="0" collapsed="false">
      <c r="A90" s="4" t="n">
        <v>85</v>
      </c>
      <c r="B90" s="12" t="n">
        <v>82532</v>
      </c>
      <c r="C90" s="12" t="n">
        <v>107237</v>
      </c>
      <c r="D90" s="13" t="n">
        <f aca="false">B90+C90</f>
        <v>189769</v>
      </c>
    </row>
    <row r="91" customFormat="false" ht="15" hidden="false" customHeight="false" outlineLevel="0" collapsed="false">
      <c r="A91" s="4" t="n">
        <v>86</v>
      </c>
      <c r="B91" s="12" t="n">
        <v>65151</v>
      </c>
      <c r="C91" s="12" t="n">
        <v>85514</v>
      </c>
      <c r="D91" s="13" t="n">
        <f aca="false">B91+C91</f>
        <v>150665</v>
      </c>
    </row>
    <row r="92" customFormat="false" ht="15" hidden="false" customHeight="false" outlineLevel="0" collapsed="false">
      <c r="A92" s="4" t="n">
        <v>87</v>
      </c>
      <c r="B92" s="12" t="n">
        <v>52994</v>
      </c>
      <c r="C92" s="12" t="n">
        <v>70759</v>
      </c>
      <c r="D92" s="13" t="n">
        <f aca="false">B92+C92</f>
        <v>123753</v>
      </c>
    </row>
    <row r="93" customFormat="false" ht="15" hidden="false" customHeight="false" outlineLevel="0" collapsed="false">
      <c r="A93" s="4" t="n">
        <v>88</v>
      </c>
      <c r="B93" s="12" t="n">
        <v>43694</v>
      </c>
      <c r="C93" s="12" t="n">
        <v>58161</v>
      </c>
      <c r="D93" s="13" t="n">
        <f aca="false">B93+C93</f>
        <v>101855</v>
      </c>
    </row>
    <row r="94" customFormat="false" ht="15" hidden="false" customHeight="false" outlineLevel="0" collapsed="false">
      <c r="A94" s="4" t="n">
        <v>89</v>
      </c>
      <c r="B94" s="12" t="n">
        <v>38980</v>
      </c>
      <c r="C94" s="12" t="n">
        <v>54223</v>
      </c>
      <c r="D94" s="13" t="n">
        <f aca="false">B94+C94</f>
        <v>93203</v>
      </c>
    </row>
    <row r="95" customFormat="false" ht="15" hidden="false" customHeight="false" outlineLevel="0" collapsed="false">
      <c r="A95" s="4" t="n">
        <v>90</v>
      </c>
      <c r="B95" s="12" t="n">
        <v>39510</v>
      </c>
      <c r="C95" s="12" t="n">
        <v>56749</v>
      </c>
      <c r="D95" s="13" t="n">
        <f aca="false">B95+C95</f>
        <v>96259</v>
      </c>
    </row>
    <row r="96" customFormat="false" ht="15" hidden="false" customHeight="false" outlineLevel="0" collapsed="false">
      <c r="A96" s="4" t="n">
        <v>91</v>
      </c>
      <c r="B96" s="12" t="n">
        <v>17136</v>
      </c>
      <c r="C96" s="12" t="n">
        <v>25149</v>
      </c>
      <c r="D96" s="13" t="n">
        <f aca="false">B96+C96</f>
        <v>42285</v>
      </c>
    </row>
    <row r="97" customFormat="false" ht="15" hidden="false" customHeight="false" outlineLevel="0" collapsed="false">
      <c r="A97" s="4" t="n">
        <v>92</v>
      </c>
      <c r="B97" s="12" t="n">
        <v>20213</v>
      </c>
      <c r="C97" s="12" t="n">
        <v>30231</v>
      </c>
      <c r="D97" s="13" t="n">
        <f aca="false">B97+C97</f>
        <v>50444</v>
      </c>
    </row>
    <row r="98" customFormat="false" ht="15" hidden="false" customHeight="false" outlineLevel="0" collapsed="false">
      <c r="A98" s="4" t="n">
        <v>93</v>
      </c>
      <c r="B98" s="12" t="n">
        <v>16679</v>
      </c>
      <c r="C98" s="12" t="n">
        <v>25074</v>
      </c>
      <c r="D98" s="13" t="n">
        <f aca="false">B98+C98</f>
        <v>41753</v>
      </c>
    </row>
    <row r="99" customFormat="false" ht="15" hidden="false" customHeight="false" outlineLevel="0" collapsed="false">
      <c r="A99" s="4" t="n">
        <v>94</v>
      </c>
      <c r="B99" s="12" t="n">
        <v>13820</v>
      </c>
      <c r="C99" s="12" t="n">
        <v>22245</v>
      </c>
      <c r="D99" s="13" t="n">
        <f aca="false">B99+C99</f>
        <v>36065</v>
      </c>
    </row>
    <row r="100" customFormat="false" ht="15" hidden="false" customHeight="false" outlineLevel="0" collapsed="false">
      <c r="A100" s="4" t="n">
        <v>95</v>
      </c>
      <c r="B100" s="12" t="n">
        <v>11533</v>
      </c>
      <c r="C100" s="12" t="n">
        <v>18384</v>
      </c>
      <c r="D100" s="13" t="n">
        <f aca="false">B100+C100</f>
        <v>29917</v>
      </c>
    </row>
    <row r="101" customFormat="false" ht="15" hidden="false" customHeight="false" outlineLevel="0" collapsed="false">
      <c r="A101" s="4" t="n">
        <v>96</v>
      </c>
      <c r="B101" s="12" t="n">
        <v>8984</v>
      </c>
      <c r="C101" s="12" t="n">
        <v>13720</v>
      </c>
      <c r="D101" s="13" t="n">
        <f aca="false">B101+C101</f>
        <v>22704</v>
      </c>
    </row>
    <row r="102" customFormat="false" ht="15" hidden="false" customHeight="false" outlineLevel="0" collapsed="false">
      <c r="A102" s="4" t="n">
        <v>97</v>
      </c>
      <c r="B102" s="12" t="n">
        <v>6309</v>
      </c>
      <c r="C102" s="12" t="n">
        <v>10227</v>
      </c>
      <c r="D102" s="13" t="n">
        <f aca="false">B102+C102</f>
        <v>16536</v>
      </c>
    </row>
    <row r="103" customFormat="false" ht="15" hidden="false" customHeight="false" outlineLevel="0" collapsed="false">
      <c r="A103" s="4" t="n">
        <v>98</v>
      </c>
      <c r="B103" s="12" t="n">
        <v>5892</v>
      </c>
      <c r="C103" s="12" t="n">
        <v>9560</v>
      </c>
      <c r="D103" s="13" t="n">
        <f aca="false">B103+C103</f>
        <v>15452</v>
      </c>
    </row>
    <row r="104" customFormat="false" ht="15" hidden="false" customHeight="false" outlineLevel="0" collapsed="false">
      <c r="A104" s="4" t="n">
        <v>99</v>
      </c>
      <c r="B104" s="12" t="n">
        <v>3897</v>
      </c>
      <c r="C104" s="12" t="n">
        <v>6699</v>
      </c>
      <c r="D104" s="13" t="n">
        <f aca="false">B104+C104</f>
        <v>10596</v>
      </c>
    </row>
    <row r="105" customFormat="false" ht="15" hidden="false" customHeight="false" outlineLevel="0" collapsed="false">
      <c r="A105" s="10" t="n">
        <v>100</v>
      </c>
      <c r="B105" s="12" t="n">
        <v>6644</v>
      </c>
      <c r="C105" s="12" t="n">
        <v>11651</v>
      </c>
      <c r="D105" s="13" t="n">
        <f aca="false">B105+C105</f>
        <v>18295</v>
      </c>
    </row>
    <row r="106" customFormat="false" ht="15" hidden="false" customHeight="false" outlineLevel="0" collapsed="false">
      <c r="A106" s="15" t="s">
        <v>25</v>
      </c>
      <c r="B106" s="12" t="n">
        <v>136194</v>
      </c>
      <c r="C106" s="12" t="n">
        <v>137192</v>
      </c>
      <c r="D106" s="13" t="n">
        <f aca="false">B106+C106</f>
        <v>273386</v>
      </c>
    </row>
    <row r="107" customFormat="false" ht="15" hidden="false" customHeight="false" outlineLevel="0" collapsed="false">
      <c r="A107" s="15" t="s">
        <v>17</v>
      </c>
      <c r="B107" s="16" t="n">
        <f aca="false">SUM(B5:B106)</f>
        <v>61473390</v>
      </c>
      <c r="C107" s="16" t="n">
        <f aca="false">SUM(C5:C106)</f>
        <v>64540634</v>
      </c>
      <c r="D107" s="16" t="n">
        <f aca="false">SUM(D5:D106)</f>
        <v>126014024</v>
      </c>
    </row>
    <row r="109" customFormat="false" ht="15" hidden="false" customHeight="false" outlineLevel="0" collapsed="false">
      <c r="A109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1.5" hidden="false" customHeight="true" outlineLevel="0" collapsed="false">
      <c r="A4" s="3" t="s">
        <v>33</v>
      </c>
      <c r="B4" s="3" t="s">
        <v>19</v>
      </c>
      <c r="C4" s="3" t="s">
        <v>14</v>
      </c>
      <c r="D4" s="3" t="s">
        <v>15</v>
      </c>
      <c r="E4" s="3" t="s">
        <v>16</v>
      </c>
      <c r="F4" s="3" t="s">
        <v>17</v>
      </c>
    </row>
    <row r="5" customFormat="false" ht="15" hidden="false" customHeight="false" outlineLevel="0" collapsed="false">
      <c r="A5" s="14" t="s">
        <v>34</v>
      </c>
      <c r="B5" s="14" t="n">
        <v>2019</v>
      </c>
      <c r="C5" s="12" t="n">
        <v>729380</v>
      </c>
      <c r="D5" s="12" t="n">
        <v>702681</v>
      </c>
      <c r="E5" s="12" t="n">
        <v>11</v>
      </c>
      <c r="F5" s="13" t="n">
        <f aca="false">SUM(C5:E5)</f>
        <v>1432072</v>
      </c>
    </row>
    <row r="6" customFormat="false" ht="15" hidden="false" customHeight="false" outlineLevel="0" collapsed="false">
      <c r="A6" s="14" t="s">
        <v>35</v>
      </c>
      <c r="B6" s="14" t="n">
        <v>2020</v>
      </c>
      <c r="C6" s="12" t="n">
        <v>170535</v>
      </c>
      <c r="D6" s="12" t="n">
        <v>164843</v>
      </c>
      <c r="E6" s="12" t="n">
        <v>0</v>
      </c>
      <c r="F6" s="13" t="n">
        <f aca="false">SUM(C6:E6)</f>
        <v>335378</v>
      </c>
    </row>
    <row r="7" customFormat="false" ht="15" hidden="false" customHeight="false" outlineLevel="0" collapsed="false">
      <c r="A7" s="14" t="s">
        <v>36</v>
      </c>
      <c r="B7" s="14" t="n">
        <v>2021</v>
      </c>
      <c r="C7" s="12" t="n">
        <v>39059</v>
      </c>
      <c r="D7" s="12" t="n">
        <v>38402</v>
      </c>
      <c r="E7" s="12" t="n">
        <v>2</v>
      </c>
      <c r="F7" s="13" t="n">
        <f aca="false">SUM(C7:E7)</f>
        <v>77463</v>
      </c>
    </row>
    <row r="8" customFormat="false" ht="15" hidden="false" customHeight="false" outlineLevel="0" collapsed="false">
      <c r="A8" s="15" t="s">
        <v>17</v>
      </c>
      <c r="C8" s="16" t="n">
        <f aca="false">SUM(C5:C7)</f>
        <v>938974</v>
      </c>
      <c r="D8" s="16" t="n">
        <f aca="false">SUM(D5:D7)</f>
        <v>905926</v>
      </c>
      <c r="E8" s="16" t="n">
        <f aca="false">SUM(E5:E7)</f>
        <v>13</v>
      </c>
      <c r="F8" s="16" t="n">
        <f aca="false">SUM(F5:F7)</f>
        <v>1844913</v>
      </c>
    </row>
    <row r="10" customFormat="false" ht="15" hidden="false" customHeight="false" outlineLevel="0" collapsed="false">
      <c r="A10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5" min="4" style="0" width="46"/>
  </cols>
  <sheetData>
    <row r="1" customFormat="false" ht="16.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</row>
    <row r="5" customFormat="false" ht="61.5" hidden="false" customHeight="true" outlineLevel="0" collapsed="false">
      <c r="A5" s="19" t="s">
        <v>45</v>
      </c>
      <c r="B5" s="20" t="s">
        <v>46</v>
      </c>
      <c r="C5" s="20" t="s">
        <v>47</v>
      </c>
      <c r="D5" s="20" t="s">
        <v>48</v>
      </c>
      <c r="E5" s="20" t="s">
        <v>49</v>
      </c>
    </row>
    <row r="6" customFormat="false" ht="61.5" hidden="false" customHeight="true" outlineLevel="0" collapsed="false">
      <c r="A6" s="19" t="s">
        <v>50</v>
      </c>
      <c r="B6" s="20" t="s">
        <v>51</v>
      </c>
      <c r="C6" s="20" t="s">
        <v>52</v>
      </c>
      <c r="D6" s="20" t="s">
        <v>53</v>
      </c>
      <c r="E6" s="20" t="s">
        <v>54</v>
      </c>
    </row>
    <row r="7" customFormat="false" ht="61.5" hidden="false" customHeight="true" outlineLevel="0" collapsed="false">
      <c r="A7" s="19" t="s">
        <v>55</v>
      </c>
      <c r="B7" s="20" t="s">
        <v>56</v>
      </c>
      <c r="C7" s="20" t="s">
        <v>57</v>
      </c>
      <c r="D7" s="20" t="s">
        <v>58</v>
      </c>
      <c r="E7" s="20" t="s">
        <v>59</v>
      </c>
    </row>
    <row r="9" customFormat="false" ht="15" hidden="false" customHeight="false" outlineLevel="0" collapsed="false">
      <c r="A9" s="15" t="s">
        <v>60</v>
      </c>
    </row>
    <row r="10" customFormat="false" ht="63.75" hidden="false" customHeight="true" outlineLevel="0" collapsed="false">
      <c r="A10" s="21" t="s">
        <v>61</v>
      </c>
      <c r="B10" s="21"/>
      <c r="C10" s="21"/>
      <c r="D10" s="21"/>
      <c r="E10" s="21"/>
    </row>
  </sheetData>
  <mergeCells count="1"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2026-10-06T16:12:26Z</dcterms:created>
  <dc:creator>Selene</dc:creator>
  <dc:description/>
  <dc:language>en-US</dc:language>
  <cp:lastModifiedBy>VICTOR MANUEL MORENO CASTILLO</cp:lastModifiedBy>
  <dcterms:modified xsi:type="dcterms:W3CDTF">2026-10-08T04:17:06Z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0x010100DBB11B12AB28EF41BE7B6BBE4AD81B61</vt:lpwstr>
  </property>
</Properties>
</file>