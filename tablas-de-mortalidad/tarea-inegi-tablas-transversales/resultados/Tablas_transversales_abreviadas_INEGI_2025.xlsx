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Fuentes" sheetId="2" state="visible" r:id="rId4"/>
    <sheet name="Insumos" sheetId="3" state="visible" r:id="rId5"/>
    <sheet name="Hombres" sheetId="4" state="visible" r:id="rId6"/>
    <sheet name="Mujeres" sheetId="5" state="visible" r:id="rId7"/>
    <sheet name="Ambos sex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<sst xmlns="http://schemas.openxmlformats.org/spreadsheetml/2006/main" count="208" uniqueCount="119">
  <si>
    <t xml:space="preserve">Tablas transversales abreviadas: INEGI, México 2025</t>
  </si>
  <si>
    <t xml:space="preserve">U2TC: INEGI Tablas transversales. Cohorte ficticia de 100,000 nacimientos con las tasas de mortalidad de 2025 (población: EIC 2025; defunciones: INEGI).</t>
  </si>
  <si>
    <t xml:space="preserve">Indicadores principales (todo se recalcula desde las tablas)</t>
  </si>
  <si>
    <t xml:space="preserve">Indicador</t>
  </si>
  <si>
    <t xml:space="preserve">Hombres</t>
  </si>
  <si>
    <t xml:space="preserve">Mujeres</t>
  </si>
  <si>
    <t xml:space="preserve">Ambos sexos</t>
  </si>
  <si>
    <t xml:space="preserve">Esperanza de vida al nacer, e0 (años)</t>
  </si>
  <si>
    <t xml:space="preserve">Esperanza de vida a los 5 años, e5</t>
  </si>
  <si>
    <t xml:space="preserve">Esperanza de vida a los 65 años, e65</t>
  </si>
  <si>
    <t xml:space="preserve">Esperanza de vida a los 75 años, e75</t>
  </si>
  <si>
    <t xml:space="preserve">Mortalidad infantil: q0 por mil</t>
  </si>
  <si>
    <t xml:space="preserve">Mortalidad de menores de 5 años: 5q0 por mil</t>
  </si>
  <si>
    <t xml:space="preserve">Sobrevivientes a los 65 años (de 100,000): l65</t>
  </si>
  <si>
    <t xml:space="preserve">Sobrevivientes a los 75 años (de 100,000): l75</t>
  </si>
  <si>
    <t xml:space="preserve">Referencia externa: e0 de CONAPO, proyecciones 2025 (en el repositorio: tarea-conapo-generacion-1970/bases_de_datos_CONAPO)</t>
  </si>
  <si>
    <t xml:space="preserve">e0 CONAPO 2025 (años)</t>
  </si>
  <si>
    <t xml:space="preserve">Diferencia: tabla de este libro − CONAPO (años)</t>
  </si>
  <si>
    <t xml:space="preserve">Dato de CONAPO capturado a mano de su base de indicadores demográficos (EVH, EVM, EV, año 2025, total nacional).</t>
  </si>
  <si>
    <t xml:space="preserve">Método y supuestos</t>
  </si>
  <si>
    <t xml:space="preserve">1. Tabla transversal (de periodo): las tasas de mortalidad por edad observadas en un solo año se aplican a una cohorte ficticia de 100,000 nacimientos (l0 en Insumos!C4).</t>
  </si>
  <si>
    <t xml:space="preserve">2. Grupos de edad: 0, 1-4, 5-9, ..., 70-74 y 75+ (abierto). Es el máximo detalle que permite la población de la EIC, que termina en 75 años y más.</t>
  </si>
  <si>
    <t xml:space="preserve">3. Las defunciones de sexo no especificado (529) y de edad no especificada (4,016) se reparten proporcionalmente (hoja Insumos, bloque A).</t>
  </si>
  <si>
    <t xml:space="preserve">4. La EIC junta 0-4 años: el año 0 se separa suponiendo que las cohortes de nacimiento crecen a tasa constante (hoja Insumos, bloque B). Es un supuesto; afecta sobre todo a q0.</t>
  </si>
  <si>
    <t xml:space="preserve">5. nqx = n·nMx / (1 + (n − nax)·nMx), con nax = n/2 salvo 0 y 1-4 (Coale-Demeny). En 75+ se usa e75 = 1/M, que es sensible a la cobertura de defunciones de adultos mayores.</t>
  </si>
  <si>
    <t xml:space="preserve">6. Las defunciones del archivo no traen año ni indican si son ocurridas o registradas; se usan tal cual como defunciones de 2025.</t>
  </si>
  <si>
    <t xml:space="preserve">7. Alerta: la e0 que sale es 4 a 5 años mayor que la de CONAPO 2025. Las defunciones infantiles del archivo (12,207) son bajas frente a los ~2.0 millones de nacimientos de CONAPO, y las tasas de adultos mayores parecen bajas. Hay que confirmar con la maestra el año y la cobertura de las defunciones.</t>
  </si>
  <si>
    <t xml:space="preserve">Leyenda de colores: azul = dato de entrada o supuesto; negro = fórmula; verde = vínculo a otra hoja; amarillo = supuesto que se puede cambiar.</t>
  </si>
  <si>
    <t xml:space="preserve">Fuentes de consulta (INEGI)</t>
  </si>
  <si>
    <t xml:space="preserve">Datos tal cual vienen en 'Fuentes de consulta.xlsx' (la que entregó la maestra). Letra azul = dato de entrada.</t>
  </si>
  <si>
    <t xml:space="preserve">1. Población por grupos quinquenales de edad y sexo: Encuesta Intercensal (EIC) 2025, total nacional, viviendas particulares habitadas</t>
  </si>
  <si>
    <t xml:space="preserve">https://www.inegi.org.mx/programas/eic/2025/#tabulados</t>
  </si>
  <si>
    <t xml:space="preserve">Grupo de edad</t>
  </si>
  <si>
    <t xml:space="preserve">Población total</t>
  </si>
  <si>
    <t xml:space="preserve">00-04</t>
  </si>
  <si>
    <t xml:space="preserve">05-09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</si>
  <si>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</si>
  <si>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</si>
  <si>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</si>
  <si>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</si>
  <si>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</si>
  <si>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</si>
  <si>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</si>
  <si>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</si>
  <si>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</si>
  <si>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</si>
  <si>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</si>
  <si>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</si>
  <si>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</si>
  <si>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75+</t>
  </si>
  <si>
    <t xml:space="preserve">Total</t>
  </si>
  <si>
    <t xml:space="preserve">2. Defunciones por grupos de edad y sexo: Mortalidad, INEGI (el archivo no indica el año de las defunciones; aquí se tratan como las de 2025)</t>
  </si>
  <si>
    <t xml:space="preserve">https://www.inegi.org.mx/sistemas/olap/Proyectos/bd/continuas/mortalidad/MortalidadGeneral.asp?</t>
  </si>
  <si>
    <t xml:space="preserve">Sexo no especificado</t>
  </si>
  <si>
    <t xml:space="preserve">&lt;1</t>
  </si>
  <si>
    <t xml:space="preserve">1-4</t>
  </si>
  <si>
    <t xml:space="preserve">5-9</t>
  </si>
  <si>
    <t xml:space="preserve">75-79</t>
  </si>
  <si>
    <t xml:space="preserve">80-84</t>
  </si>
  <si>
    <t xml:space="preserve">85+</t>
  </si>
  <si>
    <t xml:space="preserve">No especificado</t>
  </si>
  <si>
    <t xml:space="preserve">Insumos: del dato de INEGI a los 17 grupos de edad de la tabla</t>
  </si>
  <si>
    <t xml:space="preserve">Letra negra = fórmula; letra verde = vínculo a otra hoja; letra azul sobre amarillo = supuesto que se puede cambiar.</t>
  </si>
  <si>
    <t xml:space="preserve">Radix de la cohorte ficticia (l0)</t>
  </si>
  <si>
    <t xml:space="preserve">Supuesto: se parte de 100,000 nacimientos hipotéticos (cohorte ficticia), como en la plantilla de la maestra.</t>
  </si>
  <si>
    <t xml:space="preserve">A. Defunciones: reparto de 'sexo no especificado' y de 'edad no especificada'</t>
  </si>
  <si>
    <t xml:space="preserve">Paso 1: el sexo no especificado se reparte entre hombres y mujeres en proporción a sus defunciones, edad por edad.  Paso 2: las defunciones de edad no especificada se reparten entre las edades en proporción a las ya ajustadas, por sexo.</t>
  </si>
  <si>
    <t xml:space="preserve">Hombres (INEGI)</t>
  </si>
  <si>
    <t xml:space="preserve">Mujeres (INEGI)</t>
  </si>
  <si>
    <t xml:space="preserve">Sexo no esp.</t>
  </si>
  <si>
    <t xml:space="preserve">Hombres (paso 1)</t>
  </si>
  <si>
    <t xml:space="preserve">Mujeres (paso 1)</t>
  </si>
  <si>
    <t xml:space="preserve">Hombres (paso 2)</t>
  </si>
  <si>
    <t xml:space="preserve">Mujeres (paso 2)</t>
  </si>
  <si>
    <t xml:space="preserve">Edad no especificada</t>
  </si>
  <si>
    <t xml:space="preserve">Factor del paso 2 (todas las defunciones / las de edad conocida)</t>
  </si>
  <si>
    <t xml:space="preserve">Control: hombres + mujeres (paso 2) menos el total de INEGI (debe ser 0)</t>
  </si>
  <si>
    <t xml:space="preserve">B. Población: la EIC trae 0-4 años junto; hay que separar los menores de 1 año</t>
  </si>
  <si>
    <t xml:space="preserve">Supuesto: las cohortes de nacimiento crecen hacia atrás a tasa constante r (r = ln(P5-9 / P0-4) / 5). Entonces la fracción de 0-4 que tiene menos de 1 año es (e^r - 1) / (e^(5r) - 1).</t>
  </si>
  <si>
    <t xml:space="preserve">Población 0-4</t>
  </si>
  <si>
    <t xml:space="preserve">Población 5-9</t>
  </si>
  <si>
    <t xml:space="preserve">r (tasa de crecimiento de las cohortes)</t>
  </si>
  <si>
    <t xml:space="preserve">Fracción de 0-4 con menos de 1 año</t>
  </si>
  <si>
    <t xml:space="preserve">Población de menores de 1 año</t>
  </si>
  <si>
    <t xml:space="preserve">Población de 1 a 4 años</t>
  </si>
  <si>
    <t xml:space="preserve">C. Insumos de las tablas: 17 grupos (0, 1-4, 5-9, ..., 70-74, 75+)</t>
  </si>
  <si>
    <t xml:space="preserve">En defunciones, 75-79, 80-84 y 85+ se suman en 75+ porque la EIC llega solo a 75 años y más.</t>
  </si>
  <si>
    <t xml:space="preserve">Población hombres</t>
  </si>
  <si>
    <t xml:space="preserve">Defunciones hombres</t>
  </si>
  <si>
    <t xml:space="preserve">Población mujeres</t>
  </si>
  <si>
    <t xml:space="preserve">Defunciones mujeres</t>
  </si>
  <si>
    <t xml:space="preserve">Población ambos sexos</t>
  </si>
  <si>
    <t xml:space="preserve">Defunciones ambos sexos</t>
  </si>
  <si>
    <t xml:space="preserve">0</t>
  </si>
  <si>
    <t xml:space="preserve">Tabla de mortalidad transversal abreviada de México, 2025: hombres</t>
  </si>
  <si>
    <t xml:space="preserve">Cohorte ficticia de 100,000 nacimientos expuesta a las tasas de mortalidad por edad observadas en México (INEGI: EIC 2025 y defunciones).</t>
  </si>
  <si>
    <t xml:space="preserve">Radix l0</t>
  </si>
  <si>
    <t xml:space="preserve">Fórmulas: nMx = D/P;  nqx = n·nMx / (1 + (n − nax)·nMx);  lx+n = lx·(1 − nqx);  ndx = lx − lx+n;  nLx = n·lx+n + nax·ndx;  Tx = Σ nLx;  ex = Tx/lx.  Grupo abierto 75+: q = 1, L = l/M.</t>
  </si>
  <si>
    <t xml:space="preserve">nax: 0 y 1-4 de Coale-Demeny (según nM0 y sexo; en ambos sexos, promedio de los dos); resto n/2. Valores sin redondear (se muestran sin decimales).</t>
  </si>
  <si>
    <t xml:space="preserve">Edad</t>
  </si>
  <si>
    <t xml:space="preserve">x</t>
  </si>
  <si>
    <t xml:space="preserve">n</t>
  </si>
  <si>
    <t xml:space="preserve">P (población)</t>
  </si>
  <si>
    <t xml:space="preserve">D (defunciones)</t>
  </si>
  <si>
    <t xml:space="preserve">nMx</t>
  </si>
  <si>
    <t xml:space="preserve">nax</t>
  </si>
  <si>
    <t xml:space="preserve">nqx</t>
  </si>
  <si>
    <t xml:space="preserve">npx</t>
  </si>
  <si>
    <t xml:space="preserve">lx</t>
  </si>
  <si>
    <t xml:space="preserve">ndx</t>
  </si>
  <si>
    <t xml:space="preserve">nLx</t>
  </si>
  <si>
    <t xml:space="preserve">Tx</t>
  </si>
  <si>
    <t xml:space="preserve">ex</t>
  </si>
  <si>
    <t xml:space="preserve">abierto</t>
  </si>
  <si>
    <t xml:space="preserve">-</t>
  </si>
  <si>
    <t xml:space="preserve">Control: suma de ndx menos l0 (debe ser 0)</t>
  </si>
  <si>
    <t xml:space="preserve">q0: mortalidad infantil de la tabla (por mil)</t>
  </si>
  <si>
    <t xml:space="preserve">Tabla de mortalidad transversal abreviada de México, 2025: mujeres</t>
  </si>
  <si>
    <t xml:space="preserve">Tabla de mortalidad transversal abreviada de México, 2025: ambos sexos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</si>
</sst>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#,##0"/>
    <numFmt numFmtId="167" formatCode="#,##0.0"/>
    <numFmt numFmtId="168" formatCode="0.000000"/>
    <numFmt numFmtId="169" formatCode="0.0"/>
    <numFmt numFmtId="170" formatCode="0.00000"/>
    <numFmt numFmtId="171" formatCode="0.0000"/>
    <numFmt numFmtId="172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5" min="3" style="0" width="16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4" t="s">
        <v>4</v>
      </c>
      <c r="D5" s="4" t="s">
        <v>5</v>
      </c>
      <c r="E5" s="4" t="s">
        <v>6</v>
      </c>
    </row>
    <row r="6" customFormat="false" ht="15" hidden="false" customHeight="false" outlineLevel="0" collapsed="false">
      <c r="B6" s="5" t="s">
        <v>7</v>
      </c>
      <c r="C6" s="6" t="n">
        <f aca="false">Hombres!O9</f>
        <v>76.6426449219202</v>
      </c>
      <c r="D6" s="6" t="n">
        <f aca="false">Mujeres!O9</f>
        <v>83.9245367809822</v>
      </c>
      <c r="E6" s="6" t="n">
        <f aca="false">'Ambos sexos'!O9</f>
        <v>80.3094140615</v>
      </c>
    </row>
    <row r="7" customFormat="false" ht="15" hidden="false" customHeight="false" outlineLevel="0" collapsed="false">
      <c r="B7" s="5" t="s">
        <v>8</v>
      </c>
      <c r="C7" s="6" t="n">
        <f aca="false">Hombres!O11</f>
        <v>72.5564412244842</v>
      </c>
      <c r="D7" s="6" t="n">
        <f aca="false">Mujeres!O11</f>
        <v>79.7255544738942</v>
      </c>
      <c r="E7" s="6" t="n">
        <f aca="false">'Ambos sexos'!O11</f>
        <v>76.1725915133189</v>
      </c>
    </row>
    <row r="8" customFormat="false" ht="15" hidden="false" customHeight="false" outlineLevel="0" collapsed="false">
      <c r="B8" s="5" t="s">
        <v>9</v>
      </c>
      <c r="C8" s="6" t="n">
        <f aca="false">Hombres!O22</f>
        <v>24.8083228955963</v>
      </c>
      <c r="D8" s="6" t="n">
        <f aca="false">Mujeres!O22</f>
        <v>28.2448140837104</v>
      </c>
      <c r="E8" s="6" t="n">
        <f aca="false">'Ambos sexos'!O22</f>
        <v>26.5929390856472</v>
      </c>
    </row>
    <row r="9" customFormat="false" ht="15" hidden="false" customHeight="false" outlineLevel="0" collapsed="false">
      <c r="B9" s="5" t="s">
        <v>10</v>
      </c>
      <c r="C9" s="6" t="n">
        <f aca="false">Hombres!O25</f>
        <v>15.4605297506321</v>
      </c>
      <c r="D9" s="6" t="n">
        <f aca="false">Mujeres!O25</f>
        <v>17.5038452955524</v>
      </c>
      <c r="E9" s="6" t="n">
        <f aca="false">'Ambos sexos'!O25</f>
        <v>16.5436471364185</v>
      </c>
    </row>
    <row r="10" customFormat="false" ht="15" hidden="false" customHeight="false" outlineLevel="0" collapsed="false">
      <c r="B10" s="5" t="s">
        <v>11</v>
      </c>
      <c r="C10" s="6" t="n">
        <f aca="false">Hombres!I9*1000</f>
        <v>9.92937335308912</v>
      </c>
      <c r="D10" s="6" t="n">
        <f aca="false">Mujeres!I9*1000</f>
        <v>7.81956520783196</v>
      </c>
      <c r="E10" s="6" t="n">
        <f aca="false">'Ambos sexos'!I9*1000</f>
        <v>8.88817142358165</v>
      </c>
    </row>
    <row r="11" customFormat="false" ht="15" hidden="false" customHeight="false" outlineLevel="0" collapsed="false">
      <c r="B11" s="5" t="s">
        <v>12</v>
      </c>
      <c r="C11" s="6" t="n">
        <f aca="false">(1-Hombres!J9*Hombres!J10)*1000</f>
        <v>11.8567227220026</v>
      </c>
      <c r="D11" s="6" t="n">
        <f aca="false">(1-Mujeres!J9*Mujeres!J10)*1000</f>
        <v>9.51130907831044</v>
      </c>
      <c r="E11" s="6" t="n">
        <f aca="false">(1-'Ambos sexos'!J9*'Ambos sexos'!J10)*1000</f>
        <v>10.6991828338718</v>
      </c>
    </row>
    <row r="12" customFormat="false" ht="15" hidden="false" customHeight="false" outlineLevel="0" collapsed="false">
      <c r="B12" s="5" t="s">
        <v>13</v>
      </c>
      <c r="C12" s="7" t="n">
        <f aca="false">Hombres!K22</f>
        <v>81385.29846619</v>
      </c>
      <c r="D12" s="7" t="n">
        <f aca="false">Mujeres!K22</f>
        <v>90691.636106611</v>
      </c>
      <c r="E12" s="7" t="n">
        <f aca="false">'Ambos sexos'!K22</f>
        <v>86143.346064628</v>
      </c>
    </row>
    <row r="13" customFormat="false" ht="15" hidden="false" customHeight="false" outlineLevel="0" collapsed="false">
      <c r="B13" s="5" t="s">
        <v>14</v>
      </c>
      <c r="C13" s="7" t="n">
        <f aca="false">Hombres!K25</f>
        <v>60595.2437917955</v>
      </c>
      <c r="D13" s="7" t="n">
        <f aca="false">Mujeres!K25</f>
        <v>74470.8562173487</v>
      </c>
      <c r="E13" s="7" t="n">
        <f aca="false">'Ambos sexos'!K25</f>
        <v>67632.6242001765</v>
      </c>
    </row>
    <row r="15" customFormat="false" ht="15" hidden="false" customHeight="false" outlineLevel="0" collapsed="false">
      <c r="B15" s="3" t="s">
        <v>15</v>
      </c>
    </row>
    <row r="16" customFormat="false" ht="15" hidden="false" customHeight="false" outlineLevel="0" collapsed="false">
      <c r="B16" s="4"/>
      <c r="C16" s="4" t="s">
        <v>4</v>
      </c>
      <c r="D16" s="4" t="s">
        <v>5</v>
      </c>
      <c r="E16" s="4" t="s">
        <v>6</v>
      </c>
    </row>
    <row r="17" customFormat="false" ht="15" hidden="false" customHeight="false" outlineLevel="0" collapsed="false">
      <c r="B17" s="5" t="s">
        <v>16</v>
      </c>
      <c r="C17" s="8" t="n">
        <v>72.57</v>
      </c>
      <c r="D17" s="8" t="n">
        <v>79.04</v>
      </c>
      <c r="E17" s="8" t="n">
        <v>75.67</v>
      </c>
    </row>
    <row r="18" customFormat="false" ht="15" hidden="false" customHeight="false" outlineLevel="0" collapsed="false">
      <c r="B18" s="5" t="s">
        <v>17</v>
      </c>
      <c r="C18" s="9" t="n">
        <f aca="false">C6-C17</f>
        <v>4.0726449219202</v>
      </c>
      <c r="D18" s="9" t="n">
        <f aca="false">D6-D17</f>
        <v>4.88453678098223</v>
      </c>
      <c r="E18" s="9" t="n">
        <f aca="false">E6-E17</f>
        <v>4.63941406149995</v>
      </c>
    </row>
    <row r="19" customFormat="false" ht="15" hidden="false" customHeight="false" outlineLevel="0" collapsed="false">
      <c r="B19" s="2" t="s">
        <v>18</v>
      </c>
    </row>
    <row r="21" customFormat="false" ht="15" hidden="false" customHeight="false" outlineLevel="0" collapsed="false">
      <c r="B21" s="3" t="s">
        <v>19</v>
      </c>
    </row>
    <row r="22" customFormat="false" ht="42" hidden="false" customHeight="true" outlineLevel="0" collapsed="false">
      <c r="B22" s="10" t="s">
        <v>20</v>
      </c>
      <c r="C22" s="10"/>
      <c r="D22" s="10"/>
      <c r="E22" s="10"/>
    </row>
    <row r="23" customFormat="false" ht="42" hidden="false" customHeight="true" outlineLevel="0" collapsed="false">
      <c r="B23" s="10" t="s">
        <v>21</v>
      </c>
      <c r="C23" s="10"/>
      <c r="D23" s="10"/>
      <c r="E23" s="10"/>
    </row>
    <row r="24" customFormat="false" ht="42" hidden="false" customHeight="true" outlineLevel="0" collapsed="false">
      <c r="B24" s="10" t="s">
        <v>22</v>
      </c>
      <c r="C24" s="10"/>
      <c r="D24" s="10"/>
      <c r="E24" s="10"/>
    </row>
    <row r="25" customFormat="false" ht="42" hidden="false" customHeight="true" outlineLevel="0" collapsed="false">
      <c r="B25" s="10" t="s">
        <v>23</v>
      </c>
      <c r="C25" s="10"/>
      <c r="D25" s="10"/>
      <c r="E25" s="10"/>
    </row>
    <row r="26" customFormat="false" ht="42" hidden="false" customHeight="true" outlineLevel="0" collapsed="false">
      <c r="B26" s="10" t="s">
        <v>24</v>
      </c>
      <c r="C26" s="10"/>
      <c r="D26" s="10"/>
      <c r="E26" s="10"/>
    </row>
    <row r="27" customFormat="false" ht="42" hidden="false" customHeight="true" outlineLevel="0" collapsed="false">
      <c r="B27" s="10" t="s">
        <v>25</v>
      </c>
      <c r="C27" s="10"/>
      <c r="D27" s="10"/>
      <c r="E27" s="10"/>
    </row>
    <row r="28" customFormat="false" ht="42" hidden="false" customHeight="true" outlineLevel="0" collapsed="false">
      <c r="B28" s="10" t="s">
        <v>26</v>
      </c>
      <c r="C28" s="10"/>
      <c r="D28" s="10"/>
      <c r="E28" s="10"/>
    </row>
    <row r="30" customFormat="false" ht="15" hidden="false" customHeight="false" outlineLevel="0" collapsed="false">
      <c r="B30" s="2" t="s">
        <v>27</v>
      </c>
    </row>
  </sheetData>
  <mergeCells count="7">
    <mergeCell ref="B22:E22"/>
    <mergeCell ref="B23:E23"/>
    <mergeCell ref="B24:E24"/>
    <mergeCell ref="B25:E25"/>
    <mergeCell ref="B26:E26"/>
    <mergeCell ref="B27:E27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17.35" hidden="false" customHeight="false" outlineLevel="0" collapsed="false">
      <c r="B1" s="1" t="s">
        <v>28</v>
      </c>
    </row>
    <row r="2" customFormat="false" ht="15" hidden="false" customHeight="false" outlineLevel="0" collapsed="false">
      <c r="B2" s="2" t="s">
        <v>29</v>
      </c>
    </row>
    <row r="4" customFormat="false" ht="15" hidden="false" customHeight="false" outlineLevel="0" collapsed="false">
      <c r="B4" s="3" t="s">
        <v>30</v>
      </c>
    </row>
    <row r="5" customFormat="false" ht="15" hidden="false" customHeight="false" outlineLevel="0" collapsed="false">
      <c r="B5" s="2" t="s">
        <v>31</v>
      </c>
    </row>
    <row r="6" customFormat="false" ht="15" hidden="false" customHeight="false" outlineLevel="0" collapsed="false">
      <c r="B6" s="4" t="s">
        <v>32</v>
      </c>
      <c r="C6" s="4" t="s">
        <v>33</v>
      </c>
      <c r="D6" s="4" t="s">
        <v>5</v>
      </c>
      <c r="E6" s="4" t="s">
        <v>4</v>
      </c>
    </row>
    <row r="7" customFormat="false" ht="15" hidden="false" customHeight="false" outlineLevel="0" collapsed="false">
      <c r="B7" s="11" t="s">
        <v>34</v>
      </c>
      <c r="C7" s="12" t="n">
        <v>7569573</v>
      </c>
      <c r="D7" s="12" t="n">
        <v>3741386</v>
      </c>
      <c r="E7" s="12" t="n">
        <v>3828187</v>
      </c>
    </row>
    <row r="8" customFormat="false" ht="15" hidden="false" customHeight="false" outlineLevel="0" collapsed="false">
      <c r="B8" s="11" t="s">
        <v>35</v>
      </c>
      <c r="C8" s="12" t="n">
        <v>9669960</v>
      </c>
      <c r="D8" s="12" t="n">
        <v>4785294</v>
      </c>
      <c r="E8" s="12" t="n">
        <v>4884666</v>
      </c>
    </row>
    <row r="9" customFormat="false" ht="15" hidden="false" customHeight="false" outlineLevel="0" collapsed="false">
      <c r="B9" s="11" t="s">
        <v>36</v>
      </c>
      <c r="C9" s="12" t="n">
        <v>10885388</v>
      </c>
      <c r="D9" s="12" t="n">
        <v>5353603</v>
      </c>
      <c r="E9" s="12" t="n">
        <v>5531785</v>
      </c>
    </row>
    <row r="10" customFormat="false" ht="15" hidden="false" customHeight="false" outlineLevel="0" collapsed="false">
      <c r="B10" s="11" t="s">
        <v>37</v>
      </c>
      <c r="C10" s="12" t="n">
        <v>10833608</v>
      </c>
      <c r="D10" s="12" t="n">
        <v>5349921</v>
      </c>
      <c r="E10" s="12" t="n">
        <v>5483687</v>
      </c>
    </row>
    <row r="11" customFormat="false" ht="15" hidden="false" customHeight="false" outlineLevel="0" collapsed="false">
      <c r="B11" s="11" t="s">
        <v>38</v>
      </c>
      <c r="C11" s="12" t="n">
        <v>10360929</v>
      </c>
      <c r="D11" s="12" t="n">
        <v>5319788</v>
      </c>
      <c r="E11" s="12" t="n">
        <v>5041141</v>
      </c>
    </row>
    <row r="12" customFormat="false" ht="15" hidden="false" customHeight="false" outlineLevel="0" collapsed="false">
      <c r="B12" s="11" t="s">
        <v>39</v>
      </c>
      <c r="C12" s="12" t="n">
        <v>9810773</v>
      </c>
      <c r="D12" s="12" t="n">
        <v>5104330</v>
      </c>
      <c r="E12" s="12" t="n">
        <v>4706443</v>
      </c>
    </row>
    <row r="13" customFormat="false" ht="15" hidden="false" customHeight="false" outlineLevel="0" collapsed="false">
      <c r="B13" s="11" t="s">
        <v>40</v>
      </c>
      <c r="C13" s="12" t="n">
        <v>10027553</v>
      </c>
      <c r="D13" s="12" t="n">
        <v>5282566</v>
      </c>
      <c r="E13" s="12" t="n">
        <v>4744987</v>
      </c>
    </row>
    <row r="14" customFormat="false" ht="15" hidden="false" customHeight="false" outlineLevel="0" collapsed="false">
      <c r="B14" s="11" t="s">
        <v>41</v>
      </c>
      <c r="C14" s="12" t="n">
        <v>9620908</v>
      </c>
      <c r="D14" s="12" t="n">
        <v>5095386</v>
      </c>
      <c r="E14" s="12" t="n">
        <v>4525522</v>
      </c>
    </row>
    <row r="15" customFormat="false" ht="15" hidden="false" customHeight="false" outlineLevel="0" collapsed="false">
      <c r="B15" s="11" t="s">
        <v>42</v>
      </c>
      <c r="C15" s="12" t="n">
        <v>8974041</v>
      </c>
      <c r="D15" s="12" t="n">
        <v>4742766</v>
      </c>
      <c r="E15" s="12" t="n">
        <v>4231275</v>
      </c>
    </row>
    <row r="16" customFormat="false" ht="15" hidden="false" customHeight="false" outlineLevel="0" collapsed="false">
      <c r="B16" s="11" t="s">
        <v>43</v>
      </c>
      <c r="C16" s="12" t="n">
        <v>8374000</v>
      </c>
      <c r="D16" s="12" t="n">
        <v>4437822</v>
      </c>
      <c r="E16" s="12" t="n">
        <v>3936178</v>
      </c>
    </row>
    <row r="17" customFormat="false" ht="15" hidden="false" customHeight="false" outlineLevel="0" collapsed="false">
      <c r="B17" s="11" t="s">
        <v>44</v>
      </c>
      <c r="C17" s="12" t="n">
        <v>8352139</v>
      </c>
      <c r="D17" s="12" t="n">
        <v>4409290</v>
      </c>
      <c r="E17" s="12" t="n">
        <v>3942849</v>
      </c>
    </row>
    <row r="18" customFormat="false" ht="15" hidden="false" customHeight="false" outlineLevel="0" collapsed="false">
      <c r="B18" s="11" t="s">
        <v>45</v>
      </c>
      <c r="C18" s="12" t="n">
        <v>6709847</v>
      </c>
      <c r="D18" s="12" t="n">
        <v>3553454</v>
      </c>
      <c r="E18" s="12" t="n">
        <v>3156393</v>
      </c>
    </row>
    <row r="19" customFormat="false" ht="15" hidden="false" customHeight="false" outlineLevel="0" collapsed="false">
      <c r="B19" s="11" t="s">
        <v>46</v>
      </c>
      <c r="C19" s="12" t="n">
        <v>5991546</v>
      </c>
      <c r="D19" s="12" t="n">
        <v>3257527</v>
      </c>
      <c r="E19" s="12" t="n">
        <v>2734019</v>
      </c>
    </row>
    <row r="20" customFormat="false" ht="15" hidden="false" customHeight="false" outlineLevel="0" collapsed="false">
      <c r="B20" s="11" t="s">
        <v>47</v>
      </c>
      <c r="C20" s="12" t="n">
        <v>4829842</v>
      </c>
      <c r="D20" s="12" t="n">
        <v>2613496</v>
      </c>
      <c r="E20" s="12" t="n">
        <v>2216346</v>
      </c>
    </row>
    <row r="21" customFormat="false" ht="15" hidden="false" customHeight="false" outlineLevel="0" collapsed="false">
      <c r="B21" s="11" t="s">
        <v>48</v>
      </c>
      <c r="C21" s="12" t="n">
        <v>3399855</v>
      </c>
      <c r="D21" s="12" t="n">
        <v>1838237</v>
      </c>
      <c r="E21" s="12" t="n">
        <v>1561618</v>
      </c>
    </row>
    <row r="22" customFormat="false" ht="15" hidden="false" customHeight="false" outlineLevel="0" collapsed="false">
      <c r="B22" s="11" t="s">
        <v>49</v>
      </c>
      <c r="C22" s="12" t="n">
        <v>4964838</v>
      </c>
      <c r="D22" s="12" t="n">
        <v>2784501</v>
      </c>
      <c r="E22" s="12" t="n">
        <v>2180337</v>
      </c>
    </row>
    <row r="23" customFormat="false" ht="15" hidden="false" customHeight="false" outlineLevel="0" collapsed="false">
      <c r="B23" s="13" t="s">
        <v>50</v>
      </c>
      <c r="C23" s="14" t="n">
        <f aca="false">SUM(C7:C22)</f>
        <v>130374800</v>
      </c>
      <c r="D23" s="14" t="n">
        <f aca="false">SUM(D7:D22)</f>
        <v>67669367</v>
      </c>
      <c r="E23" s="14" t="n">
        <f aca="false">SUM(E7:E22)</f>
        <v>62705433</v>
      </c>
    </row>
    <row r="25" customFormat="false" ht="15" hidden="false" customHeight="false" outlineLevel="0" collapsed="false">
      <c r="B25" s="3" t="s">
        <v>51</v>
      </c>
    </row>
    <row r="26" customFormat="false" ht="15" hidden="false" customHeight="false" outlineLevel="0" collapsed="false">
      <c r="B26" s="2" t="s">
        <v>52</v>
      </c>
    </row>
    <row r="27" customFormat="false" ht="15" hidden="false" customHeight="false" outlineLevel="0" collapsed="false">
      <c r="B27" s="4" t="s">
        <v>32</v>
      </c>
      <c r="C27" s="4" t="s">
        <v>50</v>
      </c>
      <c r="D27" s="4" t="s">
        <v>4</v>
      </c>
      <c r="E27" s="4" t="s">
        <v>5</v>
      </c>
      <c r="F27" s="4" t="s">
        <v>53</v>
      </c>
    </row>
    <row r="28" customFormat="false" ht="15" hidden="false" customHeight="false" outlineLevel="0" collapsed="false">
      <c r="B28" s="11" t="s">
        <v>50</v>
      </c>
      <c r="C28" s="12" t="n">
        <v>762494</v>
      </c>
      <c r="D28" s="12" t="n">
        <v>426340</v>
      </c>
      <c r="E28" s="12" t="n">
        <v>335625</v>
      </c>
      <c r="F28" s="12" t="n">
        <v>529</v>
      </c>
    </row>
    <row r="29" customFormat="false" ht="15" hidden="false" customHeight="false" outlineLevel="0" collapsed="false">
      <c r="B29" s="11" t="s">
        <v>54</v>
      </c>
      <c r="C29" s="12" t="n">
        <v>12207</v>
      </c>
      <c r="D29" s="12" t="n">
        <v>6864</v>
      </c>
      <c r="E29" s="12" t="n">
        <v>5307</v>
      </c>
      <c r="F29" s="12" t="n">
        <v>36</v>
      </c>
    </row>
    <row r="30" customFormat="false" ht="15" hidden="false" customHeight="false" outlineLevel="0" collapsed="false">
      <c r="B30" s="11" t="s">
        <v>55</v>
      </c>
      <c r="C30" s="12" t="n">
        <v>2821</v>
      </c>
      <c r="D30" s="12" t="n">
        <v>1514</v>
      </c>
      <c r="E30" s="12" t="n">
        <v>1306</v>
      </c>
      <c r="F30" s="12" t="n">
        <v>1</v>
      </c>
    </row>
    <row r="31" customFormat="false" ht="15" hidden="false" customHeight="false" outlineLevel="0" collapsed="false">
      <c r="B31" s="11" t="s">
        <v>56</v>
      </c>
      <c r="C31" s="12" t="n">
        <v>1918</v>
      </c>
      <c r="D31" s="12" t="n">
        <v>1087</v>
      </c>
      <c r="E31" s="12" t="n">
        <v>831</v>
      </c>
      <c r="F31" s="12" t="n">
        <v>0</v>
      </c>
    </row>
    <row r="32" customFormat="false" ht="15" hidden="false" customHeight="false" outlineLevel="0" collapsed="false">
      <c r="B32" s="11" t="s">
        <v>36</v>
      </c>
      <c r="C32" s="12" t="n">
        <v>3046</v>
      </c>
      <c r="D32" s="12" t="n">
        <v>1734</v>
      </c>
      <c r="E32" s="12" t="n">
        <v>1312</v>
      </c>
      <c r="F32" s="12" t="n">
        <v>0</v>
      </c>
    </row>
    <row r="33" customFormat="false" ht="15" hidden="false" customHeight="false" outlineLevel="0" collapsed="false">
      <c r="B33" s="11" t="s">
        <v>37</v>
      </c>
      <c r="C33" s="12" t="n">
        <v>8916</v>
      </c>
      <c r="D33" s="12" t="n">
        <v>6652</v>
      </c>
      <c r="E33" s="12" t="n">
        <v>2264</v>
      </c>
      <c r="F33" s="12" t="n">
        <v>0</v>
      </c>
    </row>
    <row r="34" customFormat="false" ht="15" hidden="false" customHeight="false" outlineLevel="0" collapsed="false">
      <c r="B34" s="11" t="s">
        <v>38</v>
      </c>
      <c r="C34" s="12" t="n">
        <v>13045</v>
      </c>
      <c r="D34" s="12" t="n">
        <v>10260</v>
      </c>
      <c r="E34" s="12" t="n">
        <v>2784</v>
      </c>
      <c r="F34" s="12" t="n">
        <v>1</v>
      </c>
    </row>
    <row r="35" customFormat="false" ht="15" hidden="false" customHeight="false" outlineLevel="0" collapsed="false">
      <c r="B35" s="11" t="s">
        <v>39</v>
      </c>
      <c r="C35" s="12" t="n">
        <v>15271</v>
      </c>
      <c r="D35" s="12" t="n">
        <v>11793</v>
      </c>
      <c r="E35" s="12" t="n">
        <v>3477</v>
      </c>
      <c r="F35" s="12" t="n">
        <v>1</v>
      </c>
    </row>
    <row r="36" customFormat="false" ht="15" hidden="false" customHeight="false" outlineLevel="0" collapsed="false">
      <c r="B36" s="11" t="s">
        <v>40</v>
      </c>
      <c r="C36" s="12" t="n">
        <v>18455</v>
      </c>
      <c r="D36" s="12" t="n">
        <v>13802</v>
      </c>
      <c r="E36" s="12" t="n">
        <v>4652</v>
      </c>
      <c r="F36" s="12" t="n">
        <v>1</v>
      </c>
    </row>
    <row r="37" customFormat="false" ht="15" hidden="false" customHeight="false" outlineLevel="0" collapsed="false">
      <c r="B37" s="11" t="s">
        <v>41</v>
      </c>
      <c r="C37" s="12" t="n">
        <v>20688</v>
      </c>
      <c r="D37" s="12" t="n">
        <v>14902</v>
      </c>
      <c r="E37" s="12" t="n">
        <v>5784</v>
      </c>
      <c r="F37" s="12" t="n">
        <v>2</v>
      </c>
    </row>
    <row r="38" customFormat="false" ht="15" hidden="false" customHeight="false" outlineLevel="0" collapsed="false">
      <c r="B38" s="11" t="s">
        <v>42</v>
      </c>
      <c r="C38" s="12" t="n">
        <v>24421</v>
      </c>
      <c r="D38" s="12" t="n">
        <v>16673</v>
      </c>
      <c r="E38" s="12" t="n">
        <v>7746</v>
      </c>
      <c r="F38" s="12" t="n">
        <v>2</v>
      </c>
    </row>
    <row r="39" customFormat="false" ht="15" hidden="false" customHeight="false" outlineLevel="0" collapsed="false">
      <c r="B39" s="11" t="s">
        <v>43</v>
      </c>
      <c r="C39" s="12" t="n">
        <v>32179</v>
      </c>
      <c r="D39" s="12" t="n">
        <v>20907</v>
      </c>
      <c r="E39" s="12" t="n">
        <v>11271</v>
      </c>
      <c r="F39" s="12" t="n">
        <v>1</v>
      </c>
    </row>
    <row r="40" customFormat="false" ht="15" hidden="false" customHeight="false" outlineLevel="0" collapsed="false">
      <c r="B40" s="11" t="s">
        <v>44</v>
      </c>
      <c r="C40" s="12" t="n">
        <v>43236</v>
      </c>
      <c r="D40" s="12" t="n">
        <v>27195</v>
      </c>
      <c r="E40" s="12" t="n">
        <v>16040</v>
      </c>
      <c r="F40" s="12" t="n">
        <v>1</v>
      </c>
    </row>
    <row r="41" customFormat="false" ht="15" hidden="false" customHeight="false" outlineLevel="0" collapsed="false">
      <c r="B41" s="11" t="s">
        <v>45</v>
      </c>
      <c r="C41" s="12" t="n">
        <v>51417</v>
      </c>
      <c r="D41" s="12" t="n">
        <v>31028</v>
      </c>
      <c r="E41" s="12" t="n">
        <v>20383</v>
      </c>
      <c r="F41" s="12" t="n">
        <v>6</v>
      </c>
    </row>
    <row r="42" customFormat="false" ht="15" hidden="false" customHeight="false" outlineLevel="0" collapsed="false">
      <c r="B42" s="11" t="s">
        <v>46</v>
      </c>
      <c r="C42" s="12" t="n">
        <v>63355</v>
      </c>
      <c r="D42" s="12" t="n">
        <v>36647</v>
      </c>
      <c r="E42" s="12" t="n">
        <v>26707</v>
      </c>
      <c r="F42" s="12" t="n">
        <v>1</v>
      </c>
    </row>
    <row r="43" customFormat="false" ht="15" hidden="false" customHeight="false" outlineLevel="0" collapsed="false">
      <c r="B43" s="11" t="s">
        <v>47</v>
      </c>
      <c r="C43" s="12" t="n">
        <v>71628</v>
      </c>
      <c r="D43" s="12" t="n">
        <v>40351</v>
      </c>
      <c r="E43" s="12" t="n">
        <v>31275</v>
      </c>
      <c r="F43" s="12" t="n">
        <v>2</v>
      </c>
    </row>
    <row r="44" customFormat="false" ht="15" hidden="false" customHeight="false" outlineLevel="0" collapsed="false">
      <c r="B44" s="11" t="s">
        <v>48</v>
      </c>
      <c r="C44" s="12" t="n">
        <v>77148</v>
      </c>
      <c r="D44" s="12" t="n">
        <v>41883</v>
      </c>
      <c r="E44" s="12" t="n">
        <v>35265</v>
      </c>
      <c r="F44" s="12" t="n">
        <v>0</v>
      </c>
    </row>
    <row r="45" customFormat="false" ht="15" hidden="false" customHeight="false" outlineLevel="0" collapsed="false">
      <c r="B45" s="11" t="s">
        <v>57</v>
      </c>
      <c r="C45" s="12" t="n">
        <v>79713</v>
      </c>
      <c r="D45" s="12" t="n">
        <v>41969</v>
      </c>
      <c r="E45" s="12" t="n">
        <v>37743</v>
      </c>
      <c r="F45" s="12" t="n">
        <v>1</v>
      </c>
    </row>
    <row r="46" customFormat="false" ht="15" hidden="false" customHeight="false" outlineLevel="0" collapsed="false">
      <c r="B46" s="11" t="s">
        <v>58</v>
      </c>
      <c r="C46" s="12" t="n">
        <v>78807</v>
      </c>
      <c r="D46" s="12" t="n">
        <v>38943</v>
      </c>
      <c r="E46" s="12" t="n">
        <v>39862</v>
      </c>
      <c r="F46" s="12" t="n">
        <v>2</v>
      </c>
    </row>
    <row r="47" customFormat="false" ht="15" hidden="false" customHeight="false" outlineLevel="0" collapsed="false">
      <c r="B47" s="11" t="s">
        <v>59</v>
      </c>
      <c r="C47" s="12" t="n">
        <v>140207</v>
      </c>
      <c r="D47" s="12" t="n">
        <v>58901</v>
      </c>
      <c r="E47" s="12" t="n">
        <v>81299</v>
      </c>
      <c r="F47" s="12" t="n">
        <v>7</v>
      </c>
    </row>
    <row r="48" customFormat="false" ht="15" hidden="false" customHeight="false" outlineLevel="0" collapsed="false">
      <c r="B48" s="11" t="s">
        <v>60</v>
      </c>
      <c r="C48" s="12" t="n">
        <v>4016</v>
      </c>
      <c r="D48" s="12" t="n">
        <v>3235</v>
      </c>
      <c r="E48" s="12" t="n">
        <v>317</v>
      </c>
      <c r="F48" s="12" t="n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8"/>
  </cols>
  <sheetData>
    <row r="1" customFormat="false" ht="17.35" hidden="false" customHeight="false" outlineLevel="0" collapsed="false">
      <c r="B1" s="1" t="s">
        <v>61</v>
      </c>
    </row>
    <row r="2" customFormat="false" ht="15" hidden="false" customHeight="false" outlineLevel="0" collapsed="false">
      <c r="B2" s="2" t="s">
        <v>62</v>
      </c>
    </row>
    <row r="4" customFormat="false" ht="15" hidden="false" customHeight="false" outlineLevel="0" collapsed="false">
      <c r="B4" s="13" t="s">
        <v>63</v>
      </c>
      <c r="C4" s="15" t="n">
        <v>100000</v>
      </c>
      <c r="D4" s="2" t="s">
        <v>64</v>
      </c>
    </row>
    <row r="6" customFormat="false" ht="15" hidden="false" customHeight="false" outlineLevel="0" collapsed="false">
      <c r="B6" s="3" t="s">
        <v>65</v>
      </c>
    </row>
    <row r="7" customFormat="false" ht="15" hidden="false" customHeight="false" outlineLevel="0" collapsed="false">
      <c r="B7" s="2" t="s">
        <v>66</v>
      </c>
    </row>
    <row r="8" customFormat="false" ht="30" hidden="false" customHeight="true" outlineLevel="0" collapsed="false">
      <c r="B8" s="4" t="s">
        <v>32</v>
      </c>
      <c r="C8" s="4" t="s">
        <v>67</v>
      </c>
      <c r="D8" s="4" t="s">
        <v>68</v>
      </c>
      <c r="E8" s="4" t="s">
        <v>69</v>
      </c>
      <c r="F8" s="4" t="s">
        <v>70</v>
      </c>
      <c r="G8" s="4" t="s">
        <v>71</v>
      </c>
      <c r="H8" s="4" t="s">
        <v>72</v>
      </c>
      <c r="I8" s="4" t="s">
        <v>73</v>
      </c>
    </row>
    <row r="9" customFormat="false" ht="15" hidden="false" customHeight="false" outlineLevel="0" collapsed="false">
      <c r="B9" s="16" t="str">
        <f aca="false">Fuentes!B29</f>
        <v>&lt;1</v>
      </c>
      <c r="C9" s="7" t="n">
        <f aca="false">Fuentes!D29</f>
        <v>6864</v>
      </c>
      <c r="D9" s="7" t="n">
        <f aca="false">Fuentes!E29</f>
        <v>5307</v>
      </c>
      <c r="E9" s="7" t="n">
        <f aca="false">Fuentes!F29</f>
        <v>36</v>
      </c>
      <c r="F9" s="17" t="n">
        <f aca="false">C9+E9*C9/(C9+D9)</f>
        <v>6884.30268671432</v>
      </c>
      <c r="G9" s="17" t="n">
        <f aca="false">D9+E9*D9/(C9+D9)</f>
        <v>5322.69731328568</v>
      </c>
      <c r="H9" s="17" t="n">
        <f aca="false">F9*$F$30</f>
        <v>6943.80979421679</v>
      </c>
      <c r="I9" s="17" t="n">
        <f aca="false">G9*$G$30</f>
        <v>5328.38625673684</v>
      </c>
    </row>
    <row r="10" customFormat="false" ht="15" hidden="false" customHeight="false" outlineLevel="0" collapsed="false">
      <c r="B10" s="16" t="str">
        <f aca="false">Fuentes!B30</f>
        <v>1-4</v>
      </c>
      <c r="C10" s="7" t="n">
        <f aca="false">Fuentes!D30</f>
        <v>1514</v>
      </c>
      <c r="D10" s="7" t="n">
        <f aca="false">Fuentes!E30</f>
        <v>1306</v>
      </c>
      <c r="E10" s="7" t="n">
        <f aca="false">Fuentes!F30</f>
        <v>1</v>
      </c>
      <c r="F10" s="17" t="n">
        <f aca="false">C10+E10*C10/(C10+D10)</f>
        <v>1514.53687943262</v>
      </c>
      <c r="G10" s="17" t="n">
        <f aca="false">D10+E10*D10/(C10+D10)</f>
        <v>1306.46312056738</v>
      </c>
      <c r="H10" s="17" t="n">
        <f aca="false">F10*$F$30</f>
        <v>1527.62835913685</v>
      </c>
      <c r="I10" s="17" t="n">
        <f aca="false">G10*$G$30</f>
        <v>1307.85947928862</v>
      </c>
    </row>
    <row r="11" customFormat="false" ht="15" hidden="false" customHeight="false" outlineLevel="0" collapsed="false">
      <c r="B11" s="16" t="str">
        <f aca="false">Fuentes!B31</f>
        <v>5-9</v>
      </c>
      <c r="C11" s="7" t="n">
        <f aca="false">Fuentes!D31</f>
        <v>1087</v>
      </c>
      <c r="D11" s="7" t="n">
        <f aca="false">Fuentes!E31</f>
        <v>831</v>
      </c>
      <c r="E11" s="7" t="n">
        <f aca="false">Fuentes!F31</f>
        <v>0</v>
      </c>
      <c r="F11" s="17" t="n">
        <f aca="false">C11+E11*C11/(C11+D11)</f>
        <v>1087</v>
      </c>
      <c r="G11" s="17" t="n">
        <f aca="false">D11+E11*D11/(C11+D11)</f>
        <v>831</v>
      </c>
      <c r="H11" s="17" t="n">
        <f aca="false">F11*$F$30</f>
        <v>1096.39590090657</v>
      </c>
      <c r="I11" s="17" t="n">
        <f aca="false">G11*$G$30</f>
        <v>831.888179757303</v>
      </c>
    </row>
    <row r="12" customFormat="false" ht="15" hidden="false" customHeight="false" outlineLevel="0" collapsed="false">
      <c r="B12" s="16" t="str">
        <f aca="false">Fuentes!B32</f>
        <v>10-14</v>
      </c>
      <c r="C12" s="7" t="n">
        <f aca="false">Fuentes!D32</f>
        <v>1734</v>
      </c>
      <c r="D12" s="7" t="n">
        <f aca="false">Fuentes!E32</f>
        <v>1312</v>
      </c>
      <c r="E12" s="7" t="n">
        <f aca="false">Fuentes!F32</f>
        <v>0</v>
      </c>
      <c r="F12" s="17" t="n">
        <f aca="false">C12+E12*C12/(C12+D12)</f>
        <v>1734</v>
      </c>
      <c r="G12" s="17" t="n">
        <f aca="false">D12+E12*D12/(C12+D12)</f>
        <v>1312</v>
      </c>
      <c r="H12" s="17" t="n">
        <f aca="false">F12*$F$30</f>
        <v>1748.9884932585</v>
      </c>
      <c r="I12" s="17" t="n">
        <f aca="false">G12*$G$30</f>
        <v>1313.40227658433</v>
      </c>
    </row>
    <row r="13" customFormat="false" ht="15" hidden="false" customHeight="false" outlineLevel="0" collapsed="false">
      <c r="B13" s="16" t="str">
        <f aca="false">Fuentes!B33</f>
        <v>15-19</v>
      </c>
      <c r="C13" s="7" t="n">
        <f aca="false">Fuentes!D33</f>
        <v>6652</v>
      </c>
      <c r="D13" s="7" t="n">
        <f aca="false">Fuentes!E33</f>
        <v>2264</v>
      </c>
      <c r="E13" s="7" t="n">
        <f aca="false">Fuentes!F33</f>
        <v>0</v>
      </c>
      <c r="F13" s="17" t="n">
        <f aca="false">C13+E13*C13/(C13+D13)</f>
        <v>6652</v>
      </c>
      <c r="G13" s="17" t="n">
        <f aca="false">D13+E13*D13/(C13+D13)</f>
        <v>2264</v>
      </c>
      <c r="H13" s="17" t="n">
        <f aca="false">F13*$F$30</f>
        <v>6709.49911023964</v>
      </c>
      <c r="I13" s="17" t="n">
        <f aca="false">G13*$G$30</f>
        <v>2266.41978215467</v>
      </c>
    </row>
    <row r="14" customFormat="false" ht="15" hidden="false" customHeight="false" outlineLevel="0" collapsed="false">
      <c r="B14" s="16" t="str">
        <f aca="false">Fuentes!B34</f>
        <v>20-24</v>
      </c>
      <c r="C14" s="7" t="n">
        <f aca="false">Fuentes!D34</f>
        <v>10260</v>
      </c>
      <c r="D14" s="7" t="n">
        <f aca="false">Fuentes!E34</f>
        <v>2784</v>
      </c>
      <c r="E14" s="7" t="n">
        <f aca="false">Fuentes!F34</f>
        <v>1</v>
      </c>
      <c r="F14" s="17" t="n">
        <f aca="false">C14+E14*C14/(C14+D14)</f>
        <v>10260.7865685373</v>
      </c>
      <c r="G14" s="17" t="n">
        <f aca="false">D14+E14*D14/(C14+D14)</f>
        <v>2784.21343146274</v>
      </c>
      <c r="H14" s="17" t="n">
        <f aca="false">F14*$F$30</f>
        <v>10349.4796079314</v>
      </c>
      <c r="I14" s="17" t="n">
        <f aca="false">G14*$G$30</f>
        <v>2787.1892220883</v>
      </c>
    </row>
    <row r="15" customFormat="false" ht="15" hidden="false" customHeight="false" outlineLevel="0" collapsed="false">
      <c r="B15" s="16" t="str">
        <f aca="false">Fuentes!B35</f>
        <v>25-29</v>
      </c>
      <c r="C15" s="7" t="n">
        <f aca="false">Fuentes!D35</f>
        <v>11793</v>
      </c>
      <c r="D15" s="7" t="n">
        <f aca="false">Fuentes!E35</f>
        <v>3477</v>
      </c>
      <c r="E15" s="7" t="n">
        <f aca="false">Fuentes!F35</f>
        <v>1</v>
      </c>
      <c r="F15" s="17" t="n">
        <f aca="false">C15+E15*C15/(C15+D15)</f>
        <v>11793.7722986248</v>
      </c>
      <c r="G15" s="17" t="n">
        <f aca="false">D15+E15*D15/(C15+D15)</f>
        <v>3477.22770137525</v>
      </c>
      <c r="H15" s="17" t="n">
        <f aca="false">F15*$F$30</f>
        <v>11895.7162874311</v>
      </c>
      <c r="I15" s="17" t="n">
        <f aca="false">G15*$G$30</f>
        <v>3480.94419145454</v>
      </c>
    </row>
    <row r="16" customFormat="false" ht="15" hidden="false" customHeight="false" outlineLevel="0" collapsed="false">
      <c r="B16" s="16" t="str">
        <f aca="false">Fuentes!B36</f>
        <v>30-34</v>
      </c>
      <c r="C16" s="7" t="n">
        <f aca="false">Fuentes!D36</f>
        <v>13802</v>
      </c>
      <c r="D16" s="7" t="n">
        <f aca="false">Fuentes!E36</f>
        <v>4652</v>
      </c>
      <c r="E16" s="7" t="n">
        <f aca="false">Fuentes!F36</f>
        <v>1</v>
      </c>
      <c r="F16" s="17" t="n">
        <f aca="false">C16+E16*C16/(C16+D16)</f>
        <v>13802.7479137314</v>
      </c>
      <c r="G16" s="17" t="n">
        <f aca="false">D16+E16*D16/(C16+D16)</f>
        <v>4652.25208626856</v>
      </c>
      <c r="H16" s="17" t="n">
        <f aca="false">F16*$F$30</f>
        <v>13922.0572528628</v>
      </c>
      <c r="I16" s="17" t="n">
        <f aca="false">G16*$G$30</f>
        <v>4657.22445224798</v>
      </c>
    </row>
    <row r="17" customFormat="false" ht="15" hidden="false" customHeight="false" outlineLevel="0" collapsed="false">
      <c r="B17" s="16" t="str">
        <f aca="false">Fuentes!B37</f>
        <v>35-39</v>
      </c>
      <c r="C17" s="7" t="n">
        <f aca="false">Fuentes!D37</f>
        <v>14902</v>
      </c>
      <c r="D17" s="7" t="n">
        <f aca="false">Fuentes!E37</f>
        <v>5784</v>
      </c>
      <c r="E17" s="7" t="n">
        <f aca="false">Fuentes!F37</f>
        <v>2</v>
      </c>
      <c r="F17" s="17" t="n">
        <f aca="false">C17+E17*C17/(C17+D17)</f>
        <v>14903.4407812047</v>
      </c>
      <c r="G17" s="17" t="n">
        <f aca="false">D17+E17*D17/(C17+D17)</f>
        <v>5784.55921879532</v>
      </c>
      <c r="H17" s="17" t="n">
        <f aca="false">F17*$F$30</f>
        <v>15032.264380788</v>
      </c>
      <c r="I17" s="17" t="n">
        <f aca="false">G17*$G$30</f>
        <v>5790.74180411789</v>
      </c>
    </row>
    <row r="18" customFormat="false" ht="15" hidden="false" customHeight="false" outlineLevel="0" collapsed="false">
      <c r="B18" s="16" t="str">
        <f aca="false">Fuentes!B38</f>
        <v>40-44</v>
      </c>
      <c r="C18" s="7" t="n">
        <f aca="false">Fuentes!D38</f>
        <v>16673</v>
      </c>
      <c r="D18" s="7" t="n">
        <f aca="false">Fuentes!E38</f>
        <v>7746</v>
      </c>
      <c r="E18" s="7" t="n">
        <f aca="false">Fuentes!F38</f>
        <v>2</v>
      </c>
      <c r="F18" s="17" t="n">
        <f aca="false">C18+E18*C18/(C18+D18)</f>
        <v>16674.3655759859</v>
      </c>
      <c r="G18" s="17" t="n">
        <f aca="false">D18+E18*D18/(C18+D18)</f>
        <v>7746.63442401409</v>
      </c>
      <c r="H18" s="17" t="n">
        <f aca="false">F18*$F$30</f>
        <v>16818.4968424366</v>
      </c>
      <c r="I18" s="17" t="n">
        <f aca="false">G18*$G$30</f>
        <v>7754.91409174289</v>
      </c>
    </row>
    <row r="19" customFormat="false" ht="15" hidden="false" customHeight="false" outlineLevel="0" collapsed="false">
      <c r="B19" s="16" t="str">
        <f aca="false">Fuentes!B39</f>
        <v>45-49</v>
      </c>
      <c r="C19" s="7" t="n">
        <f aca="false">Fuentes!D39</f>
        <v>20907</v>
      </c>
      <c r="D19" s="7" t="n">
        <f aca="false">Fuentes!E39</f>
        <v>11271</v>
      </c>
      <c r="E19" s="7" t="n">
        <f aca="false">Fuentes!F39</f>
        <v>1</v>
      </c>
      <c r="F19" s="17" t="n">
        <f aca="false">C19+E19*C19/(C19+D19)</f>
        <v>20907.6497296289</v>
      </c>
      <c r="G19" s="17" t="n">
        <f aca="false">D19+E19*D19/(C19+D19)</f>
        <v>11271.3502703711</v>
      </c>
      <c r="H19" s="17" t="n">
        <f aca="false">F19*$F$30</f>
        <v>21088.3730093427</v>
      </c>
      <c r="I19" s="17" t="n">
        <f aca="false">G19*$G$30</f>
        <v>11283.3971839061</v>
      </c>
    </row>
    <row r="20" customFormat="false" ht="15" hidden="false" customHeight="false" outlineLevel="0" collapsed="false">
      <c r="B20" s="16" t="str">
        <f aca="false">Fuentes!B40</f>
        <v>50-54</v>
      </c>
      <c r="C20" s="7" t="n">
        <f aca="false">Fuentes!D40</f>
        <v>27195</v>
      </c>
      <c r="D20" s="7" t="n">
        <f aca="false">Fuentes!E40</f>
        <v>16040</v>
      </c>
      <c r="E20" s="7" t="n">
        <f aca="false">Fuentes!F40</f>
        <v>1</v>
      </c>
      <c r="F20" s="17" t="n">
        <f aca="false">C20+E20*C20/(C20+D20)</f>
        <v>27195.6290042789</v>
      </c>
      <c r="G20" s="17" t="n">
        <f aca="false">D20+E20*D20/(C20+D20)</f>
        <v>16040.3709957211</v>
      </c>
      <c r="H20" s="17" t="n">
        <f aca="false">F20*$F$30</f>
        <v>27430.7048416441</v>
      </c>
      <c r="I20" s="17" t="n">
        <f aca="false">G20*$G$30</f>
        <v>16057.5150785346</v>
      </c>
    </row>
    <row r="21" customFormat="false" ht="15" hidden="false" customHeight="false" outlineLevel="0" collapsed="false">
      <c r="B21" s="16" t="str">
        <f aca="false">Fuentes!B41</f>
        <v>55-59</v>
      </c>
      <c r="C21" s="7" t="n">
        <f aca="false">Fuentes!D41</f>
        <v>31028</v>
      </c>
      <c r="D21" s="7" t="n">
        <f aca="false">Fuentes!E41</f>
        <v>20383</v>
      </c>
      <c r="E21" s="7" t="n">
        <f aca="false">Fuentes!F41</f>
        <v>6</v>
      </c>
      <c r="F21" s="17" t="n">
        <f aca="false">C21+E21*C21/(C21+D21)</f>
        <v>31031.6211705666</v>
      </c>
      <c r="G21" s="17" t="n">
        <f aca="false">D21+E21*D21/(C21+D21)</f>
        <v>20385.3788294334</v>
      </c>
      <c r="H21" s="17" t="n">
        <f aca="false">F21*$F$30</f>
        <v>31299.8548757081</v>
      </c>
      <c r="I21" s="17" t="n">
        <f aca="false">G21*$G$30</f>
        <v>20407.1668929969</v>
      </c>
    </row>
    <row r="22" customFormat="false" ht="15" hidden="false" customHeight="false" outlineLevel="0" collapsed="false">
      <c r="B22" s="16" t="str">
        <f aca="false">Fuentes!B42</f>
        <v>60-64</v>
      </c>
      <c r="C22" s="7" t="n">
        <f aca="false">Fuentes!D42</f>
        <v>36647</v>
      </c>
      <c r="D22" s="7" t="n">
        <f aca="false">Fuentes!E42</f>
        <v>26707</v>
      </c>
      <c r="E22" s="7" t="n">
        <f aca="false">Fuentes!F42</f>
        <v>1</v>
      </c>
      <c r="F22" s="17" t="n">
        <f aca="false">C22+E22*C22/(C22+D22)</f>
        <v>36647.5784480854</v>
      </c>
      <c r="G22" s="17" t="n">
        <f aca="false">D22+E22*D22/(C22+D22)</f>
        <v>26707.4215519146</v>
      </c>
      <c r="H22" s="17" t="n">
        <f aca="false">F22*$F$30</f>
        <v>36964.3558313088</v>
      </c>
      <c r="I22" s="17" t="n">
        <f aca="false">G22*$G$30</f>
        <v>26735.9666676694</v>
      </c>
    </row>
    <row r="23" customFormat="false" ht="15" hidden="false" customHeight="false" outlineLevel="0" collapsed="false">
      <c r="B23" s="16" t="str">
        <f aca="false">Fuentes!B43</f>
        <v>65-69</v>
      </c>
      <c r="C23" s="7" t="n">
        <f aca="false">Fuentes!D43</f>
        <v>40351</v>
      </c>
      <c r="D23" s="7" t="n">
        <f aca="false">Fuentes!E43</f>
        <v>31275</v>
      </c>
      <c r="E23" s="7" t="n">
        <f aca="false">Fuentes!F43</f>
        <v>2</v>
      </c>
      <c r="F23" s="17" t="n">
        <f aca="false">C23+E23*C23/(C23+D23)</f>
        <v>40352.1267137632</v>
      </c>
      <c r="G23" s="17" t="n">
        <f aca="false">D23+E23*D23/(C23+D23)</f>
        <v>31275.8732862368</v>
      </c>
      <c r="H23" s="17" t="n">
        <f aca="false">F23*$F$30</f>
        <v>40700.9257790546</v>
      </c>
      <c r="I23" s="17" t="n">
        <f aca="false">G23*$G$30</f>
        <v>31309.3012014532</v>
      </c>
    </row>
    <row r="24" customFormat="false" ht="15" hidden="false" customHeight="false" outlineLevel="0" collapsed="false">
      <c r="B24" s="16" t="str">
        <f aca="false">Fuentes!B44</f>
        <v>70-74</v>
      </c>
      <c r="C24" s="7" t="n">
        <f aca="false">Fuentes!D44</f>
        <v>41883</v>
      </c>
      <c r="D24" s="7" t="n">
        <f aca="false">Fuentes!E44</f>
        <v>35265</v>
      </c>
      <c r="E24" s="7" t="n">
        <f aca="false">Fuentes!F44</f>
        <v>0</v>
      </c>
      <c r="F24" s="17" t="n">
        <f aca="false">C24+E24*C24/(C24+D24)</f>
        <v>41883</v>
      </c>
      <c r="G24" s="17" t="n">
        <f aca="false">D24+E24*D24/(C24+D24)</f>
        <v>35265</v>
      </c>
      <c r="H24" s="17" t="n">
        <f aca="false">F24*$F$30</f>
        <v>42245.031754986</v>
      </c>
      <c r="I24" s="17" t="n">
        <f aca="false">G24*$G$30</f>
        <v>35302.6915272458</v>
      </c>
    </row>
    <row r="25" customFormat="false" ht="15" hidden="false" customHeight="false" outlineLevel="0" collapsed="false">
      <c r="B25" s="16" t="str">
        <f aca="false">Fuentes!B45</f>
        <v>75-79</v>
      </c>
      <c r="C25" s="7" t="n">
        <f aca="false">Fuentes!D45</f>
        <v>41969</v>
      </c>
      <c r="D25" s="7" t="n">
        <f aca="false">Fuentes!E45</f>
        <v>37743</v>
      </c>
      <c r="E25" s="7" t="n">
        <f aca="false">Fuentes!F45</f>
        <v>1</v>
      </c>
      <c r="F25" s="17" t="n">
        <f aca="false">C25+E25*C25/(C25+D25)</f>
        <v>41969.5265079285</v>
      </c>
      <c r="G25" s="17" t="n">
        <f aca="false">D25+E25*D25/(C25+D25)</f>
        <v>37743.4734920715</v>
      </c>
      <c r="H25" s="17" t="n">
        <f aca="false">F25*$F$30</f>
        <v>42332.3061879323</v>
      </c>
      <c r="I25" s="17" t="n">
        <f aca="false">G25*$G$30</f>
        <v>37783.8140325359</v>
      </c>
    </row>
    <row r="26" customFormat="false" ht="15" hidden="false" customHeight="false" outlineLevel="0" collapsed="false">
      <c r="B26" s="16" t="str">
        <f aca="false">Fuentes!B46</f>
        <v>80-84</v>
      </c>
      <c r="C26" s="7" t="n">
        <f aca="false">Fuentes!D46</f>
        <v>38943</v>
      </c>
      <c r="D26" s="7" t="n">
        <f aca="false">Fuentes!E46</f>
        <v>39862</v>
      </c>
      <c r="E26" s="7" t="n">
        <f aca="false">Fuentes!F46</f>
        <v>2</v>
      </c>
      <c r="F26" s="17" t="n">
        <f aca="false">C26+E26*C26/(C26+D26)</f>
        <v>38943.9883383034</v>
      </c>
      <c r="G26" s="17" t="n">
        <f aca="false">D26+E26*D26/(C26+D26)</f>
        <v>39863.0116616966</v>
      </c>
      <c r="H26" s="17" t="n">
        <f aca="false">F26*$F$30</f>
        <v>39280.6156201187</v>
      </c>
      <c r="I26" s="17" t="n">
        <f aca="false">G26*$G$30</f>
        <v>39905.6175823019</v>
      </c>
    </row>
    <row r="27" customFormat="false" ht="15" hidden="false" customHeight="false" outlineLevel="0" collapsed="false">
      <c r="B27" s="16" t="str">
        <f aca="false">Fuentes!B47</f>
        <v>85+</v>
      </c>
      <c r="C27" s="7" t="n">
        <f aca="false">Fuentes!D47</f>
        <v>58901</v>
      </c>
      <c r="D27" s="7" t="n">
        <f aca="false">Fuentes!E47</f>
        <v>81299</v>
      </c>
      <c r="E27" s="7" t="n">
        <f aca="false">Fuentes!F47</f>
        <v>7</v>
      </c>
      <c r="F27" s="17" t="n">
        <f aca="false">C27+E27*C27/(C27+D27)</f>
        <v>58903.9408487874</v>
      </c>
      <c r="G27" s="17" t="n">
        <f aca="false">D27+E27*D27/(C27+D27)</f>
        <v>81303.0591512126</v>
      </c>
      <c r="H27" s="17" t="n">
        <f aca="false">F27*$F$30</f>
        <v>59413.0996263601</v>
      </c>
      <c r="I27" s="17" t="n">
        <f aca="false">G27*$G$30</f>
        <v>81389.9565415193</v>
      </c>
    </row>
    <row r="28" customFormat="false" ht="15" hidden="false" customHeight="false" outlineLevel="0" collapsed="false">
      <c r="B28" s="5" t="s">
        <v>74</v>
      </c>
      <c r="C28" s="7" t="n">
        <f aca="false">Fuentes!D48</f>
        <v>3235</v>
      </c>
      <c r="D28" s="7" t="n">
        <f aca="false">Fuentes!E48</f>
        <v>317</v>
      </c>
      <c r="E28" s="7" t="n">
        <f aca="false">Fuentes!F48</f>
        <v>464</v>
      </c>
      <c r="F28" s="17" t="n">
        <f aca="false">C28+E28*C28/(C28+D28)</f>
        <v>3657.59009009009</v>
      </c>
      <c r="G28" s="17" t="n">
        <f aca="false">D28+E28*D28/(C28+D28)</f>
        <v>358.40990990991</v>
      </c>
      <c r="H28" s="5"/>
      <c r="I28" s="5"/>
    </row>
    <row r="29" customFormat="false" ht="15" hidden="false" customHeight="false" outlineLevel="0" collapsed="false">
      <c r="B29" s="13" t="s">
        <v>50</v>
      </c>
      <c r="C29" s="14" t="n">
        <f aca="false">SUM(C9:C28)</f>
        <v>426340</v>
      </c>
      <c r="D29" s="14" t="n">
        <f aca="false">SUM(D9:D28)</f>
        <v>335625</v>
      </c>
      <c r="E29" s="14" t="n">
        <f aca="false">SUM(E9:E28)</f>
        <v>529</v>
      </c>
      <c r="F29" s="18" t="n">
        <f aca="false">SUM(F9:F28)</f>
        <v>426799.603555664</v>
      </c>
      <c r="G29" s="18" t="n">
        <f aca="false">SUM(G9:G28)</f>
        <v>335694.396444336</v>
      </c>
      <c r="H29" s="18" t="n">
        <f aca="false">SUM(H9:H28)</f>
        <v>426799.603555664</v>
      </c>
      <c r="I29" s="18" t="n">
        <f aca="false">SUM(I9:I28)</f>
        <v>335694.396444336</v>
      </c>
    </row>
    <row r="30" customFormat="false" ht="15" hidden="false" customHeight="false" outlineLevel="0" collapsed="false">
      <c r="B30" s="5" t="s">
        <v>75</v>
      </c>
      <c r="F30" s="19" t="n">
        <f aca="false">SUM(F9:F28)/SUM(F9:F27)</f>
        <v>1.00864388307872</v>
      </c>
      <c r="G30" s="19" t="n">
        <f aca="false">SUM(G9:G28)/SUM(G9:G27)</f>
        <v>1.00106880837221</v>
      </c>
    </row>
    <row r="31" customFormat="false" ht="15" hidden="false" customHeight="false" outlineLevel="0" collapsed="false">
      <c r="B31" s="5" t="s">
        <v>76</v>
      </c>
      <c r="H31" s="20" t="n">
        <f aca="false">ROUND(SUM(H9:I27)-Fuentes!C28,6)</f>
        <v>0</v>
      </c>
    </row>
    <row r="33" customFormat="false" ht="15" hidden="false" customHeight="false" outlineLevel="0" collapsed="false">
      <c r="B33" s="3" t="s">
        <v>77</v>
      </c>
    </row>
    <row r="34" customFormat="false" ht="15" hidden="false" customHeight="false" outlineLevel="0" collapsed="false">
      <c r="B34" s="2" t="s">
        <v>78</v>
      </c>
    </row>
    <row r="35" customFormat="false" ht="15" hidden="false" customHeight="false" outlineLevel="0" collapsed="false">
      <c r="B35" s="4"/>
      <c r="C35" s="4" t="s">
        <v>4</v>
      </c>
      <c r="D35" s="4" t="s">
        <v>5</v>
      </c>
    </row>
    <row r="36" customFormat="false" ht="15" hidden="false" customHeight="false" outlineLevel="0" collapsed="false">
      <c r="B36" s="5" t="s">
        <v>79</v>
      </c>
      <c r="C36" s="7" t="n">
        <f aca="false">Fuentes!E7</f>
        <v>3828187</v>
      </c>
      <c r="D36" s="7" t="n">
        <f aca="false">Fuentes!D7</f>
        <v>3741386</v>
      </c>
    </row>
    <row r="37" customFormat="false" ht="15" hidden="false" customHeight="false" outlineLevel="0" collapsed="false">
      <c r="B37" s="5" t="s">
        <v>80</v>
      </c>
      <c r="C37" s="7" t="n">
        <f aca="false">Fuentes!E8</f>
        <v>4884666</v>
      </c>
      <c r="D37" s="7" t="n">
        <f aca="false">Fuentes!D8</f>
        <v>4785294</v>
      </c>
    </row>
    <row r="38" customFormat="false" ht="15" hidden="false" customHeight="false" outlineLevel="0" collapsed="false">
      <c r="B38" s="5" t="s">
        <v>81</v>
      </c>
      <c r="C38" s="21" t="n">
        <f aca="false">LN(C37/C36)/5</f>
        <v>0.0487419175231753</v>
      </c>
      <c r="D38" s="21" t="n">
        <f aca="false">LN(D37/D36)/5</f>
        <v>0.0492182668025659</v>
      </c>
    </row>
    <row r="39" customFormat="false" ht="15" hidden="false" customHeight="false" outlineLevel="0" collapsed="false">
      <c r="B39" s="5" t="s">
        <v>82</v>
      </c>
      <c r="C39" s="22" t="n">
        <f aca="false">(EXP(C38)-1)/(EXP(5*C38)-1)</f>
        <v>0.180993112626959</v>
      </c>
      <c r="D39" s="22" t="n">
        <f aca="false">(EXP(D38)-1)/(EXP(5*D38)-1)</f>
        <v>0.180812334130132</v>
      </c>
    </row>
    <row r="40" customFormat="false" ht="15" hidden="false" customHeight="false" outlineLevel="0" collapsed="false">
      <c r="B40" s="5" t="s">
        <v>83</v>
      </c>
      <c r="C40" s="23" t="n">
        <f aca="false">C36*C39</f>
        <v>692875.480848061</v>
      </c>
      <c r="D40" s="23" t="n">
        <f aca="false">D36*D39</f>
        <v>676488.7355418</v>
      </c>
    </row>
    <row r="41" customFormat="false" ht="15" hidden="false" customHeight="false" outlineLevel="0" collapsed="false">
      <c r="B41" s="5" t="s">
        <v>84</v>
      </c>
      <c r="C41" s="23" t="n">
        <f aca="false">C36-C40</f>
        <v>3135311.51915194</v>
      </c>
      <c r="D41" s="23" t="n">
        <f aca="false">D36-D40</f>
        <v>3064897.2644582</v>
      </c>
    </row>
    <row r="43" customFormat="false" ht="15" hidden="false" customHeight="false" outlineLevel="0" collapsed="false">
      <c r="B43" s="3" t="s">
        <v>85</v>
      </c>
    </row>
    <row r="44" customFormat="false" ht="15" hidden="false" customHeight="false" outlineLevel="0" collapsed="false">
      <c r="B44" s="2" t="s">
        <v>86</v>
      </c>
    </row>
    <row r="45" customFormat="false" ht="30" hidden="false" customHeight="true" outlineLevel="0" collapsed="false">
      <c r="B45" s="4" t="s">
        <v>32</v>
      </c>
      <c r="C45" s="4" t="s">
        <v>87</v>
      </c>
      <c r="D45" s="4" t="s">
        <v>88</v>
      </c>
      <c r="E45" s="4" t="s">
        <v>89</v>
      </c>
      <c r="F45" s="4" t="s">
        <v>90</v>
      </c>
      <c r="G45" s="4" t="s">
        <v>91</v>
      </c>
      <c r="H45" s="4" t="s">
        <v>92</v>
      </c>
    </row>
    <row r="46" customFormat="false" ht="15" hidden="false" customHeight="false" outlineLevel="0" collapsed="false">
      <c r="B46" s="24" t="s">
        <v>93</v>
      </c>
      <c r="C46" s="23" t="n">
        <f aca="false">C40</f>
        <v>692875.480848061</v>
      </c>
      <c r="D46" s="17" t="n">
        <f aca="false">H9</f>
        <v>6943.80979421679</v>
      </c>
      <c r="E46" s="23" t="n">
        <f aca="false">D40</f>
        <v>676488.7355418</v>
      </c>
      <c r="F46" s="17" t="n">
        <f aca="false">I9</f>
        <v>5328.38625673684</v>
      </c>
      <c r="G46" s="23" t="n">
        <f aca="false">C46+E46</f>
        <v>1369364.21638986</v>
      </c>
      <c r="H46" s="17" t="n">
        <f aca="false">D46+F46</f>
        <v>12272.1960509536</v>
      </c>
    </row>
    <row r="47" customFormat="false" ht="15" hidden="false" customHeight="false" outlineLevel="0" collapsed="false">
      <c r="B47" s="24" t="s">
        <v>55</v>
      </c>
      <c r="C47" s="23" t="n">
        <f aca="false">C41</f>
        <v>3135311.51915194</v>
      </c>
      <c r="D47" s="17" t="n">
        <f aca="false">H10</f>
        <v>1527.62835913685</v>
      </c>
      <c r="E47" s="23" t="n">
        <f aca="false">D41</f>
        <v>3064897.2644582</v>
      </c>
      <c r="F47" s="17" t="n">
        <f aca="false">I10</f>
        <v>1307.85947928862</v>
      </c>
      <c r="G47" s="23" t="n">
        <f aca="false">C47+E47</f>
        <v>6200208.78361014</v>
      </c>
      <c r="H47" s="17" t="n">
        <f aca="false">D47+F47</f>
        <v>2835.48783842546</v>
      </c>
    </row>
    <row r="48" customFormat="false" ht="15" hidden="false" customHeight="false" outlineLevel="0" collapsed="false">
      <c r="B48" s="24" t="s">
        <v>56</v>
      </c>
      <c r="C48" s="7" t="n">
        <f aca="false">Fuentes!E8</f>
        <v>4884666</v>
      </c>
      <c r="D48" s="17" t="n">
        <f aca="false">H11</f>
        <v>1096.39590090657</v>
      </c>
      <c r="E48" s="7" t="n">
        <f aca="false">Fuentes!D8</f>
        <v>4785294</v>
      </c>
      <c r="F48" s="17" t="n">
        <f aca="false">I11</f>
        <v>831.888179757303</v>
      </c>
      <c r="G48" s="23" t="n">
        <f aca="false">C48+E48</f>
        <v>9669960</v>
      </c>
      <c r="H48" s="17" t="n">
        <f aca="false">D48+F48</f>
        <v>1928.28408066387</v>
      </c>
    </row>
    <row r="49" customFormat="false" ht="15" hidden="false" customHeight="false" outlineLevel="0" collapsed="false">
      <c r="B49" s="24" t="s">
        <v>36</v>
      </c>
      <c r="C49" s="7" t="n">
        <f aca="false">Fuentes!E9</f>
        <v>5531785</v>
      </c>
      <c r="D49" s="17" t="n">
        <f aca="false">H12</f>
        <v>1748.9884932585</v>
      </c>
      <c r="E49" s="7" t="n">
        <f aca="false">Fuentes!D9</f>
        <v>5353603</v>
      </c>
      <c r="F49" s="17" t="n">
        <f aca="false">I12</f>
        <v>1313.40227658433</v>
      </c>
      <c r="G49" s="23" t="n">
        <f aca="false">C49+E49</f>
        <v>10885388</v>
      </c>
      <c r="H49" s="17" t="n">
        <f aca="false">D49+F49</f>
        <v>3062.39076984283</v>
      </c>
    </row>
    <row r="50" customFormat="false" ht="15" hidden="false" customHeight="false" outlineLevel="0" collapsed="false">
      <c r="B50" s="24" t="s">
        <v>37</v>
      </c>
      <c r="C50" s="7" t="n">
        <f aca="false">Fuentes!E10</f>
        <v>5483687</v>
      </c>
      <c r="D50" s="17" t="n">
        <f aca="false">H13</f>
        <v>6709.49911023964</v>
      </c>
      <c r="E50" s="7" t="n">
        <f aca="false">Fuentes!D10</f>
        <v>5349921</v>
      </c>
      <c r="F50" s="17" t="n">
        <f aca="false">I13</f>
        <v>2266.41978215467</v>
      </c>
      <c r="G50" s="23" t="n">
        <f aca="false">C50+E50</f>
        <v>10833608</v>
      </c>
      <c r="H50" s="17" t="n">
        <f aca="false">D50+F50</f>
        <v>8975.91889239431</v>
      </c>
    </row>
    <row r="51" customFormat="false" ht="15" hidden="false" customHeight="false" outlineLevel="0" collapsed="false">
      <c r="B51" s="24" t="s">
        <v>38</v>
      </c>
      <c r="C51" s="7" t="n">
        <f aca="false">Fuentes!E11</f>
        <v>5041141</v>
      </c>
      <c r="D51" s="17" t="n">
        <f aca="false">H14</f>
        <v>10349.4796079314</v>
      </c>
      <c r="E51" s="7" t="n">
        <f aca="false">Fuentes!D11</f>
        <v>5319788</v>
      </c>
      <c r="F51" s="17" t="n">
        <f aca="false">I14</f>
        <v>2787.1892220883</v>
      </c>
      <c r="G51" s="23" t="n">
        <f aca="false">C51+E51</f>
        <v>10360929</v>
      </c>
      <c r="H51" s="17" t="n">
        <f aca="false">D51+F51</f>
        <v>13136.6688300197</v>
      </c>
    </row>
    <row r="52" customFormat="false" ht="15" hidden="false" customHeight="false" outlineLevel="0" collapsed="false">
      <c r="B52" s="24" t="s">
        <v>39</v>
      </c>
      <c r="C52" s="7" t="n">
        <f aca="false">Fuentes!E12</f>
        <v>4706443</v>
      </c>
      <c r="D52" s="17" t="n">
        <f aca="false">H15</f>
        <v>11895.7162874311</v>
      </c>
      <c r="E52" s="7" t="n">
        <f aca="false">Fuentes!D12</f>
        <v>5104330</v>
      </c>
      <c r="F52" s="17" t="n">
        <f aca="false">I15</f>
        <v>3480.94419145454</v>
      </c>
      <c r="G52" s="23" t="n">
        <f aca="false">C52+E52</f>
        <v>9810773</v>
      </c>
      <c r="H52" s="17" t="n">
        <f aca="false">D52+F52</f>
        <v>15376.6604788856</v>
      </c>
    </row>
    <row r="53" customFormat="false" ht="15" hidden="false" customHeight="false" outlineLevel="0" collapsed="false">
      <c r="B53" s="24" t="s">
        <v>40</v>
      </c>
      <c r="C53" s="7" t="n">
        <f aca="false">Fuentes!E13</f>
        <v>4744987</v>
      </c>
      <c r="D53" s="17" t="n">
        <f aca="false">H16</f>
        <v>13922.0572528628</v>
      </c>
      <c r="E53" s="7" t="n">
        <f aca="false">Fuentes!D13</f>
        <v>5282566</v>
      </c>
      <c r="F53" s="17" t="n">
        <f aca="false">I16</f>
        <v>4657.22445224798</v>
      </c>
      <c r="G53" s="23" t="n">
        <f aca="false">C53+E53</f>
        <v>10027553</v>
      </c>
      <c r="H53" s="17" t="n">
        <f aca="false">D53+F53</f>
        <v>18579.2817051107</v>
      </c>
    </row>
    <row r="54" customFormat="false" ht="15" hidden="false" customHeight="false" outlineLevel="0" collapsed="false">
      <c r="B54" s="24" t="s">
        <v>41</v>
      </c>
      <c r="C54" s="7" t="n">
        <f aca="false">Fuentes!E14</f>
        <v>4525522</v>
      </c>
      <c r="D54" s="17" t="n">
        <f aca="false">H17</f>
        <v>15032.264380788</v>
      </c>
      <c r="E54" s="7" t="n">
        <f aca="false">Fuentes!D14</f>
        <v>5095386</v>
      </c>
      <c r="F54" s="17" t="n">
        <f aca="false">I17</f>
        <v>5790.74180411789</v>
      </c>
      <c r="G54" s="23" t="n">
        <f aca="false">C54+E54</f>
        <v>9620908</v>
      </c>
      <c r="H54" s="17" t="n">
        <f aca="false">D54+F54</f>
        <v>20823.0061849059</v>
      </c>
    </row>
    <row r="55" customFormat="false" ht="15" hidden="false" customHeight="false" outlineLevel="0" collapsed="false">
      <c r="B55" s="24" t="s">
        <v>42</v>
      </c>
      <c r="C55" s="7" t="n">
        <f aca="false">Fuentes!E15</f>
        <v>4231275</v>
      </c>
      <c r="D55" s="17" t="n">
        <f aca="false">H18</f>
        <v>16818.4968424366</v>
      </c>
      <c r="E55" s="7" t="n">
        <f aca="false">Fuentes!D15</f>
        <v>4742766</v>
      </c>
      <c r="F55" s="17" t="n">
        <f aca="false">I18</f>
        <v>7754.91409174289</v>
      </c>
      <c r="G55" s="23" t="n">
        <f aca="false">C55+E55</f>
        <v>8974041</v>
      </c>
      <c r="H55" s="17" t="n">
        <f aca="false">D55+F55</f>
        <v>24573.4109341794</v>
      </c>
    </row>
    <row r="56" customFormat="false" ht="15" hidden="false" customHeight="false" outlineLevel="0" collapsed="false">
      <c r="B56" s="24" t="s">
        <v>43</v>
      </c>
      <c r="C56" s="7" t="n">
        <f aca="false">Fuentes!E16</f>
        <v>3936178</v>
      </c>
      <c r="D56" s="17" t="n">
        <f aca="false">H19</f>
        <v>21088.3730093427</v>
      </c>
      <c r="E56" s="7" t="n">
        <f aca="false">Fuentes!D16</f>
        <v>4437822</v>
      </c>
      <c r="F56" s="17" t="n">
        <f aca="false">I19</f>
        <v>11283.3971839061</v>
      </c>
      <c r="G56" s="23" t="n">
        <f aca="false">C56+E56</f>
        <v>8374000</v>
      </c>
      <c r="H56" s="17" t="n">
        <f aca="false">D56+F56</f>
        <v>32371.7701932488</v>
      </c>
    </row>
    <row r="57" customFormat="false" ht="15" hidden="false" customHeight="false" outlineLevel="0" collapsed="false">
      <c r="B57" s="24" t="s">
        <v>44</v>
      </c>
      <c r="C57" s="7" t="n">
        <f aca="false">Fuentes!E17</f>
        <v>3942849</v>
      </c>
      <c r="D57" s="17" t="n">
        <f aca="false">H20</f>
        <v>27430.7048416441</v>
      </c>
      <c r="E57" s="7" t="n">
        <f aca="false">Fuentes!D17</f>
        <v>4409290</v>
      </c>
      <c r="F57" s="17" t="n">
        <f aca="false">I20</f>
        <v>16057.5150785346</v>
      </c>
      <c r="G57" s="23" t="n">
        <f aca="false">C57+E57</f>
        <v>8352139</v>
      </c>
      <c r="H57" s="17" t="n">
        <f aca="false">D57+F57</f>
        <v>43488.2199201787</v>
      </c>
    </row>
    <row r="58" customFormat="false" ht="15" hidden="false" customHeight="false" outlineLevel="0" collapsed="false">
      <c r="B58" s="24" t="s">
        <v>45</v>
      </c>
      <c r="C58" s="7" t="n">
        <f aca="false">Fuentes!E18</f>
        <v>3156393</v>
      </c>
      <c r="D58" s="17" t="n">
        <f aca="false">H21</f>
        <v>31299.8548757081</v>
      </c>
      <c r="E58" s="7" t="n">
        <f aca="false">Fuentes!D18</f>
        <v>3553454</v>
      </c>
      <c r="F58" s="17" t="n">
        <f aca="false">I21</f>
        <v>20407.1668929969</v>
      </c>
      <c r="G58" s="23" t="n">
        <f aca="false">C58+E58</f>
        <v>6709847</v>
      </c>
      <c r="H58" s="17" t="n">
        <f aca="false">D58+F58</f>
        <v>51707.021768705</v>
      </c>
    </row>
    <row r="59" customFormat="false" ht="15" hidden="false" customHeight="false" outlineLevel="0" collapsed="false">
      <c r="B59" s="24" t="s">
        <v>46</v>
      </c>
      <c r="C59" s="7" t="n">
        <f aca="false">Fuentes!E19</f>
        <v>2734019</v>
      </c>
      <c r="D59" s="17" t="n">
        <f aca="false">H22</f>
        <v>36964.3558313088</v>
      </c>
      <c r="E59" s="7" t="n">
        <f aca="false">Fuentes!D19</f>
        <v>3257527</v>
      </c>
      <c r="F59" s="17" t="n">
        <f aca="false">I22</f>
        <v>26735.9666676694</v>
      </c>
      <c r="G59" s="23" t="n">
        <f aca="false">C59+E59</f>
        <v>5991546</v>
      </c>
      <c r="H59" s="17" t="n">
        <f aca="false">D59+F59</f>
        <v>63700.3224989781</v>
      </c>
    </row>
    <row r="60" customFormat="false" ht="15" hidden="false" customHeight="false" outlineLevel="0" collapsed="false">
      <c r="B60" s="24" t="s">
        <v>47</v>
      </c>
      <c r="C60" s="7" t="n">
        <f aca="false">Fuentes!E20</f>
        <v>2216346</v>
      </c>
      <c r="D60" s="17" t="n">
        <f aca="false">H23</f>
        <v>40700.9257790546</v>
      </c>
      <c r="E60" s="7" t="n">
        <f aca="false">Fuentes!D20</f>
        <v>2613496</v>
      </c>
      <c r="F60" s="17" t="n">
        <f aca="false">I23</f>
        <v>31309.3012014532</v>
      </c>
      <c r="G60" s="23" t="n">
        <f aca="false">C60+E60</f>
        <v>4829842</v>
      </c>
      <c r="H60" s="17" t="n">
        <f aca="false">D60+F60</f>
        <v>72010.2269805078</v>
      </c>
    </row>
    <row r="61" customFormat="false" ht="15" hidden="false" customHeight="false" outlineLevel="0" collapsed="false">
      <c r="B61" s="24" t="s">
        <v>48</v>
      </c>
      <c r="C61" s="7" t="n">
        <f aca="false">Fuentes!E21</f>
        <v>1561618</v>
      </c>
      <c r="D61" s="17" t="n">
        <f aca="false">H24</f>
        <v>42245.031754986</v>
      </c>
      <c r="E61" s="7" t="n">
        <f aca="false">Fuentes!D21</f>
        <v>1838237</v>
      </c>
      <c r="F61" s="17" t="n">
        <f aca="false">I24</f>
        <v>35302.6915272458</v>
      </c>
      <c r="G61" s="23" t="n">
        <f aca="false">C61+E61</f>
        <v>3399855</v>
      </c>
      <c r="H61" s="17" t="n">
        <f aca="false">D61+F61</f>
        <v>77547.7232822318</v>
      </c>
    </row>
    <row r="62" customFormat="false" ht="15" hidden="false" customHeight="false" outlineLevel="0" collapsed="false">
      <c r="B62" s="24" t="s">
        <v>49</v>
      </c>
      <c r="C62" s="7" t="n">
        <f aca="false">Fuentes!E22</f>
        <v>2180337</v>
      </c>
      <c r="D62" s="17" t="n">
        <f aca="false">SUM(H25:H27)</f>
        <v>141026.021434411</v>
      </c>
      <c r="E62" s="7" t="n">
        <f aca="false">Fuentes!D22</f>
        <v>2784501</v>
      </c>
      <c r="F62" s="17" t="n">
        <f aca="false">SUM(I25:I27)</f>
        <v>159079.388156357</v>
      </c>
      <c r="G62" s="23" t="n">
        <f aca="false">C62+E62</f>
        <v>4964838</v>
      </c>
      <c r="H62" s="17" t="n">
        <f aca="false">D62+F62</f>
        <v>300105.409590768</v>
      </c>
    </row>
    <row r="63" customFormat="false" ht="15" hidden="false" customHeight="false" outlineLevel="0" collapsed="false">
      <c r="B63" s="13" t="s">
        <v>50</v>
      </c>
      <c r="C63" s="14" t="n">
        <f aca="false">SUM(C46:C62)</f>
        <v>62705433</v>
      </c>
      <c r="D63" s="14" t="n">
        <f aca="false">SUM(D46:D62)</f>
        <v>426799.603555664</v>
      </c>
      <c r="E63" s="14" t="n">
        <f aca="false">SUM(E46:E62)</f>
        <v>67669367</v>
      </c>
      <c r="F63" s="14" t="n">
        <f aca="false">SUM(F46:F62)</f>
        <v>335694.396444336</v>
      </c>
      <c r="G63" s="14" t="n">
        <f aca="false">SUM(G46:G62)</f>
        <v>130374800</v>
      </c>
      <c r="H63" s="14" t="n">
        <f aca="false">SUM(H46:H62)</f>
        <v>762494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8"/>
  </cols>
  <sheetData>
    <row r="1" customFormat="false" ht="17.35" hidden="false" customHeight="false" outlineLevel="0" collapsed="false">
      <c r="B1" s="1" t="s">
        <v>94</v>
      </c>
    </row>
    <row r="2" customFormat="false" ht="15" hidden="false" customHeight="false" outlineLevel="0" collapsed="false">
      <c r="B2" s="2" t="s">
        <v>95</v>
      </c>
    </row>
    <row r="4" customFormat="false" ht="15" hidden="false" customHeight="false" outlineLevel="0" collapsed="false">
      <c r="B4" s="13" t="s">
        <v>96</v>
      </c>
      <c r="E4" s="7" t="n">
        <f aca="false">Insumos!C4</f>
        <v>100000</v>
      </c>
    </row>
    <row r="5" customFormat="false" ht="15" hidden="false" customHeight="false" outlineLevel="0" collapsed="false">
      <c r="B5" s="2" t="s">
        <v>97</v>
      </c>
    </row>
    <row r="6" customFormat="false" ht="15" hidden="false" customHeight="false" outlineLevel="0" collapsed="false">
      <c r="B6" s="2" t="s">
        <v>98</v>
      </c>
    </row>
    <row r="8" customFormat="false" ht="30" hidden="false" customHeight="true" outlineLevel="0" collapsed="false">
      <c r="B8" s="4" t="s">
        <v>99</v>
      </c>
      <c r="C8" s="4" t="s">
        <v>100</v>
      </c>
      <c r="D8" s="4" t="s">
        <v>101</v>
      </c>
      <c r="E8" s="4" t="s">
        <v>102</v>
      </c>
      <c r="F8" s="4" t="s">
        <v>103</v>
      </c>
      <c r="G8" s="4" t="s">
        <v>104</v>
      </c>
      <c r="H8" s="4" t="s">
        <v>105</v>
      </c>
      <c r="I8" s="4" t="s">
        <v>106</v>
      </c>
      <c r="J8" s="4" t="s">
        <v>107</v>
      </c>
      <c r="K8" s="4" t="s">
        <v>108</v>
      </c>
      <c r="L8" s="4" t="s">
        <v>109</v>
      </c>
      <c r="M8" s="4" t="s">
        <v>110</v>
      </c>
      <c r="N8" s="4" t="s">
        <v>111</v>
      </c>
      <c r="O8" s="4" t="s">
        <v>112</v>
      </c>
    </row>
    <row r="9" customFormat="false" ht="15" hidden="false" customHeight="false" outlineLevel="0" collapsed="false">
      <c r="B9" s="25" t="str">
        <f aca="false">Insumos!B46</f>
        <v>0</v>
      </c>
      <c r="C9" s="26" t="n">
        <v>0</v>
      </c>
      <c r="D9" s="27" t="n">
        <v>1</v>
      </c>
      <c r="E9" s="7" t="n">
        <f aca="false">Insumos!C46</f>
        <v>692875.480848061</v>
      </c>
      <c r="F9" s="7" t="n">
        <f aca="false">Insumos!D46</f>
        <v>6943.80979421679</v>
      </c>
      <c r="G9" s="21" t="n">
        <f aca="false">F9/E9</f>
        <v>0.0100217282703059</v>
      </c>
      <c r="H9" s="22" t="n">
        <f aca="false">IF($G$9&gt;=0.107,0.33,0.045+2.684*$G$9)</f>
        <v>0.071898318677501</v>
      </c>
      <c r="I9" s="21" t="n">
        <f aca="false">D9*G9/(1+(D9-H9)*G9)</f>
        <v>0.00992937335308912</v>
      </c>
      <c r="J9" s="21" t="n">
        <f aca="false">1-I9</f>
        <v>0.990070626646911</v>
      </c>
      <c r="K9" s="23" t="n">
        <f aca="false">$E$4</f>
        <v>100000</v>
      </c>
      <c r="L9" s="23" t="n">
        <f aca="false">K9*I9</f>
        <v>992.937335308912</v>
      </c>
      <c r="M9" s="23" t="n">
        <f aca="false">D9*K10+H9*L9</f>
        <v>99078.4531896519</v>
      </c>
      <c r="N9" s="23" t="n">
        <f aca="false">SUM(M9:$M$25)</f>
        <v>7664264.49219202</v>
      </c>
      <c r="O9" s="9" t="n">
        <f aca="false">N9/K9</f>
        <v>76.6426449219202</v>
      </c>
    </row>
    <row r="10" customFormat="false" ht="15" hidden="false" customHeight="false" outlineLevel="0" collapsed="false">
      <c r="B10" s="25" t="str">
        <f aca="false">Insumos!B47</f>
        <v>1-4</v>
      </c>
      <c r="C10" s="26" t="n">
        <v>1</v>
      </c>
      <c r="D10" s="27" t="n">
        <v>4</v>
      </c>
      <c r="E10" s="7" t="n">
        <f aca="false">Insumos!C47</f>
        <v>3135311.51915194</v>
      </c>
      <c r="F10" s="7" t="n">
        <f aca="false">Insumos!D47</f>
        <v>1527.62835913685</v>
      </c>
      <c r="G10" s="21" t="n">
        <f aca="false">F10/E10</f>
        <v>0.000487233357771751</v>
      </c>
      <c r="H10" s="22" t="n">
        <f aca="false">IF($G$9&gt;=0.107,1.352,1.651-2.816*$G$9)</f>
        <v>1.62277881319082</v>
      </c>
      <c r="I10" s="21" t="n">
        <f aca="false">D10*G10/(1+(D10-H10)*G10)</f>
        <v>0.00194667866820864</v>
      </c>
      <c r="J10" s="21" t="n">
        <f aca="false">1-I10</f>
        <v>0.998053321331791</v>
      </c>
      <c r="K10" s="23" t="n">
        <f aca="false">K9-L9</f>
        <v>99007.0626646911</v>
      </c>
      <c r="L10" s="23" t="n">
        <f aca="false">K10*I10</f>
        <v>192.73493689135</v>
      </c>
      <c r="M10" s="23" t="n">
        <f aca="false">D10*K11+H10*L10</f>
        <v>395570.077083348</v>
      </c>
      <c r="N10" s="23" t="n">
        <f aca="false">SUM(M10:$M$25)</f>
        <v>7565186.03900237</v>
      </c>
      <c r="O10" s="9" t="n">
        <f aca="false">N10/K10</f>
        <v>76.4105694623374</v>
      </c>
    </row>
    <row r="11" customFormat="false" ht="15" hidden="false" customHeight="false" outlineLevel="0" collapsed="false">
      <c r="B11" s="25" t="str">
        <f aca="false">Insumos!B48</f>
        <v>5-9</v>
      </c>
      <c r="C11" s="26" t="n">
        <v>5</v>
      </c>
      <c r="D11" s="27" t="n">
        <v>5</v>
      </c>
      <c r="E11" s="7" t="n">
        <f aca="false">Insumos!C48</f>
        <v>4884666</v>
      </c>
      <c r="F11" s="7" t="n">
        <f aca="false">Insumos!D48</f>
        <v>1096.39590090657</v>
      </c>
      <c r="G11" s="21" t="n">
        <f aca="false">F11/E11</f>
        <v>0.000224456677469159</v>
      </c>
      <c r="H11" s="22" t="n">
        <f aca="false">D11/2</f>
        <v>2.5</v>
      </c>
      <c r="I11" s="21" t="n">
        <f aca="false">D11*G11/(1+(D11-H11)*G11)</f>
        <v>0.00112165398053145</v>
      </c>
      <c r="J11" s="21" t="n">
        <f aca="false">1-I11</f>
        <v>0.998878346019469</v>
      </c>
      <c r="K11" s="23" t="n">
        <f aca="false">K10-L10</f>
        <v>98814.3277277997</v>
      </c>
      <c r="L11" s="23" t="n">
        <f aca="false">K11*I11</f>
        <v>110.835484029425</v>
      </c>
      <c r="M11" s="23" t="n">
        <f aca="false">D11*K12+H11*L11</f>
        <v>493794.549928925</v>
      </c>
      <c r="N11" s="23" t="n">
        <f aca="false">SUM(M11:$M$25)</f>
        <v>7169615.96191902</v>
      </c>
      <c r="O11" s="9" t="n">
        <f aca="false">N11/K11</f>
        <v>72.5564412244842</v>
      </c>
    </row>
    <row r="12" customFormat="false" ht="15" hidden="false" customHeight="false" outlineLevel="0" collapsed="false">
      <c r="B12" s="25" t="str">
        <f aca="false">Insumos!B49</f>
        <v>10-14</v>
      </c>
      <c r="C12" s="26" t="n">
        <v>10</v>
      </c>
      <c r="D12" s="27" t="n">
        <v>5</v>
      </c>
      <c r="E12" s="7" t="n">
        <f aca="false">Insumos!C49</f>
        <v>5531785</v>
      </c>
      <c r="F12" s="7" t="n">
        <f aca="false">Insumos!D49</f>
        <v>1748.9884932585</v>
      </c>
      <c r="G12" s="21" t="n">
        <f aca="false">F12/E12</f>
        <v>0.000316170728482488</v>
      </c>
      <c r="H12" s="22" t="n">
        <f aca="false">D12/2</f>
        <v>2.5</v>
      </c>
      <c r="I12" s="21" t="n">
        <f aca="false">D12*G12/(1+(D12-H12)*G12)</f>
        <v>0.00157960508019014</v>
      </c>
      <c r="J12" s="21" t="n">
        <f aca="false">1-I12</f>
        <v>0.99842039491981</v>
      </c>
      <c r="K12" s="23" t="n">
        <f aca="false">K11-L11</f>
        <v>98703.4922437703</v>
      </c>
      <c r="L12" s="23" t="n">
        <f aca="false">K12*I12</f>
        <v>155.912537780768</v>
      </c>
      <c r="M12" s="23" t="n">
        <f aca="false">D12*K13+H12*L12</f>
        <v>493127.6798744</v>
      </c>
      <c r="N12" s="23" t="n">
        <f aca="false">SUM(M12:$M$25)</f>
        <v>6675821.41199009</v>
      </c>
      <c r="O12" s="9" t="n">
        <f aca="false">N12/K12</f>
        <v>67.6351085481622</v>
      </c>
    </row>
    <row r="13" customFormat="false" ht="15" hidden="false" customHeight="false" outlineLevel="0" collapsed="false">
      <c r="B13" s="25" t="str">
        <f aca="false">Insumos!B50</f>
        <v>15-19</v>
      </c>
      <c r="C13" s="26" t="n">
        <v>15</v>
      </c>
      <c r="D13" s="27" t="n">
        <v>5</v>
      </c>
      <c r="E13" s="7" t="n">
        <f aca="false">Insumos!C50</f>
        <v>5483687</v>
      </c>
      <c r="F13" s="7" t="n">
        <f aca="false">Insumos!D50</f>
        <v>6709.49911023964</v>
      </c>
      <c r="G13" s="21" t="n">
        <f aca="false">F13/E13</f>
        <v>0.00122353794267245</v>
      </c>
      <c r="H13" s="22" t="n">
        <f aca="false">D13/2</f>
        <v>2.5</v>
      </c>
      <c r="I13" s="21" t="n">
        <f aca="false">D13*G13/(1+(D13-H13)*G13)</f>
        <v>0.006099033715451</v>
      </c>
      <c r="J13" s="21" t="n">
        <f aca="false">1-I13</f>
        <v>0.993900966284549</v>
      </c>
      <c r="K13" s="23" t="n">
        <f aca="false">K12-L12</f>
        <v>98547.5797059895</v>
      </c>
      <c r="L13" s="23" t="n">
        <f aca="false">K13*I13</f>
        <v>601.045011202925</v>
      </c>
      <c r="M13" s="23" t="n">
        <f aca="false">D13*K14+H13*L13</f>
        <v>491235.28600194</v>
      </c>
      <c r="N13" s="23" t="n">
        <f aca="false">SUM(M13:$M$25)</f>
        <v>6182693.73211569</v>
      </c>
      <c r="O13" s="9" t="n">
        <f aca="false">N13/K13</f>
        <v>62.7381590756604</v>
      </c>
    </row>
    <row r="14" customFormat="false" ht="15" hidden="false" customHeight="false" outlineLevel="0" collapsed="false">
      <c r="B14" s="25" t="str">
        <f aca="false">Insumos!B51</f>
        <v>20-24</v>
      </c>
      <c r="C14" s="26" t="n">
        <v>20</v>
      </c>
      <c r="D14" s="27" t="n">
        <v>5</v>
      </c>
      <c r="E14" s="7" t="n">
        <f aca="false">Insumos!C51</f>
        <v>5041141</v>
      </c>
      <c r="F14" s="7" t="n">
        <f aca="false">Insumos!D51</f>
        <v>10349.4796079314</v>
      </c>
      <c r="G14" s="21" t="n">
        <f aca="false">F14/E14</f>
        <v>0.00205300339901847</v>
      </c>
      <c r="H14" s="22" t="n">
        <f aca="false">D14/2</f>
        <v>2.5</v>
      </c>
      <c r="I14" s="21" t="n">
        <f aca="false">D14*G14/(1+(D14-H14)*G14)</f>
        <v>0.0102126007350377</v>
      </c>
      <c r="J14" s="21" t="n">
        <f aca="false">1-I14</f>
        <v>0.989787399264962</v>
      </c>
      <c r="K14" s="23" t="n">
        <f aca="false">K13-L13</f>
        <v>97946.5346947866</v>
      </c>
      <c r="L14" s="23" t="n">
        <f aca="false">K14*I14</f>
        <v>1000.28885221838</v>
      </c>
      <c r="M14" s="23" t="n">
        <f aca="false">D14*K15+H14*L14</f>
        <v>487231.951343387</v>
      </c>
      <c r="N14" s="23" t="n">
        <f aca="false">SUM(M14:$M$25)</f>
        <v>5691458.44611375</v>
      </c>
      <c r="O14" s="9" t="n">
        <f aca="false">N14/K14</f>
        <v>58.1078081409315</v>
      </c>
    </row>
    <row r="15" customFormat="false" ht="15" hidden="false" customHeight="false" outlineLevel="0" collapsed="false">
      <c r="B15" s="25" t="str">
        <f aca="false">Insumos!B52</f>
        <v>25-29</v>
      </c>
      <c r="C15" s="26" t="n">
        <v>25</v>
      </c>
      <c r="D15" s="27" t="n">
        <v>5</v>
      </c>
      <c r="E15" s="7" t="n">
        <f aca="false">Insumos!C52</f>
        <v>4706443</v>
      </c>
      <c r="F15" s="7" t="n">
        <f aca="false">Insumos!D52</f>
        <v>11895.7162874311</v>
      </c>
      <c r="G15" s="21" t="n">
        <f aca="false">F15/E15</f>
        <v>0.00252753858645077</v>
      </c>
      <c r="H15" s="22" t="n">
        <f aca="false">D15/2</f>
        <v>2.5</v>
      </c>
      <c r="I15" s="21" t="n">
        <f aca="false">D15*G15/(1+(D15-H15)*G15)</f>
        <v>0.012558338718025</v>
      </c>
      <c r="J15" s="21" t="n">
        <f aca="false">1-I15</f>
        <v>0.987441661281975</v>
      </c>
      <c r="K15" s="23" t="n">
        <f aca="false">K14-L14</f>
        <v>96946.2458425682</v>
      </c>
      <c r="L15" s="23" t="n">
        <f aca="false">K15*I15</f>
        <v>1217.4837927319</v>
      </c>
      <c r="M15" s="23" t="n">
        <f aca="false">D15*K16+H15*L15</f>
        <v>481687.519731011</v>
      </c>
      <c r="N15" s="23" t="n">
        <f aca="false">SUM(M15:$M$25)</f>
        <v>5204226.49477037</v>
      </c>
      <c r="O15" s="9" t="n">
        <f aca="false">N15/K15</f>
        <v>53.68156806424</v>
      </c>
    </row>
    <row r="16" customFormat="false" ht="15" hidden="false" customHeight="false" outlineLevel="0" collapsed="false">
      <c r="B16" s="25" t="str">
        <f aca="false">Insumos!B53</f>
        <v>30-34</v>
      </c>
      <c r="C16" s="26" t="n">
        <v>30</v>
      </c>
      <c r="D16" s="27" t="n">
        <v>5</v>
      </c>
      <c r="E16" s="7" t="n">
        <f aca="false">Insumos!C53</f>
        <v>4744987</v>
      </c>
      <c r="F16" s="7" t="n">
        <f aca="false">Insumos!D53</f>
        <v>13922.0572528628</v>
      </c>
      <c r="G16" s="21" t="n">
        <f aca="false">F16/E16</f>
        <v>0.00293405593163117</v>
      </c>
      <c r="H16" s="22" t="n">
        <f aca="false">D16/2</f>
        <v>2.5</v>
      </c>
      <c r="I16" s="21" t="n">
        <f aca="false">D16*G16/(1+(D16-H16)*G16)</f>
        <v>0.0145634546816713</v>
      </c>
      <c r="J16" s="21" t="n">
        <f aca="false">1-I16</f>
        <v>0.985436545318329</v>
      </c>
      <c r="K16" s="23" t="n">
        <f aca="false">K15-L15</f>
        <v>95728.7620498363</v>
      </c>
      <c r="L16" s="23" t="n">
        <f aca="false">K16*I16</f>
        <v>1394.14148784529</v>
      </c>
      <c r="M16" s="23" t="n">
        <f aca="false">D16*K17+H16*L16</f>
        <v>475158.456529569</v>
      </c>
      <c r="N16" s="23" t="n">
        <f aca="false">SUM(M16:$M$25)</f>
        <v>4722538.97503936</v>
      </c>
      <c r="O16" s="9" t="n">
        <f aca="false">N16/K16</f>
        <v>49.3324981323879</v>
      </c>
    </row>
    <row r="17" customFormat="false" ht="15" hidden="false" customHeight="false" outlineLevel="0" collapsed="false">
      <c r="B17" s="25" t="str">
        <f aca="false">Insumos!B54</f>
        <v>35-39</v>
      </c>
      <c r="C17" s="26" t="n">
        <v>35</v>
      </c>
      <c r="D17" s="27" t="n">
        <v>5</v>
      </c>
      <c r="E17" s="7" t="n">
        <f aca="false">Insumos!C54</f>
        <v>4525522</v>
      </c>
      <c r="F17" s="7" t="n">
        <f aca="false">Insumos!D54</f>
        <v>15032.264380788</v>
      </c>
      <c r="G17" s="21" t="n">
        <f aca="false">F17/E17</f>
        <v>0.00332166419272473</v>
      </c>
      <c r="H17" s="22" t="n">
        <f aca="false">D17/2</f>
        <v>2.5</v>
      </c>
      <c r="I17" s="21" t="n">
        <f aca="false">D17*G17/(1+(D17-H17)*G17)</f>
        <v>0.0164715386631822</v>
      </c>
      <c r="J17" s="21" t="n">
        <f aca="false">1-I17</f>
        <v>0.983528461336818</v>
      </c>
      <c r="K17" s="23" t="n">
        <f aca="false">K16-L16</f>
        <v>94334.6205619911</v>
      </c>
      <c r="L17" s="23" t="n">
        <f aca="false">K17*I17</f>
        <v>1553.83634986346</v>
      </c>
      <c r="M17" s="23" t="n">
        <f aca="false">D17*K18+H17*L17</f>
        <v>467788.511935297</v>
      </c>
      <c r="N17" s="23" t="n">
        <f aca="false">SUM(M17:$M$25)</f>
        <v>4247380.51850979</v>
      </c>
      <c r="O17" s="9" t="n">
        <f aca="false">N17/K17</f>
        <v>45.0246207935788</v>
      </c>
    </row>
    <row r="18" customFormat="false" ht="15" hidden="false" customHeight="false" outlineLevel="0" collapsed="false">
      <c r="B18" s="25" t="str">
        <f aca="false">Insumos!B55</f>
        <v>40-44</v>
      </c>
      <c r="C18" s="26" t="n">
        <v>40</v>
      </c>
      <c r="D18" s="27" t="n">
        <v>5</v>
      </c>
      <c r="E18" s="7" t="n">
        <f aca="false">Insumos!C55</f>
        <v>4231275</v>
      </c>
      <c r="F18" s="7" t="n">
        <f aca="false">Insumos!D55</f>
        <v>16818.4968424366</v>
      </c>
      <c r="G18" s="21" t="n">
        <f aca="false">F18/E18</f>
        <v>0.00397480590187037</v>
      </c>
      <c r="H18" s="22" t="n">
        <f aca="false">D18/2</f>
        <v>2.5</v>
      </c>
      <c r="I18" s="21" t="n">
        <f aca="false">D18*G18/(1+(D18-H18)*G18)</f>
        <v>0.0196784841222791</v>
      </c>
      <c r="J18" s="21" t="n">
        <f aca="false">1-I18</f>
        <v>0.980321515877721</v>
      </c>
      <c r="K18" s="23" t="n">
        <f aca="false">K17-L17</f>
        <v>92780.7842121276</v>
      </c>
      <c r="L18" s="23" t="n">
        <f aca="false">K18*I18</f>
        <v>1825.78518897096</v>
      </c>
      <c r="M18" s="23" t="n">
        <f aca="false">D18*K19+H18*L18</f>
        <v>459339.458088211</v>
      </c>
      <c r="N18" s="23" t="n">
        <f aca="false">SUM(M18:$M$25)</f>
        <v>3779592.00657449</v>
      </c>
      <c r="O18" s="9" t="n">
        <f aca="false">N18/K18</f>
        <v>40.7367973731833</v>
      </c>
    </row>
    <row r="19" customFormat="false" ht="15" hidden="false" customHeight="false" outlineLevel="0" collapsed="false">
      <c r="B19" s="25" t="str">
        <f aca="false">Insumos!B56</f>
        <v>45-49</v>
      </c>
      <c r="C19" s="26" t="n">
        <v>45</v>
      </c>
      <c r="D19" s="27" t="n">
        <v>5</v>
      </c>
      <c r="E19" s="7" t="n">
        <f aca="false">Insumos!C56</f>
        <v>3936178</v>
      </c>
      <c r="F19" s="7" t="n">
        <f aca="false">Insumos!D56</f>
        <v>21088.3730093427</v>
      </c>
      <c r="G19" s="21" t="n">
        <f aca="false">F19/E19</f>
        <v>0.00535757605711496</v>
      </c>
      <c r="H19" s="22" t="n">
        <f aca="false">D19/2</f>
        <v>2.5</v>
      </c>
      <c r="I19" s="21" t="n">
        <f aca="false">D19*G19/(1+(D19-H19)*G19)</f>
        <v>0.0264338271864941</v>
      </c>
      <c r="J19" s="21" t="n">
        <f aca="false">1-I19</f>
        <v>0.973566172813506</v>
      </c>
      <c r="K19" s="23" t="n">
        <f aca="false">K18-L18</f>
        <v>90954.9990231566</v>
      </c>
      <c r="L19" s="23" t="n">
        <f aca="false">K19*I19</f>
        <v>2404.28872592586</v>
      </c>
      <c r="M19" s="23" t="n">
        <f aca="false">D19*K20+H19*L19</f>
        <v>448764.273300968</v>
      </c>
      <c r="N19" s="23" t="n">
        <f aca="false">SUM(M19:$M$25)</f>
        <v>3320252.54848628</v>
      </c>
      <c r="O19" s="9" t="n">
        <f aca="false">N19/K19</f>
        <v>36.5043437320137</v>
      </c>
    </row>
    <row r="20" customFormat="false" ht="15" hidden="false" customHeight="false" outlineLevel="0" collapsed="false">
      <c r="B20" s="25" t="str">
        <f aca="false">Insumos!B57</f>
        <v>50-54</v>
      </c>
      <c r="C20" s="26" t="n">
        <v>50</v>
      </c>
      <c r="D20" s="27" t="n">
        <v>5</v>
      </c>
      <c r="E20" s="7" t="n">
        <f aca="false">Insumos!C57</f>
        <v>3942849</v>
      </c>
      <c r="F20" s="7" t="n">
        <f aca="false">Insumos!D57</f>
        <v>27430.7048416441</v>
      </c>
      <c r="G20" s="21" t="n">
        <f aca="false">F20/E20</f>
        <v>0.00695707719003293</v>
      </c>
      <c r="H20" s="22" t="n">
        <f aca="false">D20/2</f>
        <v>2.5</v>
      </c>
      <c r="I20" s="21" t="n">
        <f aca="false">D20*G20/(1+(D20-H20)*G20)</f>
        <v>0.0341907173015411</v>
      </c>
      <c r="J20" s="21" t="n">
        <f aca="false">1-I20</f>
        <v>0.965809282698459</v>
      </c>
      <c r="K20" s="23" t="n">
        <f aca="false">K19-L19</f>
        <v>88550.7102972308</v>
      </c>
      <c r="L20" s="23" t="n">
        <f aca="false">K20*I20</f>
        <v>3027.61230262328</v>
      </c>
      <c r="M20" s="23" t="n">
        <f aca="false">D20*K21+H20*L20</f>
        <v>435184.520729596</v>
      </c>
      <c r="N20" s="23" t="n">
        <f aca="false">SUM(M20:$M$25)</f>
        <v>2871488.27518531</v>
      </c>
      <c r="O20" s="9" t="n">
        <f aca="false">N20/K20</f>
        <v>32.4276142511655</v>
      </c>
    </row>
    <row r="21" customFormat="false" ht="15" hidden="false" customHeight="false" outlineLevel="0" collapsed="false">
      <c r="B21" s="25" t="str">
        <f aca="false">Insumos!B58</f>
        <v>55-59</v>
      </c>
      <c r="C21" s="26" t="n">
        <v>55</v>
      </c>
      <c r="D21" s="27" t="n">
        <v>5</v>
      </c>
      <c r="E21" s="7" t="n">
        <f aca="false">Insumos!C58</f>
        <v>3156393</v>
      </c>
      <c r="F21" s="7" t="n">
        <f aca="false">Insumos!D58</f>
        <v>31299.8548757081</v>
      </c>
      <c r="G21" s="21" t="n">
        <f aca="false">F21/E21</f>
        <v>0.00991633642442753</v>
      </c>
      <c r="H21" s="22" t="n">
        <f aca="false">D21/2</f>
        <v>2.5</v>
      </c>
      <c r="I21" s="21" t="n">
        <f aca="false">D21*G21/(1+(D21-H21)*G21)</f>
        <v>0.0483822455622269</v>
      </c>
      <c r="J21" s="21" t="n">
        <f aca="false">1-I21</f>
        <v>0.951617754437773</v>
      </c>
      <c r="K21" s="23" t="n">
        <f aca="false">K20-L20</f>
        <v>85523.0979946075</v>
      </c>
      <c r="L21" s="23" t="n">
        <f aca="false">K21*I21</f>
        <v>4137.79952841749</v>
      </c>
      <c r="M21" s="23" t="n">
        <f aca="false">D21*K22+H21*L21</f>
        <v>417270.991151994</v>
      </c>
      <c r="N21" s="23" t="n">
        <f aca="false">SUM(M21:$M$25)</f>
        <v>2436303.75445572</v>
      </c>
      <c r="O21" s="9" t="n">
        <f aca="false">N21/K21</f>
        <v>28.487084911369</v>
      </c>
    </row>
    <row r="22" customFormat="false" ht="15" hidden="false" customHeight="false" outlineLevel="0" collapsed="false">
      <c r="B22" s="25" t="str">
        <f aca="false">Insumos!B59</f>
        <v>60-64</v>
      </c>
      <c r="C22" s="26" t="n">
        <v>60</v>
      </c>
      <c r="D22" s="27" t="n">
        <v>5</v>
      </c>
      <c r="E22" s="7" t="n">
        <f aca="false">Insumos!C59</f>
        <v>2734019</v>
      </c>
      <c r="F22" s="7" t="n">
        <f aca="false">Insumos!D59</f>
        <v>36964.3558313088</v>
      </c>
      <c r="G22" s="21" t="n">
        <f aca="false">F22/E22</f>
        <v>0.0135201532364292</v>
      </c>
      <c r="H22" s="22" t="n">
        <f aca="false">D22/2</f>
        <v>2.5</v>
      </c>
      <c r="I22" s="21" t="n">
        <f aca="false">D22*G22/(1+(D22-H22)*G22)</f>
        <v>0.0653905408508544</v>
      </c>
      <c r="J22" s="21" t="n">
        <f aca="false">1-I22</f>
        <v>0.934609459149146</v>
      </c>
      <c r="K22" s="23" t="n">
        <f aca="false">K21-L21</f>
        <v>81385.29846619</v>
      </c>
      <c r="L22" s="23" t="n">
        <f aca="false">K22*I22</f>
        <v>5321.82868401238</v>
      </c>
      <c r="M22" s="23" t="n">
        <f aca="false">D22*K23+H22*L22</f>
        <v>393621.920620919</v>
      </c>
      <c r="N22" s="23" t="n">
        <f aca="false">SUM(M22:$M$25)</f>
        <v>2019032.76330372</v>
      </c>
      <c r="O22" s="9" t="n">
        <f aca="false">N22/K22</f>
        <v>24.8083228955963</v>
      </c>
    </row>
    <row r="23" customFormat="false" ht="15" hidden="false" customHeight="false" outlineLevel="0" collapsed="false">
      <c r="B23" s="25" t="str">
        <f aca="false">Insumos!B60</f>
        <v>65-69</v>
      </c>
      <c r="C23" s="26" t="n">
        <v>65</v>
      </c>
      <c r="D23" s="27" t="n">
        <v>5</v>
      </c>
      <c r="E23" s="7" t="n">
        <f aca="false">Insumos!C60</f>
        <v>2216346</v>
      </c>
      <c r="F23" s="7" t="n">
        <f aca="false">Insumos!D60</f>
        <v>40700.9257790546</v>
      </c>
      <c r="G23" s="21" t="n">
        <f aca="false">F23/E23</f>
        <v>0.0183639764635371</v>
      </c>
      <c r="H23" s="22" t="n">
        <f aca="false">D23/2</f>
        <v>2.5</v>
      </c>
      <c r="I23" s="21" t="n">
        <f aca="false">D23*G23/(1+(D23-H23)*G23)</f>
        <v>0.0877894727876391</v>
      </c>
      <c r="J23" s="21" t="n">
        <f aca="false">1-I23</f>
        <v>0.912210527212361</v>
      </c>
      <c r="K23" s="23" t="n">
        <f aca="false">K22-L22</f>
        <v>76063.4697821776</v>
      </c>
      <c r="L23" s="23" t="n">
        <f aca="false">K23*I23</f>
        <v>6677.57191057589</v>
      </c>
      <c r="M23" s="23" t="n">
        <f aca="false">D23*K24+H23*L23</f>
        <v>363623.419134448</v>
      </c>
      <c r="N23" s="23" t="n">
        <f aca="false">SUM(M23:$M$25)</f>
        <v>1625410.8426828</v>
      </c>
      <c r="O23" s="9" t="n">
        <f aca="false">N23/K23</f>
        <v>21.3691387907688</v>
      </c>
    </row>
    <row r="24" customFormat="false" ht="15" hidden="false" customHeight="false" outlineLevel="0" collapsed="false">
      <c r="B24" s="25" t="str">
        <f aca="false">Insumos!B61</f>
        <v>70-74</v>
      </c>
      <c r="C24" s="26" t="n">
        <v>70</v>
      </c>
      <c r="D24" s="27" t="n">
        <v>5</v>
      </c>
      <c r="E24" s="7" t="n">
        <f aca="false">Insumos!C61</f>
        <v>1561618</v>
      </c>
      <c r="F24" s="7" t="n">
        <f aca="false">Insumos!D61</f>
        <v>42245.031754986</v>
      </c>
      <c r="G24" s="21" t="n">
        <f aca="false">F24/E24</f>
        <v>0.0270520906873422</v>
      </c>
      <c r="H24" s="22" t="n">
        <f aca="false">D24/2</f>
        <v>2.5</v>
      </c>
      <c r="I24" s="21" t="n">
        <f aca="false">D24*G24/(1+(D24-H24)*G24)</f>
        <v>0.126692229249138</v>
      </c>
      <c r="J24" s="21" t="n">
        <f aca="false">1-I24</f>
        <v>0.873307770750862</v>
      </c>
      <c r="K24" s="23" t="n">
        <f aca="false">K23-L23</f>
        <v>69385.8978716017</v>
      </c>
      <c r="L24" s="23" t="n">
        <f aca="false">K24*I24</f>
        <v>8790.65407980624</v>
      </c>
      <c r="M24" s="23" t="n">
        <f aca="false">D24*K25+H24*L24</f>
        <v>324952.854158493</v>
      </c>
      <c r="N24" s="23" t="n">
        <f aca="false">SUM(M24:$M$25)</f>
        <v>1261787.42354835</v>
      </c>
      <c r="O24" s="9" t="n">
        <f aca="false">N24/K24</f>
        <v>18.1850701980291</v>
      </c>
    </row>
    <row r="25" customFormat="false" ht="15" hidden="false" customHeight="false" outlineLevel="0" collapsed="false">
      <c r="B25" s="25" t="str">
        <f aca="false">Insumos!B62</f>
        <v>75+</v>
      </c>
      <c r="C25" s="26" t="n">
        <v>75</v>
      </c>
      <c r="D25" s="27" t="s">
        <v>113</v>
      </c>
      <c r="E25" s="7" t="n">
        <f aca="false">Insumos!C62</f>
        <v>2180337</v>
      </c>
      <c r="F25" s="7" t="n">
        <f aca="false">Insumos!D62</f>
        <v>141026.021434411</v>
      </c>
      <c r="G25" s="21" t="n">
        <f aca="false">F25/E25</f>
        <v>0.0646808366937823</v>
      </c>
      <c r="H25" s="28" t="s">
        <v>114</v>
      </c>
      <c r="I25" s="29" t="n">
        <v>1</v>
      </c>
      <c r="J25" s="21" t="n">
        <f aca="false">1-I25</f>
        <v>0</v>
      </c>
      <c r="K25" s="23" t="n">
        <f aca="false">K24-L24</f>
        <v>60595.2437917955</v>
      </c>
      <c r="L25" s="23" t="n">
        <f aca="false">K25*I25</f>
        <v>60595.2437917955</v>
      </c>
      <c r="M25" s="23" t="n">
        <f aca="false">K25/G25</f>
        <v>936834.569389862</v>
      </c>
      <c r="N25" s="23" t="n">
        <f aca="false">SUM(M25:$M$25)</f>
        <v>936834.569389862</v>
      </c>
      <c r="O25" s="9" t="n">
        <f aca="false">N25/K25</f>
        <v>15.4605297506321</v>
      </c>
    </row>
    <row r="27" customFormat="false" ht="15" hidden="false" customHeight="false" outlineLevel="0" collapsed="false">
      <c r="B27" s="30" t="s">
        <v>115</v>
      </c>
      <c r="L27" s="20" t="n">
        <f aca="false">ROUND(SUM(L9:L25)-E4,6)</f>
        <v>0</v>
      </c>
    </row>
    <row r="28" customFormat="false" ht="15" hidden="false" customHeight="false" outlineLevel="0" collapsed="false">
      <c r="B28" s="30" t="s">
        <v>116</v>
      </c>
      <c r="L28" s="31" t="n">
        <f aca="false">I9*1000</f>
        <v>9.92937335308912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8"/>
  </cols>
  <sheetData>
    <row r="1" customFormat="false" ht="17.35" hidden="false" customHeight="false" outlineLevel="0" collapsed="false">
      <c r="B1" s="1" t="s">
        <v>117</v>
      </c>
    </row>
    <row r="2" customFormat="false" ht="15" hidden="false" customHeight="false" outlineLevel="0" collapsed="false">
      <c r="B2" s="2" t="s">
        <v>95</v>
      </c>
    </row>
    <row r="4" customFormat="false" ht="15" hidden="false" customHeight="false" outlineLevel="0" collapsed="false">
      <c r="B4" s="13" t="s">
        <v>96</v>
      </c>
      <c r="E4" s="7" t="n">
        <f aca="false">Insumos!C4</f>
        <v>100000</v>
      </c>
    </row>
    <row r="5" customFormat="false" ht="15" hidden="false" customHeight="false" outlineLevel="0" collapsed="false">
      <c r="B5" s="2" t="s">
        <v>97</v>
      </c>
    </row>
    <row r="6" customFormat="false" ht="15" hidden="false" customHeight="false" outlineLevel="0" collapsed="false">
      <c r="B6" s="2" t="s">
        <v>98</v>
      </c>
    </row>
    <row r="8" customFormat="false" ht="30" hidden="false" customHeight="true" outlineLevel="0" collapsed="false">
      <c r="B8" s="4" t="s">
        <v>99</v>
      </c>
      <c r="C8" s="4" t="s">
        <v>100</v>
      </c>
      <c r="D8" s="4" t="s">
        <v>101</v>
      </c>
      <c r="E8" s="4" t="s">
        <v>102</v>
      </c>
      <c r="F8" s="4" t="s">
        <v>103</v>
      </c>
      <c r="G8" s="4" t="s">
        <v>104</v>
      </c>
      <c r="H8" s="4" t="s">
        <v>105</v>
      </c>
      <c r="I8" s="4" t="s">
        <v>106</v>
      </c>
      <c r="J8" s="4" t="s">
        <v>107</v>
      </c>
      <c r="K8" s="4" t="s">
        <v>108</v>
      </c>
      <c r="L8" s="4" t="s">
        <v>109</v>
      </c>
      <c r="M8" s="4" t="s">
        <v>110</v>
      </c>
      <c r="N8" s="4" t="s">
        <v>111</v>
      </c>
      <c r="O8" s="4" t="s">
        <v>112</v>
      </c>
    </row>
    <row r="9" customFormat="false" ht="15" hidden="false" customHeight="false" outlineLevel="0" collapsed="false">
      <c r="B9" s="25" t="str">
        <f aca="false">Insumos!B46</f>
        <v>0</v>
      </c>
      <c r="C9" s="26" t="n">
        <v>0</v>
      </c>
      <c r="D9" s="27" t="n">
        <v>1</v>
      </c>
      <c r="E9" s="7" t="n">
        <f aca="false">Insumos!E46</f>
        <v>676488.7355418</v>
      </c>
      <c r="F9" s="7" t="n">
        <f aca="false">Insumos!F46</f>
        <v>5328.38625673684</v>
      </c>
      <c r="G9" s="21" t="n">
        <f aca="false">F9/E9</f>
        <v>0.00787653360180393</v>
      </c>
      <c r="H9" s="22" t="n">
        <f aca="false">IF($G$9&gt;=0.107,0.35,0.053+2.8*$G$9)</f>
        <v>0.075054294085051</v>
      </c>
      <c r="I9" s="21" t="n">
        <f aca="false">D9*G9/(1+(D9-H9)*G9)</f>
        <v>0.00781956520783196</v>
      </c>
      <c r="J9" s="21" t="n">
        <f aca="false">1-I9</f>
        <v>0.992180434792168</v>
      </c>
      <c r="K9" s="23" t="n">
        <f aca="false">$E$4</f>
        <v>100000</v>
      </c>
      <c r="L9" s="23" t="n">
        <f aca="false">K9*I9</f>
        <v>781.956520783196</v>
      </c>
      <c r="M9" s="23" t="n">
        <f aca="false">D9*K10+H9*L9</f>
        <v>99276.7326738894</v>
      </c>
      <c r="N9" s="23" t="n">
        <f aca="false">SUM(M9:$M$25)</f>
        <v>8392453.67809822</v>
      </c>
      <c r="O9" s="9" t="n">
        <f aca="false">N9/K9</f>
        <v>83.9245367809822</v>
      </c>
    </row>
    <row r="10" customFormat="false" ht="15" hidden="false" customHeight="false" outlineLevel="0" collapsed="false">
      <c r="B10" s="25" t="str">
        <f aca="false">Insumos!B47</f>
        <v>1-4</v>
      </c>
      <c r="C10" s="26" t="n">
        <v>1</v>
      </c>
      <c r="D10" s="27" t="n">
        <v>4</v>
      </c>
      <c r="E10" s="7" t="n">
        <f aca="false">Insumos!E47</f>
        <v>3064897.2644582</v>
      </c>
      <c r="F10" s="7" t="n">
        <f aca="false">Insumos!F47</f>
        <v>1307.85947928862</v>
      </c>
      <c r="G10" s="21" t="n">
        <f aca="false">F10/E10</f>
        <v>0.000426722126857265</v>
      </c>
      <c r="H10" s="22" t="n">
        <f aca="false">IF($G$9&gt;=0.107,1.361,1.522-1.518*$G$9)</f>
        <v>1.51004342199246</v>
      </c>
      <c r="I10" s="21" t="n">
        <f aca="false">D10*G10/(1+(D10-H10)*G10)</f>
        <v>0.00170507682993444</v>
      </c>
      <c r="J10" s="21" t="n">
        <f aca="false">1-I10</f>
        <v>0.998294923170066</v>
      </c>
      <c r="K10" s="23" t="n">
        <f aca="false">K9-L9</f>
        <v>99218.0434792168</v>
      </c>
      <c r="L10" s="23" t="n">
        <f aca="false">K10*I10</f>
        <v>169.174387047841</v>
      </c>
      <c r="M10" s="23" t="n">
        <f aca="false">D10*K11+H10*L10</f>
        <v>396450.937039007</v>
      </c>
      <c r="N10" s="23" t="n">
        <f aca="false">SUM(M10:$M$25)</f>
        <v>8293176.94542433</v>
      </c>
      <c r="O10" s="9" t="n">
        <f aca="false">N10/K10</f>
        <v>83.5853707109383</v>
      </c>
    </row>
    <row r="11" customFormat="false" ht="15" hidden="false" customHeight="false" outlineLevel="0" collapsed="false">
      <c r="B11" s="25" t="str">
        <f aca="false">Insumos!B48</f>
        <v>5-9</v>
      </c>
      <c r="C11" s="26" t="n">
        <v>5</v>
      </c>
      <c r="D11" s="27" t="n">
        <v>5</v>
      </c>
      <c r="E11" s="7" t="n">
        <f aca="false">Insumos!E48</f>
        <v>4785294</v>
      </c>
      <c r="F11" s="7" t="n">
        <f aca="false">Insumos!F48</f>
        <v>831.888179757303</v>
      </c>
      <c r="G11" s="21" t="n">
        <f aca="false">F11/E11</f>
        <v>0.000173842647861825</v>
      </c>
      <c r="H11" s="22" t="n">
        <f aca="false">D11/2</f>
        <v>2.5</v>
      </c>
      <c r="I11" s="21" t="n">
        <f aca="false">D11*G11/(1+(D11-H11)*G11)</f>
        <v>0.000868835637589636</v>
      </c>
      <c r="J11" s="21" t="n">
        <f aca="false">1-I11</f>
        <v>0.99913116436241</v>
      </c>
      <c r="K11" s="23" t="n">
        <f aca="false">K10-L10</f>
        <v>99048.869092169</v>
      </c>
      <c r="L11" s="23" t="n">
        <f aca="false">K11*I11</f>
        <v>86.057187330227</v>
      </c>
      <c r="M11" s="23" t="n">
        <f aca="false">D11*K12+H11*L11</f>
        <v>495029.202492519</v>
      </c>
      <c r="N11" s="23" t="n">
        <f aca="false">SUM(M11:$M$25)</f>
        <v>7896726.00838533</v>
      </c>
      <c r="O11" s="9" t="n">
        <f aca="false">N11/K11</f>
        <v>79.7255544738942</v>
      </c>
    </row>
    <row r="12" customFormat="false" ht="15" hidden="false" customHeight="false" outlineLevel="0" collapsed="false">
      <c r="B12" s="25" t="str">
        <f aca="false">Insumos!B49</f>
        <v>10-14</v>
      </c>
      <c r="C12" s="26" t="n">
        <v>10</v>
      </c>
      <c r="D12" s="27" t="n">
        <v>5</v>
      </c>
      <c r="E12" s="7" t="n">
        <f aca="false">Insumos!E49</f>
        <v>5353603</v>
      </c>
      <c r="F12" s="7" t="n">
        <f aca="false">Insumos!F49</f>
        <v>1313.40227658433</v>
      </c>
      <c r="G12" s="21" t="n">
        <f aca="false">F12/E12</f>
        <v>0.00024533053283636</v>
      </c>
      <c r="H12" s="22" t="n">
        <f aca="false">D12/2</f>
        <v>2.5</v>
      </c>
      <c r="I12" s="21" t="n">
        <f aca="false">D12*G12/(1+(D12-H12)*G12)</f>
        <v>0.00122590078694863</v>
      </c>
      <c r="J12" s="21" t="n">
        <f aca="false">1-I12</f>
        <v>0.998774099213051</v>
      </c>
      <c r="K12" s="23" t="n">
        <f aca="false">K11-L11</f>
        <v>98962.8119048388</v>
      </c>
      <c r="L12" s="23" t="n">
        <f aca="false">K12*I12</f>
        <v>121.318588992791</v>
      </c>
      <c r="M12" s="23" t="n">
        <f aca="false">D12*K13+H12*L12</f>
        <v>494510.763051712</v>
      </c>
      <c r="N12" s="23" t="n">
        <f aca="false">SUM(M12:$M$25)</f>
        <v>7401696.80589281</v>
      </c>
      <c r="O12" s="9" t="n">
        <f aca="false">N12/K12</f>
        <v>74.7927091341157</v>
      </c>
    </row>
    <row r="13" customFormat="false" ht="15" hidden="false" customHeight="false" outlineLevel="0" collapsed="false">
      <c r="B13" s="25" t="str">
        <f aca="false">Insumos!B50</f>
        <v>15-19</v>
      </c>
      <c r="C13" s="26" t="n">
        <v>15</v>
      </c>
      <c r="D13" s="27" t="n">
        <v>5</v>
      </c>
      <c r="E13" s="7" t="n">
        <f aca="false">Insumos!E50</f>
        <v>5349921</v>
      </c>
      <c r="F13" s="7" t="n">
        <f aca="false">Insumos!F50</f>
        <v>2266.41978215467</v>
      </c>
      <c r="G13" s="21" t="n">
        <f aca="false">F13/E13</f>
        <v>0.000423636121384722</v>
      </c>
      <c r="H13" s="22" t="n">
        <f aca="false">D13/2</f>
        <v>2.5</v>
      </c>
      <c r="I13" s="21" t="n">
        <f aca="false">D13*G13/(1+(D13-H13)*G13)</f>
        <v>0.00211593963577265</v>
      </c>
      <c r="J13" s="21" t="n">
        <f aca="false">1-I13</f>
        <v>0.997884060364227</v>
      </c>
      <c r="K13" s="23" t="n">
        <f aca="false">K12-L12</f>
        <v>98841.493315846</v>
      </c>
      <c r="L13" s="23" t="n">
        <f aca="false">K13*I13</f>
        <v>209.142633365956</v>
      </c>
      <c r="M13" s="23" t="n">
        <f aca="false">D13*K14+H13*L13</f>
        <v>493684.609995815</v>
      </c>
      <c r="N13" s="23" t="n">
        <f aca="false">SUM(M13:$M$25)</f>
        <v>6907186.0428411</v>
      </c>
      <c r="O13" s="9" t="n">
        <f aca="false">N13/K13</f>
        <v>69.881441600334</v>
      </c>
    </row>
    <row r="14" customFormat="false" ht="15" hidden="false" customHeight="false" outlineLevel="0" collapsed="false">
      <c r="B14" s="25" t="str">
        <f aca="false">Insumos!B51</f>
        <v>20-24</v>
      </c>
      <c r="C14" s="26" t="n">
        <v>20</v>
      </c>
      <c r="D14" s="27" t="n">
        <v>5</v>
      </c>
      <c r="E14" s="7" t="n">
        <f aca="false">Insumos!E51</f>
        <v>5319788</v>
      </c>
      <c r="F14" s="7" t="n">
        <f aca="false">Insumos!F51</f>
        <v>2787.1892220883</v>
      </c>
      <c r="G14" s="21" t="n">
        <f aca="false">F14/E14</f>
        <v>0.000523928626871653</v>
      </c>
      <c r="H14" s="22" t="n">
        <f aca="false">D14/2</f>
        <v>2.5</v>
      </c>
      <c r="I14" s="21" t="n">
        <f aca="false">D14*G14/(1+(D14-H14)*G14)</f>
        <v>0.00261621635774848</v>
      </c>
      <c r="J14" s="21" t="n">
        <f aca="false">1-I14</f>
        <v>0.997383783642252</v>
      </c>
      <c r="K14" s="23" t="n">
        <f aca="false">K13-L13</f>
        <v>98632.35068248</v>
      </c>
      <c r="L14" s="23" t="n">
        <f aca="false">K14*I14</f>
        <v>258.043569258689</v>
      </c>
      <c r="M14" s="23" t="n">
        <f aca="false">D14*K15+H14*L14</f>
        <v>492516.644489253</v>
      </c>
      <c r="N14" s="23" t="n">
        <f aca="false">SUM(M14:$M$25)</f>
        <v>6413501.43284528</v>
      </c>
      <c r="O14" s="9" t="n">
        <f aca="false">N14/K14</f>
        <v>65.0243189832492</v>
      </c>
    </row>
    <row r="15" customFormat="false" ht="15" hidden="false" customHeight="false" outlineLevel="0" collapsed="false">
      <c r="B15" s="25" t="str">
        <f aca="false">Insumos!B52</f>
        <v>25-29</v>
      </c>
      <c r="C15" s="26" t="n">
        <v>25</v>
      </c>
      <c r="D15" s="27" t="n">
        <v>5</v>
      </c>
      <c r="E15" s="7" t="n">
        <f aca="false">Insumos!E52</f>
        <v>5104330</v>
      </c>
      <c r="F15" s="7" t="n">
        <f aca="false">Insumos!F52</f>
        <v>3480.94419145454</v>
      </c>
      <c r="G15" s="21" t="n">
        <f aca="false">F15/E15</f>
        <v>0.00068195908012502</v>
      </c>
      <c r="H15" s="22" t="n">
        <f aca="false">D15/2</f>
        <v>2.5</v>
      </c>
      <c r="I15" s="21" t="n">
        <f aca="false">D15*G15/(1+(D15-H15)*G15)</f>
        <v>0.00340399194259029</v>
      </c>
      <c r="J15" s="21" t="n">
        <f aca="false">1-I15</f>
        <v>0.99659600805741</v>
      </c>
      <c r="K15" s="23" t="n">
        <f aca="false">K14-L14</f>
        <v>98374.3071132213</v>
      </c>
      <c r="L15" s="23" t="n">
        <f aca="false">K15*I15</f>
        <v>334.865348771308</v>
      </c>
      <c r="M15" s="23" t="n">
        <f aca="false">D15*K16+H15*L15</f>
        <v>491034.372194178</v>
      </c>
      <c r="N15" s="23" t="n">
        <f aca="false">SUM(M15:$M$25)</f>
        <v>5920984.78835603</v>
      </c>
      <c r="O15" s="9" t="n">
        <f aca="false">N15/K15</f>
        <v>60.1883252050907</v>
      </c>
    </row>
    <row r="16" customFormat="false" ht="15" hidden="false" customHeight="false" outlineLevel="0" collapsed="false">
      <c r="B16" s="25" t="str">
        <f aca="false">Insumos!B53</f>
        <v>30-34</v>
      </c>
      <c r="C16" s="26" t="n">
        <v>30</v>
      </c>
      <c r="D16" s="27" t="n">
        <v>5</v>
      </c>
      <c r="E16" s="7" t="n">
        <f aca="false">Insumos!E53</f>
        <v>5282566</v>
      </c>
      <c r="F16" s="7" t="n">
        <f aca="false">Insumos!F53</f>
        <v>4657.22445224798</v>
      </c>
      <c r="G16" s="21" t="n">
        <f aca="false">F16/E16</f>
        <v>0.000881621630898313</v>
      </c>
      <c r="H16" s="22" t="n">
        <f aca="false">D16/2</f>
        <v>2.5</v>
      </c>
      <c r="I16" s="21" t="n">
        <f aca="false">D16*G16/(1+(D16-H16)*G16)</f>
        <v>0.0043984138125945</v>
      </c>
      <c r="J16" s="21" t="n">
        <f aca="false">1-I16</f>
        <v>0.995601586187406</v>
      </c>
      <c r="K16" s="23" t="n">
        <f aca="false">K15-L15</f>
        <v>98039.44176445</v>
      </c>
      <c r="L16" s="23" t="n">
        <f aca="false">K16*I16</f>
        <v>431.218034835811</v>
      </c>
      <c r="M16" s="23" t="n">
        <f aca="false">D16*K17+H16*L16</f>
        <v>489119.163735161</v>
      </c>
      <c r="N16" s="23" t="n">
        <f aca="false">SUM(M16:$M$25)</f>
        <v>5429950.41616185</v>
      </c>
      <c r="O16" s="9" t="n">
        <f aca="false">N16/K16</f>
        <v>55.3853665263402</v>
      </c>
    </row>
    <row r="17" customFormat="false" ht="15" hidden="false" customHeight="false" outlineLevel="0" collapsed="false">
      <c r="B17" s="25" t="str">
        <f aca="false">Insumos!B54</f>
        <v>35-39</v>
      </c>
      <c r="C17" s="26" t="n">
        <v>35</v>
      </c>
      <c r="D17" s="27" t="n">
        <v>5</v>
      </c>
      <c r="E17" s="7" t="n">
        <f aca="false">Insumos!E54</f>
        <v>5095386</v>
      </c>
      <c r="F17" s="7" t="n">
        <f aca="false">Insumos!F54</f>
        <v>5790.74180411789</v>
      </c>
      <c r="G17" s="21" t="n">
        <f aca="false">F17/E17</f>
        <v>0.00113646773848299</v>
      </c>
      <c r="H17" s="22" t="n">
        <f aca="false">D17/2</f>
        <v>2.5</v>
      </c>
      <c r="I17" s="21" t="n">
        <f aca="false">D17*G17/(1+(D17-H17)*G17)</f>
        <v>0.00566623994517447</v>
      </c>
      <c r="J17" s="21" t="n">
        <f aca="false">1-I17</f>
        <v>0.994333760054826</v>
      </c>
      <c r="K17" s="23" t="n">
        <f aca="false">K16-L16</f>
        <v>97608.2237296142</v>
      </c>
      <c r="L17" s="23" t="n">
        <f aca="false">K17*I17</f>
        <v>553.071616274266</v>
      </c>
      <c r="M17" s="23" t="n">
        <f aca="false">D17*K18+H17*L17</f>
        <v>486658.439607385</v>
      </c>
      <c r="N17" s="23" t="n">
        <f aca="false">SUM(M17:$M$25)</f>
        <v>4940831.25242669</v>
      </c>
      <c r="O17" s="9" t="n">
        <f aca="false">N17/K17</f>
        <v>50.6190058955826</v>
      </c>
    </row>
    <row r="18" customFormat="false" ht="15" hidden="false" customHeight="false" outlineLevel="0" collapsed="false">
      <c r="B18" s="25" t="str">
        <f aca="false">Insumos!B55</f>
        <v>40-44</v>
      </c>
      <c r="C18" s="26" t="n">
        <v>40</v>
      </c>
      <c r="D18" s="27" t="n">
        <v>5</v>
      </c>
      <c r="E18" s="7" t="n">
        <f aca="false">Insumos!E55</f>
        <v>4742766</v>
      </c>
      <c r="F18" s="7" t="n">
        <f aca="false">Insumos!F55</f>
        <v>7754.91409174289</v>
      </c>
      <c r="G18" s="21" t="n">
        <f aca="false">F18/E18</f>
        <v>0.00163510366982957</v>
      </c>
      <c r="H18" s="22" t="n">
        <f aca="false">D18/2</f>
        <v>2.5</v>
      </c>
      <c r="I18" s="21" t="n">
        <f aca="false">D18*G18/(1+(D18-H18)*G18)</f>
        <v>0.00814223485392217</v>
      </c>
      <c r="J18" s="21" t="n">
        <f aca="false">1-I18</f>
        <v>0.991857765146078</v>
      </c>
      <c r="K18" s="23" t="n">
        <f aca="false">K17-L17</f>
        <v>97055.1521133399</v>
      </c>
      <c r="L18" s="23" t="n">
        <f aca="false">K18*I18</f>
        <v>790.245842289955</v>
      </c>
      <c r="M18" s="23" t="n">
        <f aca="false">D18*K19+H18*L18</f>
        <v>483300.145960975</v>
      </c>
      <c r="N18" s="23" t="n">
        <f aca="false">SUM(M18:$M$25)</f>
        <v>4454172.8128193</v>
      </c>
      <c r="O18" s="9" t="n">
        <f aca="false">N18/K18</f>
        <v>45.8932134547352</v>
      </c>
    </row>
    <row r="19" customFormat="false" ht="15" hidden="false" customHeight="false" outlineLevel="0" collapsed="false">
      <c r="B19" s="25" t="str">
        <f aca="false">Insumos!B56</f>
        <v>45-49</v>
      </c>
      <c r="C19" s="26" t="n">
        <v>45</v>
      </c>
      <c r="D19" s="27" t="n">
        <v>5</v>
      </c>
      <c r="E19" s="7" t="n">
        <f aca="false">Insumos!E56</f>
        <v>4437822</v>
      </c>
      <c r="F19" s="7" t="n">
        <f aca="false">Insumos!F56</f>
        <v>11283.3971839061</v>
      </c>
      <c r="G19" s="21" t="n">
        <f aca="false">F19/E19</f>
        <v>0.00254255289732353</v>
      </c>
      <c r="H19" s="22" t="n">
        <f aca="false">D19/2</f>
        <v>2.5</v>
      </c>
      <c r="I19" s="21" t="n">
        <f aca="false">D19*G19/(1+(D19-H19)*G19)</f>
        <v>0.0126324676932829</v>
      </c>
      <c r="J19" s="21" t="n">
        <f aca="false">1-I19</f>
        <v>0.987367532306717</v>
      </c>
      <c r="K19" s="23" t="n">
        <f aca="false">K18-L18</f>
        <v>96264.90627105</v>
      </c>
      <c r="L19" s="23" t="n">
        <f aca="false">K19*I19</f>
        <v>1216.06331846594</v>
      </c>
      <c r="M19" s="23" t="n">
        <f aca="false">D19*K20+H19*L19</f>
        <v>478284.373059085</v>
      </c>
      <c r="N19" s="23" t="n">
        <f aca="false">SUM(M19:$M$25)</f>
        <v>3970872.66685833</v>
      </c>
      <c r="O19" s="9" t="n">
        <f aca="false">N19/K19</f>
        <v>41.2494316015607</v>
      </c>
    </row>
    <row r="20" customFormat="false" ht="15" hidden="false" customHeight="false" outlineLevel="0" collapsed="false">
      <c r="B20" s="25" t="str">
        <f aca="false">Insumos!B57</f>
        <v>50-54</v>
      </c>
      <c r="C20" s="26" t="n">
        <v>50</v>
      </c>
      <c r="D20" s="27" t="n">
        <v>5</v>
      </c>
      <c r="E20" s="7" t="n">
        <f aca="false">Insumos!E57</f>
        <v>4409290</v>
      </c>
      <c r="F20" s="7" t="n">
        <f aca="false">Insumos!F57</f>
        <v>16057.5150785346</v>
      </c>
      <c r="G20" s="21" t="n">
        <f aca="false">F20/E20</f>
        <v>0.00364174619463328</v>
      </c>
      <c r="H20" s="22" t="n">
        <f aca="false">D20/2</f>
        <v>2.5</v>
      </c>
      <c r="I20" s="21" t="n">
        <f aca="false">D20*G20/(1+(D20-H20)*G20)</f>
        <v>0.0180444477260648</v>
      </c>
      <c r="J20" s="21" t="n">
        <f aca="false">1-I20</f>
        <v>0.981955552273935</v>
      </c>
      <c r="K20" s="23" t="n">
        <f aca="false">K19-L19</f>
        <v>95048.8429525841</v>
      </c>
      <c r="L20" s="23" t="n">
        <f aca="false">K20*I20</f>
        <v>1715.10387808084</v>
      </c>
      <c r="M20" s="23" t="n">
        <f aca="false">D20*K21+H20*L20</f>
        <v>470956.455067718</v>
      </c>
      <c r="N20" s="23" t="n">
        <f aca="false">SUM(M20:$M$25)</f>
        <v>3492588.29379924</v>
      </c>
      <c r="O20" s="9" t="n">
        <f aca="false">N20/K20</f>
        <v>36.7451952628351</v>
      </c>
    </row>
    <row r="21" customFormat="false" ht="15" hidden="false" customHeight="false" outlineLevel="0" collapsed="false">
      <c r="B21" s="25" t="str">
        <f aca="false">Insumos!B58</f>
        <v>55-59</v>
      </c>
      <c r="C21" s="26" t="n">
        <v>55</v>
      </c>
      <c r="D21" s="27" t="n">
        <v>5</v>
      </c>
      <c r="E21" s="7" t="n">
        <f aca="false">Insumos!E58</f>
        <v>3553454</v>
      </c>
      <c r="F21" s="7" t="n">
        <f aca="false">Insumos!F58</f>
        <v>20407.1668929969</v>
      </c>
      <c r="G21" s="21" t="n">
        <f aca="false">F21/E21</f>
        <v>0.00574291010746076</v>
      </c>
      <c r="H21" s="22" t="n">
        <f aca="false">D21/2</f>
        <v>2.5</v>
      </c>
      <c r="I21" s="21" t="n">
        <f aca="false">D21*G21/(1+(D21-H21)*G21)</f>
        <v>0.0283081230227276</v>
      </c>
      <c r="J21" s="21" t="n">
        <f aca="false">1-I21</f>
        <v>0.971691876977272</v>
      </c>
      <c r="K21" s="23" t="n">
        <f aca="false">K20-L20</f>
        <v>93333.7390745032</v>
      </c>
      <c r="L21" s="23" t="n">
        <f aca="false">K21*I21</f>
        <v>2642.1029678922</v>
      </c>
      <c r="M21" s="23" t="n">
        <f aca="false">D21*K22+H21*L21</f>
        <v>460063.437952785</v>
      </c>
      <c r="N21" s="23" t="n">
        <f aca="false">SUM(M21:$M$25)</f>
        <v>3021631.83873153</v>
      </c>
      <c r="O21" s="9" t="n">
        <f aca="false">N21/K21</f>
        <v>32.3744861043178</v>
      </c>
    </row>
    <row r="22" customFormat="false" ht="15" hidden="false" customHeight="false" outlineLevel="0" collapsed="false">
      <c r="B22" s="25" t="str">
        <f aca="false">Insumos!B59</f>
        <v>60-64</v>
      </c>
      <c r="C22" s="26" t="n">
        <v>60</v>
      </c>
      <c r="D22" s="27" t="n">
        <v>5</v>
      </c>
      <c r="E22" s="7" t="n">
        <f aca="false">Insumos!E59</f>
        <v>3257527</v>
      </c>
      <c r="F22" s="7" t="n">
        <f aca="false">Insumos!F59</f>
        <v>26735.9666676694</v>
      </c>
      <c r="G22" s="21" t="n">
        <f aca="false">F22/E22</f>
        <v>0.0082074428447314</v>
      </c>
      <c r="H22" s="22" t="n">
        <f aca="false">D22/2</f>
        <v>2.5</v>
      </c>
      <c r="I22" s="21" t="n">
        <f aca="false">D22*G22/(1+(D22-H22)*G22)</f>
        <v>0.0402121175818602</v>
      </c>
      <c r="J22" s="21" t="n">
        <f aca="false">1-I22</f>
        <v>0.95978788241814</v>
      </c>
      <c r="K22" s="23" t="n">
        <f aca="false">K21-L21</f>
        <v>90691.636106611</v>
      </c>
      <c r="L22" s="23" t="n">
        <f aca="false">K22*I22</f>
        <v>3646.90273481032</v>
      </c>
      <c r="M22" s="23" t="n">
        <f aca="false">D22*K23+H22*L22</f>
        <v>444340.923696029</v>
      </c>
      <c r="N22" s="23" t="n">
        <f aca="false">SUM(M22:$M$25)</f>
        <v>2561568.40077874</v>
      </c>
      <c r="O22" s="9" t="n">
        <f aca="false">N22/K22</f>
        <v>28.2448140837104</v>
      </c>
    </row>
    <row r="23" customFormat="false" ht="15" hidden="false" customHeight="false" outlineLevel="0" collapsed="false">
      <c r="B23" s="25" t="str">
        <f aca="false">Insumos!B60</f>
        <v>65-69</v>
      </c>
      <c r="C23" s="26" t="n">
        <v>65</v>
      </c>
      <c r="D23" s="27" t="n">
        <v>5</v>
      </c>
      <c r="E23" s="7" t="n">
        <f aca="false">Insumos!E60</f>
        <v>2613496</v>
      </c>
      <c r="F23" s="7" t="n">
        <f aca="false">Insumos!F60</f>
        <v>31309.3012014532</v>
      </c>
      <c r="G23" s="21" t="n">
        <f aca="false">F23/E23</f>
        <v>0.0119798542647294</v>
      </c>
      <c r="H23" s="22" t="n">
        <f aca="false">D23/2</f>
        <v>2.5</v>
      </c>
      <c r="I23" s="21" t="n">
        <f aca="false">D23*G23/(1+(D23-H23)*G23)</f>
        <v>0.0581574761033407</v>
      </c>
      <c r="J23" s="21" t="n">
        <f aca="false">1-I23</f>
        <v>0.941842523896659</v>
      </c>
      <c r="K23" s="23" t="n">
        <f aca="false">K22-L22</f>
        <v>87044.7333718007</v>
      </c>
      <c r="L23" s="23" t="n">
        <f aca="false">K23*I23</f>
        <v>5062.30200099216</v>
      </c>
      <c r="M23" s="23" t="n">
        <f aca="false">D23*K24+H23*L23</f>
        <v>422567.911856523</v>
      </c>
      <c r="N23" s="23" t="n">
        <f aca="false">SUM(M23:$M$25)</f>
        <v>2117227.47708271</v>
      </c>
      <c r="O23" s="9" t="n">
        <f aca="false">N23/K23</f>
        <v>24.3234414658867</v>
      </c>
    </row>
    <row r="24" customFormat="false" ht="15" hidden="false" customHeight="false" outlineLevel="0" collapsed="false">
      <c r="B24" s="25" t="str">
        <f aca="false">Insumos!B61</f>
        <v>70-74</v>
      </c>
      <c r="C24" s="26" t="n">
        <v>70</v>
      </c>
      <c r="D24" s="27" t="n">
        <v>5</v>
      </c>
      <c r="E24" s="7" t="n">
        <f aca="false">Insumos!E61</f>
        <v>1838237</v>
      </c>
      <c r="F24" s="7" t="n">
        <f aca="false">Insumos!F61</f>
        <v>35302.6915272458</v>
      </c>
      <c r="G24" s="21" t="n">
        <f aca="false">F24/E24</f>
        <v>0.0192046463689099</v>
      </c>
      <c r="H24" s="22" t="n">
        <f aca="false">D24/2</f>
        <v>2.5</v>
      </c>
      <c r="I24" s="21" t="n">
        <f aca="false">D24*G24/(1+(D24-H24)*G24)</f>
        <v>0.0916242056726126</v>
      </c>
      <c r="J24" s="21" t="n">
        <f aca="false">1-I24</f>
        <v>0.908375794327388</v>
      </c>
      <c r="K24" s="23" t="n">
        <f aca="false">K23-L23</f>
        <v>81982.4313708085</v>
      </c>
      <c r="L24" s="23" t="n">
        <f aca="false">K24*I24</f>
        <v>7511.5751534598</v>
      </c>
      <c r="M24" s="23" t="n">
        <f aca="false">D24*K25+H24*L24</f>
        <v>391133.218970393</v>
      </c>
      <c r="N24" s="23" t="n">
        <f aca="false">SUM(M24:$M$25)</f>
        <v>1694659.56522619</v>
      </c>
      <c r="O24" s="9" t="n">
        <f aca="false">N24/K24</f>
        <v>20.6710088599495</v>
      </c>
    </row>
    <row r="25" customFormat="false" ht="15" hidden="false" customHeight="false" outlineLevel="0" collapsed="false">
      <c r="B25" s="25" t="str">
        <f aca="false">Insumos!B62</f>
        <v>75+</v>
      </c>
      <c r="C25" s="26" t="n">
        <v>75</v>
      </c>
      <c r="D25" s="27" t="s">
        <v>113</v>
      </c>
      <c r="E25" s="7" t="n">
        <f aca="false">Insumos!E62</f>
        <v>2784501</v>
      </c>
      <c r="F25" s="7" t="n">
        <f aca="false">Insumos!F62</f>
        <v>159079.388156357</v>
      </c>
      <c r="G25" s="21" t="n">
        <f aca="false">F25/E25</f>
        <v>0.0571303038341007</v>
      </c>
      <c r="H25" s="28" t="s">
        <v>114</v>
      </c>
      <c r="I25" s="29" t="n">
        <v>1</v>
      </c>
      <c r="J25" s="21" t="n">
        <f aca="false">1-I25</f>
        <v>0</v>
      </c>
      <c r="K25" s="23" t="n">
        <f aca="false">K24-L24</f>
        <v>74470.8562173487</v>
      </c>
      <c r="L25" s="23" t="n">
        <f aca="false">K25*I25</f>
        <v>74470.8562173487</v>
      </c>
      <c r="M25" s="23" t="n">
        <f aca="false">K25/G25</f>
        <v>1303526.3462558</v>
      </c>
      <c r="N25" s="23" t="n">
        <f aca="false">SUM(M25:$M$25)</f>
        <v>1303526.3462558</v>
      </c>
      <c r="O25" s="9" t="n">
        <f aca="false">N25/K25</f>
        <v>17.5038452955524</v>
      </c>
    </row>
    <row r="27" customFormat="false" ht="15" hidden="false" customHeight="false" outlineLevel="0" collapsed="false">
      <c r="B27" s="30" t="s">
        <v>115</v>
      </c>
      <c r="L27" s="20" t="n">
        <f aca="false">ROUND(SUM(L9:L25)-E4,6)</f>
        <v>0</v>
      </c>
    </row>
    <row r="28" customFormat="false" ht="15" hidden="false" customHeight="false" outlineLevel="0" collapsed="false">
      <c r="B28" s="30" t="s">
        <v>116</v>
      </c>
      <c r="L28" s="31" t="n">
        <f aca="false">I9*1000</f>
        <v>7.81956520783196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8"/>
  </cols>
  <sheetData>
    <row r="1" customFormat="false" ht="17.35" hidden="false" customHeight="false" outlineLevel="0" collapsed="false">
      <c r="B1" s="1" t="s">
        <v>118</v>
      </c>
    </row>
    <row r="2" customFormat="false" ht="15" hidden="false" customHeight="false" outlineLevel="0" collapsed="false">
      <c r="B2" s="2" t="s">
        <v>95</v>
      </c>
    </row>
    <row r="4" customFormat="false" ht="15" hidden="false" customHeight="false" outlineLevel="0" collapsed="false">
      <c r="B4" s="13" t="s">
        <v>96</v>
      </c>
      <c r="E4" s="7" t="n">
        <f aca="false">Insumos!C4</f>
        <v>100000</v>
      </c>
    </row>
    <row r="5" customFormat="false" ht="15" hidden="false" customHeight="false" outlineLevel="0" collapsed="false">
      <c r="B5" s="2" t="s">
        <v>97</v>
      </c>
    </row>
    <row r="6" customFormat="false" ht="15" hidden="false" customHeight="false" outlineLevel="0" collapsed="false">
      <c r="B6" s="2" t="s">
        <v>98</v>
      </c>
    </row>
    <row r="8" customFormat="false" ht="30" hidden="false" customHeight="true" outlineLevel="0" collapsed="false">
      <c r="B8" s="4" t="s">
        <v>99</v>
      </c>
      <c r="C8" s="4" t="s">
        <v>100</v>
      </c>
      <c r="D8" s="4" t="s">
        <v>101</v>
      </c>
      <c r="E8" s="4" t="s">
        <v>102</v>
      </c>
      <c r="F8" s="4" t="s">
        <v>103</v>
      </c>
      <c r="G8" s="4" t="s">
        <v>104</v>
      </c>
      <c r="H8" s="4" t="s">
        <v>105</v>
      </c>
      <c r="I8" s="4" t="s">
        <v>106</v>
      </c>
      <c r="J8" s="4" t="s">
        <v>107</v>
      </c>
      <c r="K8" s="4" t="s">
        <v>108</v>
      </c>
      <c r="L8" s="4" t="s">
        <v>109</v>
      </c>
      <c r="M8" s="4" t="s">
        <v>110</v>
      </c>
      <c r="N8" s="4" t="s">
        <v>111</v>
      </c>
      <c r="O8" s="4" t="s">
        <v>112</v>
      </c>
    </row>
    <row r="9" customFormat="false" ht="15" hidden="false" customHeight="false" outlineLevel="0" collapsed="false">
      <c r="B9" s="25" t="str">
        <f aca="false">Insumos!B46</f>
        <v>0</v>
      </c>
      <c r="C9" s="26" t="n">
        <v>0</v>
      </c>
      <c r="D9" s="27" t="n">
        <v>1</v>
      </c>
      <c r="E9" s="7" t="n">
        <f aca="false">Insumos!G46</f>
        <v>1369364.21638986</v>
      </c>
      <c r="F9" s="7" t="n">
        <f aca="false">Insumos!H46</f>
        <v>12272.1960509536</v>
      </c>
      <c r="G9" s="21" t="n">
        <f aca="false">F9/E9</f>
        <v>0.00896196636663077</v>
      </c>
      <c r="H9" s="22" t="n">
        <f aca="false">(IF($G$9&gt;=0.107,0.33,0.045+2.684*$G$9)+IF($G$9&gt;=0.107,0.35,0.053+2.8*$G$9))/2</f>
        <v>0.0735737117773016</v>
      </c>
      <c r="I9" s="21" t="n">
        <f aca="false">D9*G9/(1+(D9-H9)*G9)</f>
        <v>0.00888817142358165</v>
      </c>
      <c r="J9" s="21" t="n">
        <f aca="false">1-I9</f>
        <v>0.991111828576418</v>
      </c>
      <c r="K9" s="23" t="n">
        <f aca="false">$E$4</f>
        <v>100000</v>
      </c>
      <c r="L9" s="23" t="n">
        <f aca="false">K9*I9</f>
        <v>888.817142358165</v>
      </c>
      <c r="M9" s="23" t="n">
        <f aca="false">D9*K10+H9*L9</f>
        <v>99176.5764338964</v>
      </c>
      <c r="N9" s="23" t="n">
        <f aca="false">SUM(M9:$M$25)</f>
        <v>8030941.40615</v>
      </c>
      <c r="O9" s="9" t="n">
        <f aca="false">N9/K9</f>
        <v>80.3094140615</v>
      </c>
    </row>
    <row r="10" customFormat="false" ht="15" hidden="false" customHeight="false" outlineLevel="0" collapsed="false">
      <c r="B10" s="25" t="str">
        <f aca="false">Insumos!B47</f>
        <v>1-4</v>
      </c>
      <c r="C10" s="26" t="n">
        <v>1</v>
      </c>
      <c r="D10" s="27" t="n">
        <v>4</v>
      </c>
      <c r="E10" s="7" t="n">
        <f aca="false">Insumos!G47</f>
        <v>6200208.78361014</v>
      </c>
      <c r="F10" s="7" t="n">
        <f aca="false">Insumos!H47</f>
        <v>2835.48783842546</v>
      </c>
      <c r="G10" s="21" t="n">
        <f aca="false">F10/E10</f>
        <v>0.000457321347939266</v>
      </c>
      <c r="H10" s="22" t="n">
        <f aca="false">(IF($G$9&gt;=0.107,1.352,1.651-2.816*$G$9)+IF($G$9&gt;=0.107,1.361,1.522-1.518*$G$9))/2</f>
        <v>1.56707941888351</v>
      </c>
      <c r="I10" s="21" t="n">
        <f aca="false">D10*G10/(1+(D10-H10)*G10)</f>
        <v>0.001827252342343</v>
      </c>
      <c r="J10" s="21" t="n">
        <f aca="false">1-I10</f>
        <v>0.998172747657657</v>
      </c>
      <c r="K10" s="23" t="n">
        <f aca="false">K9-L9</f>
        <v>99111.1828576418</v>
      </c>
      <c r="L10" s="23" t="n">
        <f aca="false">K10*I10</f>
        <v>181.101141029011</v>
      </c>
      <c r="M10" s="23" t="n">
        <f aca="false">D10*K11+H10*L10</f>
        <v>396004.126737294</v>
      </c>
      <c r="N10" s="23" t="n">
        <f aca="false">SUM(M10:$M$25)</f>
        <v>7931764.8297161</v>
      </c>
      <c r="O10" s="9" t="n">
        <f aca="false">N10/K10</f>
        <v>80.0289594072233</v>
      </c>
    </row>
    <row r="11" customFormat="false" ht="15" hidden="false" customHeight="false" outlineLevel="0" collapsed="false">
      <c r="B11" s="25" t="str">
        <f aca="false">Insumos!B48</f>
        <v>5-9</v>
      </c>
      <c r="C11" s="26" t="n">
        <v>5</v>
      </c>
      <c r="D11" s="27" t="n">
        <v>5</v>
      </c>
      <c r="E11" s="7" t="n">
        <f aca="false">Insumos!G48</f>
        <v>9669960</v>
      </c>
      <c r="F11" s="7" t="n">
        <f aca="false">Insumos!H48</f>
        <v>1928.28408066387</v>
      </c>
      <c r="G11" s="21" t="n">
        <f aca="false">F11/E11</f>
        <v>0.000199409726685929</v>
      </c>
      <c r="H11" s="22" t="n">
        <f aca="false">D11/2</f>
        <v>2.5</v>
      </c>
      <c r="I11" s="21" t="n">
        <f aca="false">D11*G11/(1+(D11-H11)*G11)</f>
        <v>0.000996551828110468</v>
      </c>
      <c r="J11" s="21" t="n">
        <f aca="false">1-I11</f>
        <v>0.99900344817189</v>
      </c>
      <c r="K11" s="23" t="n">
        <f aca="false">K10-L10</f>
        <v>98930.0817166128</v>
      </c>
      <c r="L11" s="23" t="n">
        <f aca="false">K11*I11</f>
        <v>98.5889537898085</v>
      </c>
      <c r="M11" s="23" t="n">
        <f aca="false">D11*K12+H11*L11</f>
        <v>494403.93619859</v>
      </c>
      <c r="N11" s="23" t="n">
        <f aca="false">SUM(M11:$M$25)</f>
        <v>7535760.70297881</v>
      </c>
      <c r="O11" s="9" t="n">
        <f aca="false">N11/K11</f>
        <v>76.1725915133189</v>
      </c>
    </row>
    <row r="12" customFormat="false" ht="15" hidden="false" customHeight="false" outlineLevel="0" collapsed="false">
      <c r="B12" s="25" t="str">
        <f aca="false">Insumos!B49</f>
        <v>10-14</v>
      </c>
      <c r="C12" s="26" t="n">
        <v>10</v>
      </c>
      <c r="D12" s="27" t="n">
        <v>5</v>
      </c>
      <c r="E12" s="7" t="n">
        <f aca="false">Insumos!G49</f>
        <v>10885388</v>
      </c>
      <c r="F12" s="7" t="n">
        <f aca="false">Insumos!H49</f>
        <v>3062.39076984283</v>
      </c>
      <c r="G12" s="21" t="n">
        <f aca="false">F12/E12</f>
        <v>0.000281330419259546</v>
      </c>
      <c r="H12" s="22" t="n">
        <f aca="false">D12/2</f>
        <v>2.5</v>
      </c>
      <c r="I12" s="21" t="n">
        <f aca="false">D12*G12/(1+(D12-H12)*G12)</f>
        <v>0.00140566345657379</v>
      </c>
      <c r="J12" s="21" t="n">
        <f aca="false">1-I12</f>
        <v>0.998594336543426</v>
      </c>
      <c r="K12" s="23" t="n">
        <f aca="false">K11-L11</f>
        <v>98831.492762823</v>
      </c>
      <c r="L12" s="23" t="n">
        <f aca="false">K12*I12</f>
        <v>138.923817735337</v>
      </c>
      <c r="M12" s="23" t="n">
        <f aca="false">D12*K13+H12*L12</f>
        <v>493810.154269777</v>
      </c>
      <c r="N12" s="23" t="n">
        <f aca="false">SUM(M12:$M$25)</f>
        <v>7041356.76678021</v>
      </c>
      <c r="O12" s="9" t="n">
        <f aca="false">N12/K12</f>
        <v>71.2460833074549</v>
      </c>
    </row>
    <row r="13" customFormat="false" ht="15" hidden="false" customHeight="false" outlineLevel="0" collapsed="false">
      <c r="B13" s="25" t="str">
        <f aca="false">Insumos!B50</f>
        <v>15-19</v>
      </c>
      <c r="C13" s="26" t="n">
        <v>15</v>
      </c>
      <c r="D13" s="27" t="n">
        <v>5</v>
      </c>
      <c r="E13" s="7" t="n">
        <f aca="false">Insumos!G50</f>
        <v>10833608</v>
      </c>
      <c r="F13" s="7" t="n">
        <f aca="false">Insumos!H50</f>
        <v>8975.91889239431</v>
      </c>
      <c r="G13" s="21" t="n">
        <f aca="false">F13/E13</f>
        <v>0.000828525352993602</v>
      </c>
      <c r="H13" s="22" t="n">
        <f aca="false">D13/2</f>
        <v>2.5</v>
      </c>
      <c r="I13" s="21" t="n">
        <f aca="false">D13*G13/(1+(D13-H13)*G13)</f>
        <v>0.00413406382324688</v>
      </c>
      <c r="J13" s="21" t="n">
        <f aca="false">1-I13</f>
        <v>0.995865936176753</v>
      </c>
      <c r="K13" s="23" t="n">
        <f aca="false">K12-L12</f>
        <v>98692.5689450877</v>
      </c>
      <c r="L13" s="23" t="n">
        <f aca="false">K13*I13</f>
        <v>408.001378899185</v>
      </c>
      <c r="M13" s="23" t="n">
        <f aca="false">D13*K14+H13*L13</f>
        <v>492442.841278191</v>
      </c>
      <c r="N13" s="23" t="n">
        <f aca="false">SUM(M13:$M$25)</f>
        <v>6547546.61251044</v>
      </c>
      <c r="O13" s="9" t="n">
        <f aca="false">N13/K13</f>
        <v>66.342853190431</v>
      </c>
    </row>
    <row r="14" customFormat="false" ht="15" hidden="false" customHeight="false" outlineLevel="0" collapsed="false">
      <c r="B14" s="25" t="str">
        <f aca="false">Insumos!B51</f>
        <v>20-24</v>
      </c>
      <c r="C14" s="26" t="n">
        <v>20</v>
      </c>
      <c r="D14" s="27" t="n">
        <v>5</v>
      </c>
      <c r="E14" s="7" t="n">
        <f aca="false">Insumos!G51</f>
        <v>10360929</v>
      </c>
      <c r="F14" s="7" t="n">
        <f aca="false">Insumos!H51</f>
        <v>13136.6688300197</v>
      </c>
      <c r="G14" s="21" t="n">
        <f aca="false">F14/E14</f>
        <v>0.0012679045315357</v>
      </c>
      <c r="H14" s="22" t="n">
        <f aca="false">D14/2</f>
        <v>2.5</v>
      </c>
      <c r="I14" s="21" t="n">
        <f aca="false">D14*G14/(1+(D14-H14)*G14)</f>
        <v>0.00631949137828968</v>
      </c>
      <c r="J14" s="21" t="n">
        <f aca="false">1-I14</f>
        <v>0.99368050862171</v>
      </c>
      <c r="K14" s="23" t="n">
        <f aca="false">K13-L13</f>
        <v>98284.5675661885</v>
      </c>
      <c r="L14" s="23" t="n">
        <f aca="false">K14*I14</f>
        <v>621.108477353458</v>
      </c>
      <c r="M14" s="23" t="n">
        <f aca="false">D14*K15+H14*L14</f>
        <v>489870.066637559</v>
      </c>
      <c r="N14" s="23" t="n">
        <f aca="false">SUM(M14:$M$25)</f>
        <v>6055103.77123225</v>
      </c>
      <c r="O14" s="9" t="n">
        <f aca="false">N14/K14</f>
        <v>61.6078792548435</v>
      </c>
    </row>
    <row r="15" customFormat="false" ht="15" hidden="false" customHeight="false" outlineLevel="0" collapsed="false">
      <c r="B15" s="25" t="str">
        <f aca="false">Insumos!B52</f>
        <v>25-29</v>
      </c>
      <c r="C15" s="26" t="n">
        <v>25</v>
      </c>
      <c r="D15" s="27" t="n">
        <v>5</v>
      </c>
      <c r="E15" s="7" t="n">
        <f aca="false">Insumos!G52</f>
        <v>9810773</v>
      </c>
      <c r="F15" s="7" t="n">
        <f aca="false">Insumos!H52</f>
        <v>15376.6604788856</v>
      </c>
      <c r="G15" s="21" t="n">
        <f aca="false">F15/E15</f>
        <v>0.0015673240507028</v>
      </c>
      <c r="H15" s="22" t="n">
        <f aca="false">D15/2</f>
        <v>2.5</v>
      </c>
      <c r="I15" s="21" t="n">
        <f aca="false">D15*G15/(1+(D15-H15)*G15)</f>
        <v>0.00780603379225599</v>
      </c>
      <c r="J15" s="21" t="n">
        <f aca="false">1-I15</f>
        <v>0.992193966207744</v>
      </c>
      <c r="K15" s="23" t="n">
        <f aca="false">K14-L14</f>
        <v>97663.4590888351</v>
      </c>
      <c r="L15" s="23" t="n">
        <f aca="false">K15*I15</f>
        <v>762.364261916056</v>
      </c>
      <c r="M15" s="23" t="n">
        <f aca="false">D15*K16+H15*L15</f>
        <v>486411.384789385</v>
      </c>
      <c r="N15" s="23" t="n">
        <f aca="false">SUM(M15:$M$25)</f>
        <v>5565233.70459469</v>
      </c>
      <c r="O15" s="9" t="n">
        <f aca="false">N15/K15</f>
        <v>56.983786530974</v>
      </c>
    </row>
    <row r="16" customFormat="false" ht="15" hidden="false" customHeight="false" outlineLevel="0" collapsed="false">
      <c r="B16" s="25" t="str">
        <f aca="false">Insumos!B53</f>
        <v>30-34</v>
      </c>
      <c r="C16" s="26" t="n">
        <v>30</v>
      </c>
      <c r="D16" s="27" t="n">
        <v>5</v>
      </c>
      <c r="E16" s="7" t="n">
        <f aca="false">Insumos!G53</f>
        <v>10027553</v>
      </c>
      <c r="F16" s="7" t="n">
        <f aca="false">Insumos!H53</f>
        <v>18579.2817051107</v>
      </c>
      <c r="G16" s="21" t="n">
        <f aca="false">F16/E16</f>
        <v>0.0018528230870593</v>
      </c>
      <c r="H16" s="22" t="n">
        <f aca="false">D16/2</f>
        <v>2.5</v>
      </c>
      <c r="I16" s="21" t="n">
        <f aca="false">D16*G16/(1+(D16-H16)*G16)</f>
        <v>0.00922140137190424</v>
      </c>
      <c r="J16" s="21" t="n">
        <f aca="false">1-I16</f>
        <v>0.990778598628096</v>
      </c>
      <c r="K16" s="23" t="n">
        <f aca="false">K15-L15</f>
        <v>96901.094826919</v>
      </c>
      <c r="L16" s="23" t="n">
        <f aca="false">K16*I16</f>
        <v>893.563888775973</v>
      </c>
      <c r="M16" s="23" t="n">
        <f aca="false">D16*K17+H16*L16</f>
        <v>482271.564412655</v>
      </c>
      <c r="N16" s="23" t="n">
        <f aca="false">SUM(M16:$M$25)</f>
        <v>5078822.3198053</v>
      </c>
      <c r="O16" s="9" t="n">
        <f aca="false">N16/K16</f>
        <v>52.412434853052</v>
      </c>
    </row>
    <row r="17" customFormat="false" ht="15" hidden="false" customHeight="false" outlineLevel="0" collapsed="false">
      <c r="B17" s="25" t="str">
        <f aca="false">Insumos!B54</f>
        <v>35-39</v>
      </c>
      <c r="C17" s="26" t="n">
        <v>35</v>
      </c>
      <c r="D17" s="27" t="n">
        <v>5</v>
      </c>
      <c r="E17" s="7" t="n">
        <f aca="false">Insumos!G54</f>
        <v>9620908</v>
      </c>
      <c r="F17" s="7" t="n">
        <f aca="false">Insumos!H54</f>
        <v>20823.0061849059</v>
      </c>
      <c r="G17" s="21" t="n">
        <f aca="false">F17/E17</f>
        <v>0.00216434937169194</v>
      </c>
      <c r="H17" s="22" t="n">
        <f aca="false">D17/2</f>
        <v>2.5</v>
      </c>
      <c r="I17" s="21" t="n">
        <f aca="false">D17*G17/(1+(D17-H17)*G17)</f>
        <v>0.01076350688505</v>
      </c>
      <c r="J17" s="21" t="n">
        <f aca="false">1-I17</f>
        <v>0.98923649311495</v>
      </c>
      <c r="K17" s="23" t="n">
        <f aca="false">K16-L16</f>
        <v>96007.530938143</v>
      </c>
      <c r="L17" s="23" t="n">
        <f aca="false">K17*I17</f>
        <v>1033.37772026936</v>
      </c>
      <c r="M17" s="23" t="n">
        <f aca="false">D17*K18+H17*L17</f>
        <v>477454.210390042</v>
      </c>
      <c r="N17" s="23" t="n">
        <f aca="false">SUM(M17:$M$25)</f>
        <v>4596550.75539265</v>
      </c>
      <c r="O17" s="9" t="n">
        <f aca="false">N17/K17</f>
        <v>47.8769812167566</v>
      </c>
    </row>
    <row r="18" customFormat="false" ht="15" hidden="false" customHeight="false" outlineLevel="0" collapsed="false">
      <c r="B18" s="25" t="str">
        <f aca="false">Insumos!B55</f>
        <v>40-44</v>
      </c>
      <c r="C18" s="26" t="n">
        <v>40</v>
      </c>
      <c r="D18" s="27" t="n">
        <v>5</v>
      </c>
      <c r="E18" s="7" t="n">
        <f aca="false">Insumos!G55</f>
        <v>8974041</v>
      </c>
      <c r="F18" s="7" t="n">
        <f aca="false">Insumos!H55</f>
        <v>24573.4109341794</v>
      </c>
      <c r="G18" s="21" t="n">
        <f aca="false">F18/E18</f>
        <v>0.00273827709659221</v>
      </c>
      <c r="H18" s="22" t="n">
        <f aca="false">D18/2</f>
        <v>2.5</v>
      </c>
      <c r="I18" s="21" t="n">
        <f aca="false">D18*G18/(1+(D18-H18)*G18)</f>
        <v>0.0135982957285953</v>
      </c>
      <c r="J18" s="21" t="n">
        <f aca="false">1-I18</f>
        <v>0.986401704271405</v>
      </c>
      <c r="K18" s="23" t="n">
        <f aca="false">K17-L17</f>
        <v>94974.1532178737</v>
      </c>
      <c r="L18" s="23" t="n">
        <f aca="false">K18*I18</f>
        <v>1291.48662202957</v>
      </c>
      <c r="M18" s="23" t="n">
        <f aca="false">D18*K19+H18*L18</f>
        <v>471642.049534294</v>
      </c>
      <c r="N18" s="23" t="n">
        <f aca="false">SUM(M18:$M$25)</f>
        <v>4119096.54500261</v>
      </c>
      <c r="O18" s="9" t="n">
        <f aca="false">N18/K18</f>
        <v>43.3707109296702</v>
      </c>
    </row>
    <row r="19" customFormat="false" ht="15" hidden="false" customHeight="false" outlineLevel="0" collapsed="false">
      <c r="B19" s="25" t="str">
        <f aca="false">Insumos!B56</f>
        <v>45-49</v>
      </c>
      <c r="C19" s="26" t="n">
        <v>45</v>
      </c>
      <c r="D19" s="27" t="n">
        <v>5</v>
      </c>
      <c r="E19" s="7" t="n">
        <f aca="false">Insumos!G56</f>
        <v>8374000</v>
      </c>
      <c r="F19" s="7" t="n">
        <f aca="false">Insumos!H56</f>
        <v>32371.7701932488</v>
      </c>
      <c r="G19" s="21" t="n">
        <f aca="false">F19/E19</f>
        <v>0.00386574757502374</v>
      </c>
      <c r="H19" s="22" t="n">
        <f aca="false">D19/2</f>
        <v>2.5</v>
      </c>
      <c r="I19" s="21" t="n">
        <f aca="false">D19*G19/(1+(D19-H19)*G19)</f>
        <v>0.0191437258457063</v>
      </c>
      <c r="J19" s="21" t="n">
        <f aca="false">1-I19</f>
        <v>0.980856274154294</v>
      </c>
      <c r="K19" s="23" t="n">
        <f aca="false">K18-L18</f>
        <v>93682.6665958441</v>
      </c>
      <c r="L19" s="23" t="n">
        <f aca="false">K19*I19</f>
        <v>1793.43528580555</v>
      </c>
      <c r="M19" s="23" t="n">
        <f aca="false">D19*K20+H19*L19</f>
        <v>463929.744764707</v>
      </c>
      <c r="N19" s="23" t="n">
        <f aca="false">SUM(M19:$M$25)</f>
        <v>3647454.49546831</v>
      </c>
      <c r="O19" s="9" t="n">
        <f aca="false">N19/K19</f>
        <v>38.9341446823218</v>
      </c>
    </row>
    <row r="20" customFormat="false" ht="15" hidden="false" customHeight="false" outlineLevel="0" collapsed="false">
      <c r="B20" s="25" t="str">
        <f aca="false">Insumos!B57</f>
        <v>50-54</v>
      </c>
      <c r="C20" s="26" t="n">
        <v>50</v>
      </c>
      <c r="D20" s="27" t="n">
        <v>5</v>
      </c>
      <c r="E20" s="7" t="n">
        <f aca="false">Insumos!G57</f>
        <v>8352139</v>
      </c>
      <c r="F20" s="7" t="n">
        <f aca="false">Insumos!H57</f>
        <v>43488.2199201787</v>
      </c>
      <c r="G20" s="21" t="n">
        <f aca="false">F20/E20</f>
        <v>0.00520683622724415</v>
      </c>
      <c r="H20" s="22" t="n">
        <f aca="false">D20/2</f>
        <v>2.5</v>
      </c>
      <c r="I20" s="21" t="n">
        <f aca="false">D20*G20/(1+(D20-H20)*G20)</f>
        <v>0.0256996465100312</v>
      </c>
      <c r="J20" s="21" t="n">
        <f aca="false">1-I20</f>
        <v>0.974300353489969</v>
      </c>
      <c r="K20" s="23" t="n">
        <f aca="false">K19-L19</f>
        <v>91889.2313100386</v>
      </c>
      <c r="L20" s="23" t="n">
        <f aca="false">K20*I20</f>
        <v>2361.52076274649</v>
      </c>
      <c r="M20" s="23" t="n">
        <f aca="false">D20*K21+H20*L20</f>
        <v>453542.354643327</v>
      </c>
      <c r="N20" s="23" t="n">
        <f aca="false">SUM(M20:$M$25)</f>
        <v>3183524.75070361</v>
      </c>
      <c r="O20" s="9" t="n">
        <f aca="false">N20/K20</f>
        <v>34.6452430313868</v>
      </c>
    </row>
    <row r="21" customFormat="false" ht="15" hidden="false" customHeight="false" outlineLevel="0" collapsed="false">
      <c r="B21" s="25" t="str">
        <f aca="false">Insumos!B58</f>
        <v>55-59</v>
      </c>
      <c r="C21" s="26" t="n">
        <v>55</v>
      </c>
      <c r="D21" s="27" t="n">
        <v>5</v>
      </c>
      <c r="E21" s="7" t="n">
        <f aca="false">Insumos!G58</f>
        <v>6709847</v>
      </c>
      <c r="F21" s="7" t="n">
        <f aca="false">Insumos!H58</f>
        <v>51707.021768705</v>
      </c>
      <c r="G21" s="21" t="n">
        <f aca="false">F21/E21</f>
        <v>0.00770614020985947</v>
      </c>
      <c r="H21" s="22" t="n">
        <f aca="false">D21/2</f>
        <v>2.5</v>
      </c>
      <c r="I21" s="21" t="n">
        <f aca="false">D21*G21/(1+(D21-H21)*G21)</f>
        <v>0.037802424098361</v>
      </c>
      <c r="J21" s="21" t="n">
        <f aca="false">1-I21</f>
        <v>0.962197575901639</v>
      </c>
      <c r="K21" s="23" t="n">
        <f aca="false">K20-L20</f>
        <v>89527.7105472921</v>
      </c>
      <c r="L21" s="23" t="n">
        <f aca="false">K21*I21</f>
        <v>3384.36448266404</v>
      </c>
      <c r="M21" s="23" t="n">
        <f aca="false">D21*K22+H21*L21</f>
        <v>439177.6415298</v>
      </c>
      <c r="N21" s="23" t="n">
        <f aca="false">SUM(M21:$M$25)</f>
        <v>2729982.39606028</v>
      </c>
      <c r="O21" s="9" t="n">
        <f aca="false">N21/K21</f>
        <v>30.4931554640638</v>
      </c>
    </row>
    <row r="22" customFormat="false" ht="15" hidden="false" customHeight="false" outlineLevel="0" collapsed="false">
      <c r="B22" s="25" t="str">
        <f aca="false">Insumos!B59</f>
        <v>60-64</v>
      </c>
      <c r="C22" s="26" t="n">
        <v>60</v>
      </c>
      <c r="D22" s="27" t="n">
        <v>5</v>
      </c>
      <c r="E22" s="7" t="n">
        <f aca="false">Insumos!G59</f>
        <v>5991546</v>
      </c>
      <c r="F22" s="7" t="n">
        <f aca="false">Insumos!H59</f>
        <v>63700.3224989781</v>
      </c>
      <c r="G22" s="21" t="n">
        <f aca="false">F22/E22</f>
        <v>0.0106317004824762</v>
      </c>
      <c r="H22" s="22" t="n">
        <f aca="false">D22/2</f>
        <v>2.5</v>
      </c>
      <c r="I22" s="21" t="n">
        <f aca="false">D22*G22/(1+(D22-H22)*G22)</f>
        <v>0.0517821710792632</v>
      </c>
      <c r="J22" s="21" t="n">
        <f aca="false">1-I22</f>
        <v>0.948217828920737</v>
      </c>
      <c r="K22" s="23" t="n">
        <f aca="false">K21-L21</f>
        <v>86143.346064628</v>
      </c>
      <c r="L22" s="23" t="n">
        <f aca="false">K22*I22</f>
        <v>4460.68948325874</v>
      </c>
      <c r="M22" s="23" t="n">
        <f aca="false">D22*K23+H22*L22</f>
        <v>419565.006614993</v>
      </c>
      <c r="N22" s="23" t="n">
        <f aca="false">SUM(M22:$M$25)</f>
        <v>2290804.75453048</v>
      </c>
      <c r="O22" s="9" t="n">
        <f aca="false">N22/K22</f>
        <v>26.5929390856472</v>
      </c>
    </row>
    <row r="23" customFormat="false" ht="15" hidden="false" customHeight="false" outlineLevel="0" collapsed="false">
      <c r="B23" s="25" t="str">
        <f aca="false">Insumos!B60</f>
        <v>65-69</v>
      </c>
      <c r="C23" s="26" t="n">
        <v>65</v>
      </c>
      <c r="D23" s="27" t="n">
        <v>5</v>
      </c>
      <c r="E23" s="7" t="n">
        <f aca="false">Insumos!G60</f>
        <v>4829842</v>
      </c>
      <c r="F23" s="7" t="n">
        <f aca="false">Insumos!H60</f>
        <v>72010.2269805078</v>
      </c>
      <c r="G23" s="21" t="n">
        <f aca="false">F23/E23</f>
        <v>0.0149094374061321</v>
      </c>
      <c r="H23" s="22" t="n">
        <f aca="false">D23/2</f>
        <v>2.5</v>
      </c>
      <c r="I23" s="21" t="n">
        <f aca="false">D23*G23/(1+(D23-H23)*G23)</f>
        <v>0.071868393735947</v>
      </c>
      <c r="J23" s="21" t="n">
        <f aca="false">1-I23</f>
        <v>0.928131606264053</v>
      </c>
      <c r="K23" s="23" t="n">
        <f aca="false">K22-L22</f>
        <v>81682.6565813693</v>
      </c>
      <c r="L23" s="23" t="n">
        <f aca="false">K23*I23</f>
        <v>5870.40132458799</v>
      </c>
      <c r="M23" s="23" t="n">
        <f aca="false">D23*K24+H23*L23</f>
        <v>393737.279595376</v>
      </c>
      <c r="N23" s="23" t="n">
        <f aca="false">SUM(M23:$M$25)</f>
        <v>1871239.74791549</v>
      </c>
      <c r="O23" s="9" t="n">
        <f aca="false">N23/K23</f>
        <v>22.9086543732992</v>
      </c>
    </row>
    <row r="24" customFormat="false" ht="15" hidden="false" customHeight="false" outlineLevel="0" collapsed="false">
      <c r="B24" s="25" t="str">
        <f aca="false">Insumos!B61</f>
        <v>70-74</v>
      </c>
      <c r="C24" s="26" t="n">
        <v>70</v>
      </c>
      <c r="D24" s="27" t="n">
        <v>5</v>
      </c>
      <c r="E24" s="7" t="n">
        <f aca="false">Insumos!G61</f>
        <v>3399855</v>
      </c>
      <c r="F24" s="7" t="n">
        <f aca="false">Insumos!H61</f>
        <v>77547.7232822318</v>
      </c>
      <c r="G24" s="21" t="n">
        <f aca="false">F24/E24</f>
        <v>0.0228091266487047</v>
      </c>
      <c r="H24" s="22" t="n">
        <f aca="false">D24/2</f>
        <v>2.5</v>
      </c>
      <c r="I24" s="21" t="n">
        <f aca="false">D24*G24/(1+(D24-H24)*G24)</f>
        <v>0.107893255897742</v>
      </c>
      <c r="J24" s="21" t="n">
        <f aca="false">1-I24</f>
        <v>0.892106744102258</v>
      </c>
      <c r="K24" s="23" t="n">
        <f aca="false">K23-L23</f>
        <v>75812.2552567813</v>
      </c>
      <c r="L24" s="23" t="n">
        <f aca="false">K24*I24</f>
        <v>8179.63105660481</v>
      </c>
      <c r="M24" s="23" t="n">
        <f aca="false">D24*K25+H24*L24</f>
        <v>358612.198642394</v>
      </c>
      <c r="N24" s="23" t="n">
        <f aca="false">SUM(M24:$M$25)</f>
        <v>1477502.46832011</v>
      </c>
      <c r="O24" s="9" t="n">
        <f aca="false">N24/K24</f>
        <v>19.4889660427026</v>
      </c>
    </row>
    <row r="25" customFormat="false" ht="15" hidden="false" customHeight="false" outlineLevel="0" collapsed="false">
      <c r="B25" s="25" t="str">
        <f aca="false">Insumos!B62</f>
        <v>75+</v>
      </c>
      <c r="C25" s="26" t="n">
        <v>75</v>
      </c>
      <c r="D25" s="27" t="s">
        <v>113</v>
      </c>
      <c r="E25" s="7" t="n">
        <f aca="false">Insumos!G62</f>
        <v>4964838</v>
      </c>
      <c r="F25" s="7" t="n">
        <f aca="false">Insumos!H62</f>
        <v>300105.409590768</v>
      </c>
      <c r="G25" s="21" t="n">
        <f aca="false">F25/E25</f>
        <v>0.060446163518481</v>
      </c>
      <c r="H25" s="28" t="s">
        <v>114</v>
      </c>
      <c r="I25" s="29" t="n">
        <v>1</v>
      </c>
      <c r="J25" s="21" t="n">
        <f aca="false">1-I25</f>
        <v>0</v>
      </c>
      <c r="K25" s="23" t="n">
        <f aca="false">K24-L24</f>
        <v>67632.6242001765</v>
      </c>
      <c r="L25" s="23" t="n">
        <f aca="false">K25*I25</f>
        <v>67632.6242001765</v>
      </c>
      <c r="M25" s="23" t="n">
        <f aca="false">K25/G25</f>
        <v>1118890.26967772</v>
      </c>
      <c r="N25" s="23" t="n">
        <f aca="false">SUM(M25:$M$25)</f>
        <v>1118890.26967772</v>
      </c>
      <c r="O25" s="9" t="n">
        <f aca="false">N25/K25</f>
        <v>16.5436471364185</v>
      </c>
    </row>
    <row r="27" customFormat="false" ht="15" hidden="false" customHeight="false" outlineLevel="0" collapsed="false">
      <c r="B27" s="30" t="s">
        <v>115</v>
      </c>
      <c r="L27" s="20" t="n">
        <f aca="false">ROUND(SUM(L9:L25)-E4,6)</f>
        <v>0</v>
      </c>
    </row>
    <row r="28" customFormat="false" ht="15" hidden="false" customHeight="false" outlineLevel="0" collapsed="false">
      <c r="B28" s="30" t="s">
        <v>116</v>
      </c>
      <c r="L28" s="31" t="n">
        <f aca="false">I9*1000</f>
        <v>8.88817142358165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2026-10-15T01:13:59Z</dcterms:created>
  <dc:creator>openpyxl</dc:creator>
  <dc:description/>
  <dc:language>en-US</dc:language>
  <cp:lastModifiedBy/>
  <dcterms:modified xsi:type="dcterms:W3CDTF">2026-10-15T01:13:59Z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