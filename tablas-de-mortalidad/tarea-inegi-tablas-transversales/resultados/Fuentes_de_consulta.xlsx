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Fuentes de datos" sheetId="1" state="visible" r:id="rId1"/>
    <sheet xmlns:r="http://schemas.openxmlformats.org/officeDocument/2006/relationships" name="Cohorte ficticio" sheetId="2" state="visible" r:id="rId2"/>
    <sheet xmlns:r="http://schemas.openxmlformats.org/officeDocument/2006/relationships" name="Tabla hombres" sheetId="3" state="visible" r:id="rId3"/>
    <sheet xmlns:r="http://schemas.openxmlformats.org/officeDocument/2006/relationships" name="Tabla mujeres" sheetId="4" state="visible" r:id="rId4"/>
    <sheet xmlns:r="http://schemas.openxmlformats.org/officeDocument/2006/relationships" name="Tabla ambos sexos" sheetId="5" state="visible" r:id="rId5"/>
    <sheet xmlns:r="http://schemas.openxmlformats.org/officeDocument/2006/relationships" name="Gráficos y resumen" sheetId="6" state="visible" r:id="rId6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7">
    <numFmt numFmtId="164" formatCode="_-* #,##0.00_-;\-* #,##0.00_-;_-* &quot;-&quot;??_-;_-@_-"/>
    <numFmt numFmtId="165" formatCode="##"/>
    <numFmt numFmtId="166" formatCode="#,##0.0"/>
    <numFmt numFmtId="167" formatCode="0.000000"/>
    <numFmt numFmtId="168" formatCode="0.0"/>
    <numFmt numFmtId="169" formatCode="0.00000"/>
    <numFmt numFmtId="170" formatCode="0.0000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Baguet Script"/>
      <color theme="0"/>
      <sz val="22"/>
    </font>
    <font>
      <name val="ADLaM Display"/>
      <color theme="0"/>
      <sz val="11"/>
    </font>
    <font>
      <name val="Calibri"/>
      <family val="2"/>
      <b val="1"/>
      <color theme="0"/>
      <sz val="14"/>
      <scheme val="minor"/>
    </font>
    <font>
      <name val="Arial Narrow"/>
      <family val="2"/>
      <b val="1"/>
      <color rgb="FFFFFFFF"/>
      <sz val="7"/>
    </font>
    <font>
      <name val="Calibri"/>
      <b val="1"/>
      <color theme="0"/>
      <sz val="20"/>
    </font>
    <font>
      <name val="Calibri"/>
      <color theme="0"/>
      <sz val="11"/>
    </font>
    <font>
      <name val="Calibri"/>
      <b val="1"/>
      <sz val="11"/>
    </font>
    <font>
      <name val="Calibri"/>
      <color rgb="FF0000FF"/>
      <sz val="11"/>
    </font>
    <font>
      <name val="Calibri"/>
      <i val="1"/>
      <color rgb="FF404040"/>
      <sz val="10"/>
    </font>
    <font>
      <name val="Calibri"/>
      <b val="1"/>
      <color theme="0"/>
      <sz val="12"/>
    </font>
    <font>
      <name val="Calibri"/>
      <b val="1"/>
      <color rgb="FFFFFFFF"/>
      <sz val="10"/>
    </font>
    <font>
      <name val="Calibri"/>
      <sz val="11"/>
    </font>
  </fonts>
  <fills count="11">
    <fill>
      <patternFill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00C7BB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7999816888943144"/>
      </patternFill>
    </fill>
    <fill>
      <patternFill patternType="solid">
        <fgColor theme="9" tint="-0.249977111117893"/>
      </patternFill>
    </fill>
    <fill>
      <patternFill patternType="solid">
        <fgColor rgb="FFFFFF00"/>
      </patternFill>
    </fill>
    <fill>
      <patternFill patternType="solid">
        <fgColor rgb="FF00C7BB"/>
      </patternFill>
    </fill>
    <fill>
      <patternFill patternType="solid">
        <fgColor theme="2" tint="-0.09997863704336681"/>
      </patternFill>
    </fill>
  </fills>
  <borders count="21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rgb="FFFFFFFF"/>
      </bottom>
      <diagonal/>
    </border>
    <border>
      <left/>
      <right style="thin">
        <color rgb="FFFFFFFF"/>
      </right>
      <top style="thin">
        <color indexed="9"/>
      </top>
      <bottom style="thin">
        <color rgb="FFFFFFFF"/>
      </bottom>
      <diagonal/>
    </border>
    <border>
      <left style="thin">
        <color rgb="FFFFFFFF"/>
      </left>
      <right/>
      <top style="thin">
        <color indexed="9"/>
      </top>
      <bottom style="thin">
        <color rgb="FFFFFFFF"/>
      </bottom>
      <diagonal/>
    </border>
    <border>
      <left/>
      <right style="thin">
        <color indexed="9"/>
      </right>
      <top style="thin">
        <color indexed="9"/>
      </top>
      <bottom style="thin">
        <color rgb="FFFFFFFF"/>
      </bottom>
      <diagonal/>
    </border>
    <border>
      <left style="thin">
        <color indexed="9"/>
      </left>
      <right/>
      <top/>
      <bottom style="thin">
        <color rgb="FFFFFFFF"/>
      </bottom>
      <diagonal/>
    </border>
    <border>
      <left style="thin">
        <color indexed="9"/>
      </left>
      <right style="thin">
        <color indexed="9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indexed="9"/>
      </right>
      <top style="thin">
        <color rgb="FFFFFFFF"/>
      </top>
      <bottom style="thin">
        <color rgb="FFFFFFFF"/>
      </bottom>
      <diagonal/>
    </border>
    <border>
      <left style="thin">
        <color indexed="9"/>
      </left>
      <right/>
      <top style="thin">
        <color indexed="9"/>
      </top>
      <bottom style="thin">
        <color rgb="FFFFFFFF"/>
      </bottom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rgb="FFFFFFFF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rgb="FFFFFFFF"/>
      </right>
      <top style="thin">
        <color indexed="9"/>
      </top>
      <bottom/>
      <diagonal/>
    </border>
    <border>
      <left style="thin">
        <color rgb="FFFFFFFF"/>
      </left>
      <right style="thin">
        <color indexed="9"/>
      </right>
      <top style="thin">
        <color indexed="9"/>
      </top>
      <bottom style="thin">
        <color rgb="FFFFFFFF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3">
    <xf numFmtId="0" fontId="1" fillId="0" borderId="0"/>
    <xf numFmtId="164" fontId="1" fillId="0" borderId="0"/>
    <xf numFmtId="0" fontId="2" fillId="0" borderId="0"/>
  </cellStyleXfs>
  <cellXfs count="66">
    <xf numFmtId="0" fontId="0" fillId="0" borderId="0" pivotButton="0" quotePrefix="0" xfId="0"/>
    <xf numFmtId="0" fontId="0" fillId="3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3" borderId="0" pivotButton="0" quotePrefix="0" xfId="2"/>
    <xf numFmtId="0" fontId="6" fillId="4" borderId="9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center" vertical="center" wrapText="1"/>
    </xf>
    <xf numFmtId="164" fontId="0" fillId="3" borderId="0" pivotButton="0" quotePrefix="0" xfId="1"/>
    <xf numFmtId="0" fontId="0" fillId="5" borderId="0" pivotButton="0" quotePrefix="0" xfId="0"/>
    <xf numFmtId="164" fontId="0" fillId="5" borderId="0" pivotButton="0" quotePrefix="0" xfId="1"/>
    <xf numFmtId="165" fontId="0" fillId="0" borderId="0" applyAlignment="1" pivotButton="0" quotePrefix="0" xfId="0">
      <alignment horizontal="left" vertical="top"/>
    </xf>
    <xf numFmtId="165" fontId="0" fillId="5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12" applyAlignment="1" pivotButton="0" quotePrefix="0" xfId="0">
      <alignment horizontal="center" vertical="center" wrapText="1"/>
    </xf>
    <xf numFmtId="0" fontId="6" fillId="4" borderId="14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4" borderId="1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6" borderId="0" pivotButton="0" quotePrefix="0" xfId="0"/>
    <xf numFmtId="0" fontId="7" fillId="7" borderId="0" applyAlignment="1" pivotButton="0" quotePrefix="0" xfId="0">
      <alignment vertical="center"/>
    </xf>
    <xf numFmtId="0" fontId="0" fillId="7" borderId="0" pivotButton="0" quotePrefix="0" xfId="0"/>
    <xf numFmtId="0" fontId="8" fillId="7" borderId="0" applyAlignment="1" pivotButton="0" quotePrefix="0" xfId="0">
      <alignment vertical="center"/>
    </xf>
    <xf numFmtId="0" fontId="9" fillId="6" borderId="0" pivotButton="0" quotePrefix="0" xfId="0"/>
    <xf numFmtId="3" fontId="10" fillId="8" borderId="20" pivotButton="0" quotePrefix="0" xfId="0"/>
    <xf numFmtId="0" fontId="11" fillId="6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vertical="center"/>
    </xf>
    <xf numFmtId="0" fontId="13" fillId="9" borderId="20" applyAlignment="1" pivotButton="0" quotePrefix="0" xfId="0">
      <alignment horizontal="center" vertical="center" wrapText="1"/>
    </xf>
    <xf numFmtId="0" fontId="14" fillId="6" borderId="20" pivotButton="0" quotePrefix="0" xfId="0"/>
    <xf numFmtId="3" fontId="14" fillId="6" borderId="20" pivotButton="0" quotePrefix="0" xfId="0"/>
    <xf numFmtId="166" fontId="14" fillId="6" borderId="20" pivotButton="0" quotePrefix="0" xfId="0"/>
    <xf numFmtId="0" fontId="14" fillId="10" borderId="20" pivotButton="0" quotePrefix="0" xfId="0"/>
    <xf numFmtId="3" fontId="14" fillId="10" borderId="20" pivotButton="0" quotePrefix="0" xfId="0"/>
    <xf numFmtId="166" fontId="14" fillId="10" borderId="20" pivotButton="0" quotePrefix="0" xfId="0"/>
    <xf numFmtId="0" fontId="9" fillId="10" borderId="20" pivotButton="0" quotePrefix="0" xfId="0"/>
    <xf numFmtId="3" fontId="9" fillId="10" borderId="20" pivotButton="0" quotePrefix="0" xfId="0"/>
    <xf numFmtId="166" fontId="9" fillId="10" borderId="20" pivotButton="0" quotePrefix="0" xfId="0"/>
    <xf numFmtId="167" fontId="14" fillId="6" borderId="20" pivotButton="0" quotePrefix="0" xfId="0"/>
    <xf numFmtId="168" fontId="9" fillId="6" borderId="20" pivotButton="0" quotePrefix="0" xfId="0"/>
    <xf numFmtId="169" fontId="14" fillId="10" borderId="20" pivotButton="0" quotePrefix="0" xfId="0"/>
    <xf numFmtId="170" fontId="14" fillId="6" borderId="20" pivotButton="0" quotePrefix="0" xfId="0"/>
    <xf numFmtId="0" fontId="14" fillId="10" borderId="20" applyAlignment="1" pivotButton="0" quotePrefix="0" xfId="0">
      <alignment horizontal="center"/>
    </xf>
    <xf numFmtId="0" fontId="14" fillId="6" borderId="20" applyAlignment="1" pivotButton="0" quotePrefix="0" xfId="0">
      <alignment horizontal="center"/>
    </xf>
    <xf numFmtId="1" fontId="14" fillId="6" borderId="20" pivotButton="0" quotePrefix="0" xfId="0"/>
    <xf numFmtId="1" fontId="14" fillId="6" borderId="20" applyAlignment="1" pivotButton="0" quotePrefix="0" xfId="0">
      <alignment horizontal="right" vertical="center"/>
    </xf>
    <xf numFmtId="169" fontId="14" fillId="6" borderId="20" pivotButton="0" quotePrefix="0" xfId="0"/>
    <xf numFmtId="2" fontId="9" fillId="6" borderId="20" pivotButton="0" quotePrefix="0" xfId="0"/>
    <xf numFmtId="1" fontId="14" fillId="10" borderId="20" pivotButton="0" quotePrefix="0" xfId="0"/>
    <xf numFmtId="1" fontId="14" fillId="10" borderId="20" applyAlignment="1" pivotButton="0" quotePrefix="0" xfId="0">
      <alignment horizontal="right" vertical="center"/>
    </xf>
    <xf numFmtId="170" fontId="14" fillId="10" borderId="20" pivotButton="0" quotePrefix="0" xfId="0"/>
    <xf numFmtId="2" fontId="9" fillId="10" borderId="20" pivotButton="0" quotePrefix="0" xfId="0"/>
    <xf numFmtId="0" fontId="14" fillId="6" borderId="20" applyAlignment="1" pivotButton="0" quotePrefix="0" xfId="0">
      <alignment horizontal="right" vertical="center"/>
    </xf>
    <xf numFmtId="0" fontId="14" fillId="6" borderId="0" pivotButton="0" quotePrefix="0" xfId="0"/>
    <xf numFmtId="2" fontId="14" fillId="6" borderId="20" pivotButton="0" quotePrefix="0" xfId="0"/>
    <xf numFmtId="2" fontId="14" fillId="10" borderId="20" pivotButton="0" quotePrefix="0" xfId="0"/>
    <xf numFmtId="2" fontId="10" fillId="8" borderId="20" pivotButton="0" quotePrefix="0" xfId="0"/>
  </cellXfs>
  <cellStyles count="3">
    <cellStyle name="Normal" xfId="0" builtinId="0"/>
    <cellStyle name="Millares" xfId="1" builtinId="3"/>
    <cellStyle name="Hipervínculo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Sobrevivientes lx de la cohorte ficticia (eje desde 50,000)</a:t>
            </a:r>
          </a:p>
        </rich>
      </tx>
    </title>
    <plotArea>
      <lineChart>
        <grouping val="standard"/>
        <ser>
          <idx val="0"/>
          <order val="0"/>
          <tx>
            <v>Hombres</v>
          </tx>
          <spPr>
            <a:ln xmlns:a="http://schemas.openxmlformats.org/drawingml/2006/main" w="22000">
              <a:solidFill>
                <a:srgbClr val="1F77B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1F77B4"/>
              </a:solidFill>
              <a:ln xmlns:a="http://schemas.openxmlformats.org/drawingml/2006/main">
                <a:solidFill>
                  <a:srgbClr val="1F77B4"/>
                </a:solidFill>
                <a:prstDash val="solid"/>
              </a:ln>
            </spPr>
          </marker>
          <cat>
            <numRef>
              <f>'Tabla hombres'!$B$9:$B$25</f>
            </numRef>
          </cat>
          <val>
            <numRef>
              <f>'Tabla hombres'!$K$9:$K$25</f>
            </numRef>
          </val>
          <smooth val="0"/>
        </ser>
        <ser>
          <idx val="1"/>
          <order val="1"/>
          <tx>
            <v>Mujeres</v>
          </tx>
          <spPr>
            <a:ln xmlns:a="http://schemas.openxmlformats.org/drawingml/2006/main" w="22000">
              <a:solidFill>
                <a:srgbClr val="D95F02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D95F02"/>
              </a:solidFill>
              <a:ln xmlns:a="http://schemas.openxmlformats.org/drawingml/2006/main">
                <a:solidFill>
                  <a:srgbClr val="D95F02"/>
                </a:solidFill>
                <a:prstDash val="solid"/>
              </a:ln>
            </spPr>
          </marker>
          <cat>
            <numRef>
              <f>'Tabla hombres'!$B$9:$B$25</f>
            </numRef>
          </cat>
          <val>
            <numRef>
              <f>'Tabla mujeres'!$K$9:$K$25</f>
            </numRef>
          </val>
          <smooth val="0"/>
        </ser>
        <ser>
          <idx val="2"/>
          <order val="2"/>
          <tx>
            <v>Ambos sexos</v>
          </tx>
          <spPr>
            <a:ln xmlns:a="http://schemas.openxmlformats.org/drawingml/2006/main" w="22000">
              <a:solidFill>
                <a:srgbClr val="595959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595959"/>
              </a:solidFill>
              <a:ln xmlns:a="http://schemas.openxmlformats.org/drawingml/2006/main">
                <a:solidFill>
                  <a:srgbClr val="595959"/>
                </a:solidFill>
                <a:prstDash val="solid"/>
              </a:ln>
            </spPr>
          </marker>
          <cat>
            <numRef>
              <f>'Tabla hombres'!$B$9:$B$25</f>
            </numRef>
          </cat>
          <val>
            <numRef>
              <f>'Tabla ambos sexos'!$K$9:$K$25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Edad (grupo)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5000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lx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Esperanza de vida ex por edad</a:t>
            </a:r>
          </a:p>
        </rich>
      </tx>
    </title>
    <plotArea>
      <lineChart>
        <grouping val="standard"/>
        <ser>
          <idx val="0"/>
          <order val="0"/>
          <tx>
            <v>Hombres</v>
          </tx>
          <spPr>
            <a:ln xmlns:a="http://schemas.openxmlformats.org/drawingml/2006/main" w="22000">
              <a:solidFill>
                <a:srgbClr val="1F77B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1F77B4"/>
              </a:solidFill>
              <a:ln xmlns:a="http://schemas.openxmlformats.org/drawingml/2006/main">
                <a:solidFill>
                  <a:srgbClr val="1F77B4"/>
                </a:solidFill>
                <a:prstDash val="solid"/>
              </a:ln>
            </spPr>
          </marker>
          <cat>
            <numRef>
              <f>'Tabla hombres'!$B$9:$B$25</f>
            </numRef>
          </cat>
          <val>
            <numRef>
              <f>'Tabla hombres'!$O$9:$O$25</f>
            </numRef>
          </val>
          <smooth val="0"/>
        </ser>
        <ser>
          <idx val="1"/>
          <order val="1"/>
          <tx>
            <v>Mujeres</v>
          </tx>
          <spPr>
            <a:ln xmlns:a="http://schemas.openxmlformats.org/drawingml/2006/main" w="22000">
              <a:solidFill>
                <a:srgbClr val="D95F02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D95F02"/>
              </a:solidFill>
              <a:ln xmlns:a="http://schemas.openxmlformats.org/drawingml/2006/main">
                <a:solidFill>
                  <a:srgbClr val="D95F02"/>
                </a:solidFill>
                <a:prstDash val="solid"/>
              </a:ln>
            </spPr>
          </marker>
          <cat>
            <numRef>
              <f>'Tabla hombres'!$B$9:$B$25</f>
            </numRef>
          </cat>
          <val>
            <numRef>
              <f>'Tabla mujeres'!$O$9:$O$25</f>
            </numRef>
          </val>
          <smooth val="0"/>
        </ser>
        <ser>
          <idx val="2"/>
          <order val="2"/>
          <tx>
            <v>Ambos sexos</v>
          </tx>
          <spPr>
            <a:ln xmlns:a="http://schemas.openxmlformats.org/drawingml/2006/main" w="22000">
              <a:solidFill>
                <a:srgbClr val="595959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595959"/>
              </a:solidFill>
              <a:ln xmlns:a="http://schemas.openxmlformats.org/drawingml/2006/main">
                <a:solidFill>
                  <a:srgbClr val="595959"/>
                </a:solidFill>
                <a:prstDash val="solid"/>
              </a:ln>
            </spPr>
          </marker>
          <cat>
            <numRef>
              <f>'Tabla hombres'!$B$9:$B$25</f>
            </numRef>
          </cat>
          <val>
            <numRef>
              <f>'Tabla ambos sexos'!$O$9:$O$25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Edad (grupo)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 (años)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Probabilidad de morir nqx (escala log, sin 75+)</a:t>
            </a:r>
          </a:p>
        </rich>
      </tx>
    </title>
    <plotArea>
      <lineChart>
        <grouping val="standard"/>
        <ser>
          <idx val="0"/>
          <order val="0"/>
          <tx>
            <v>Hombres</v>
          </tx>
          <spPr>
            <a:ln xmlns:a="http://schemas.openxmlformats.org/drawingml/2006/main" w="22000">
              <a:solidFill>
                <a:srgbClr val="1F77B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1F77B4"/>
              </a:solidFill>
              <a:ln xmlns:a="http://schemas.openxmlformats.org/drawingml/2006/main">
                <a:solidFill>
                  <a:srgbClr val="1F77B4"/>
                </a:solidFill>
                <a:prstDash val="solid"/>
              </a:ln>
            </spPr>
          </marker>
          <cat>
            <numRef>
              <f>'Tabla hombres'!$B$9:$B$24</f>
            </numRef>
          </cat>
          <val>
            <numRef>
              <f>'Tabla hombres'!$I$9:$I$24</f>
            </numRef>
          </val>
          <smooth val="0"/>
        </ser>
        <ser>
          <idx val="1"/>
          <order val="1"/>
          <tx>
            <v>Mujeres</v>
          </tx>
          <spPr>
            <a:ln xmlns:a="http://schemas.openxmlformats.org/drawingml/2006/main" w="22000">
              <a:solidFill>
                <a:srgbClr val="D95F02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D95F02"/>
              </a:solidFill>
              <a:ln xmlns:a="http://schemas.openxmlformats.org/drawingml/2006/main">
                <a:solidFill>
                  <a:srgbClr val="D95F02"/>
                </a:solidFill>
                <a:prstDash val="solid"/>
              </a:ln>
            </spPr>
          </marker>
          <cat>
            <numRef>
              <f>'Tabla hombres'!$B$9:$B$24</f>
            </numRef>
          </cat>
          <val>
            <numRef>
              <f>'Tabla mujeres'!$I$9:$I$24</f>
            </numRef>
          </val>
          <smooth val="0"/>
        </ser>
        <ser>
          <idx val="2"/>
          <order val="2"/>
          <tx>
            <v>Ambos sexos</v>
          </tx>
          <spPr>
            <a:ln xmlns:a="http://schemas.openxmlformats.org/drawingml/2006/main" w="22000">
              <a:solidFill>
                <a:srgbClr val="595959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595959"/>
              </a:solidFill>
              <a:ln xmlns:a="http://schemas.openxmlformats.org/drawingml/2006/main">
                <a:solidFill>
                  <a:srgbClr val="595959"/>
                </a:solidFill>
                <a:prstDash val="solid"/>
              </a:ln>
            </spPr>
          </marker>
          <cat>
            <numRef>
              <f>'Tabla hombres'!$B$9:$B$24</f>
            </numRef>
          </cat>
          <val>
            <numRef>
              <f>'Tabla ambos sexos'!$I$9:$I$24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Edad (grupo)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nqx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8</xdr:row>
      <xdr:rowOff>184973</xdr:rowOff>
    </xdr:from>
    <xdr:to>
      <xdr:col>5</xdr:col>
      <xdr:colOff>581025</xdr:colOff>
      <xdr:row>21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2C612C-3936-4732-9A60-CB1C4A661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1994723"/>
          <a:ext cx="5200650" cy="2367727"/>
        </a:xfrm>
        <a:prstGeom prst="rect">
          <a:avLst/>
        </a:prstGeom>
      </xdr:spPr>
    </xdr:pic>
    <xdr:clientData/>
  </xdr:twoCellAnchor>
  <xdr:twoCellAnchor editAs="oneCell">
    <xdr:from>
      <xdr:col>0</xdr:col>
      <xdr:colOff>733425</xdr:colOff>
      <xdr:row>21</xdr:row>
      <xdr:rowOff>160367</xdr:rowOff>
    </xdr:from>
    <xdr:to>
      <xdr:col>11</xdr:col>
      <xdr:colOff>112940</xdr:colOff>
      <xdr:row>33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0522C3-EEB8-4B9E-8D6B-27BA603BA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446617"/>
          <a:ext cx="10257065" cy="21351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9</xdr:col>
      <xdr:colOff>446315</xdr:colOff>
      <xdr:row>103</xdr:row>
      <xdr:rowOff>171450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B306FC3-F80E-432A-BBDD-A81BE0DA1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11430000"/>
          <a:ext cx="9037865" cy="874395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58</xdr:row>
      <xdr:rowOff>0</xdr:rowOff>
    </xdr:from>
    <xdr:to>
      <xdr:col>22</xdr:col>
      <xdr:colOff>742950</xdr:colOff>
      <xdr:row>100</xdr:row>
      <xdr:rowOff>76200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5ADCB0F-D442-4CB5-A3F0-584629E16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39550" y="11430000"/>
          <a:ext cx="8362950" cy="8077200"/>
        </a:xfrm>
        <a:prstGeom prst="rect">
          <a:avLst/>
        </a:prstGeom>
      </xdr:spPr>
    </xdr:pic>
    <xdr:clientData/>
  </xdr:twoCellAnchor>
</xdr:wsDr>
</file>

<file path=xl/drawings/drawing2.xml><?xml version="1.0" encoding="utf-8"?>
<wsDr xmlns="http://schemas.openxmlformats.org/drawingml/2006/spreadsheetDrawing">
  <oneCellAnchor>
    <from>
      <col>6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36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inegi.org.mx/programas/eic/2025/" TargetMode="External" Id="rId1"/><Relationship Type="http://schemas.openxmlformats.org/officeDocument/2006/relationships/hyperlink" Target="https://www.inegi.org.mx/sistemas/olap/Proyectos/bd/continuas/mortalidad/MortalidadGeneral.asp?" TargetMode="External" Id="rId2"/><Relationship Type="http://schemas.openxmlformats.org/officeDocument/2006/relationships/hyperlink" Target="https://www.inegi.org.mx/sistemas/olap/consulta/general_ver4/MDXQueryDatos.asp?" TargetMode="External" Id="rId3"/><Relationship Type="http://schemas.openxmlformats.org/officeDocument/2006/relationships/drawing" Target="/xl/drawings/drawing1.xml" Id="rId4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U127"/>
  <sheetViews>
    <sheetView zoomScale="70" zoomScaleNormal="70" workbookViewId="0">
      <selection activeCell="F127" sqref="F127"/>
    </sheetView>
  </sheetViews>
  <sheetFormatPr baseColWidth="10" defaultRowHeight="15"/>
  <cols>
    <col width="11.42578125" customWidth="1" style="1" min="1" max="1"/>
    <col width="22.28515625" customWidth="1" style="1" min="2" max="2"/>
    <col width="11.42578125" customWidth="1" style="1" min="3" max="4"/>
    <col width="23.42578125" customWidth="1" style="1" min="5" max="5"/>
    <col width="20.85546875" customWidth="1" style="1" min="6" max="6"/>
    <col width="11.5703125" bestFit="1" customWidth="1" style="1" min="7" max="7"/>
    <col width="16.28515625" bestFit="1" customWidth="1" style="1" min="8" max="8"/>
    <col width="11.5703125" bestFit="1" customWidth="1" style="1" min="9" max="9"/>
    <col width="11.42578125" customWidth="1" style="1" min="10" max="16384"/>
  </cols>
  <sheetData>
    <row r="2" ht="28.5" customHeight="1">
      <c r="B2" s="13" t="inlineStr">
        <is>
          <t>TABLAS DE MORTALIDAD</t>
        </is>
      </c>
    </row>
    <row r="3" ht="16.5" customHeight="1">
      <c r="B3" s="2" t="inlineStr">
        <is>
          <t>Aplicación de "Tablas Transversales Abreviadas" con datos de INEGI 2025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 ht="16.5" customHeight="1">
      <c r="B4" s="2" t="inlineStr">
        <is>
          <t>Cohorte ficticio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6" ht="18.75" customHeight="1">
      <c r="B6" s="3" t="inlineStr">
        <is>
          <t>Poblacionales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18.75" customHeight="1">
      <c r="B7" s="3" t="inlineStr">
        <is>
          <t>Encuesta Intercensal (EIC) 2025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B8" s="4" t="inlineStr">
        <is>
          <t>https://www.inegi.org.mx/programas/eic/2025/#tabulados</t>
        </is>
      </c>
    </row>
    <row r="35">
      <c r="B35" s="22" t="inlineStr">
        <is>
          <t>Tamaño de localidad</t>
        </is>
      </c>
      <c r="C35" s="22" t="inlineStr">
        <is>
          <t>Grupos quinquenales de edad</t>
        </is>
      </c>
      <c r="D35" s="22" t="inlineStr">
        <is>
          <t>Estimador</t>
        </is>
      </c>
      <c r="E35" s="23" t="inlineStr">
        <is>
          <t>Población total en viviendas particulares habitadas</t>
        </is>
      </c>
      <c r="F35" s="19" t="inlineStr">
        <is>
          <t>Mujeres</t>
        </is>
      </c>
      <c r="G35" s="24" t="n"/>
      <c r="H35" s="25" t="inlineStr">
        <is>
          <t>Hombres</t>
        </is>
      </c>
      <c r="I35" s="26" t="n"/>
    </row>
    <row r="36">
      <c r="B36" s="27" t="n"/>
      <c r="C36" s="27" t="n"/>
      <c r="D36" s="27" t="n"/>
      <c r="E36" s="28" t="n"/>
      <c r="F36" s="5" t="inlineStr">
        <is>
          <t>Absolutos</t>
        </is>
      </c>
      <c r="G36" s="6" t="inlineStr">
        <is>
          <t>Relativos</t>
        </is>
      </c>
      <c r="H36" s="6" t="inlineStr">
        <is>
          <t>Absolutos</t>
        </is>
      </c>
      <c r="I36" s="7" t="inlineStr">
        <is>
          <t>Relativos</t>
        </is>
      </c>
    </row>
    <row r="37">
      <c r="B37" s="1" t="inlineStr">
        <is>
          <t>Estados Unidos Mexicanos</t>
        </is>
      </c>
      <c r="C37" s="1" t="inlineStr">
        <is>
          <t>00-04 años</t>
        </is>
      </c>
      <c r="D37" s="1" t="inlineStr">
        <is>
          <t>Valor</t>
        </is>
      </c>
      <c r="E37" s="8" t="n">
        <v>7569573</v>
      </c>
      <c r="F37" s="8" t="n">
        <v>3741386</v>
      </c>
      <c r="G37" s="8" t="n">
        <v>49.426645</v>
      </c>
      <c r="H37" s="8" t="n">
        <v>3828187</v>
      </c>
      <c r="I37" s="8" t="n">
        <v>50.573355</v>
      </c>
    </row>
    <row r="38">
      <c r="B38" s="9" t="inlineStr">
        <is>
          <t>Estados Unidos Mexicanos</t>
        </is>
      </c>
      <c r="C38" s="9" t="inlineStr">
        <is>
          <t>05-09 años</t>
        </is>
      </c>
      <c r="D38" s="9" t="inlineStr">
        <is>
          <t>Valor</t>
        </is>
      </c>
      <c r="E38" s="10" t="n">
        <v>9669960</v>
      </c>
      <c r="F38" s="10" t="n">
        <v>4785294</v>
      </c>
      <c r="G38" s="10" t="n">
        <v>49.486182</v>
      </c>
      <c r="H38" s="10" t="n">
        <v>4884666</v>
      </c>
      <c r="I38" s="10" t="n">
        <v>50.513818</v>
      </c>
    </row>
    <row r="39">
      <c r="B39" s="9" t="inlineStr">
        <is>
          <t>Estados Unidos Mexicanos</t>
        </is>
      </c>
      <c r="C39" s="9" t="inlineStr">
        <is>
          <t>10-14 años</t>
        </is>
      </c>
      <c r="D39" s="9" t="inlineStr">
        <is>
          <t>Valor</t>
        </is>
      </c>
      <c r="E39" s="10" t="n">
        <v>10885388</v>
      </c>
      <c r="F39" s="10" t="n">
        <v>5353603</v>
      </c>
      <c r="G39" s="10" t="n">
        <v>49.181554</v>
      </c>
      <c r="H39" s="10" t="n">
        <v>5531785</v>
      </c>
      <c r="I39" s="10" t="n">
        <v>50.818446</v>
      </c>
    </row>
    <row r="40">
      <c r="B40" s="9" t="inlineStr">
        <is>
          <t>Estados Unidos Mexicanos</t>
        </is>
      </c>
      <c r="C40" s="9" t="inlineStr">
        <is>
          <t>15-19 años</t>
        </is>
      </c>
      <c r="D40" s="9" t="inlineStr">
        <is>
          <t>Valor</t>
        </is>
      </c>
      <c r="E40" s="10" t="n">
        <v>10833608</v>
      </c>
      <c r="F40" s="10" t="n">
        <v>5349921</v>
      </c>
      <c r="G40" s="10" t="n">
        <v>49.382634</v>
      </c>
      <c r="H40" s="10" t="n">
        <v>5483687</v>
      </c>
      <c r="I40" s="10" t="n">
        <v>50.617366</v>
      </c>
    </row>
    <row r="41">
      <c r="B41" s="9" t="inlineStr">
        <is>
          <t>Estados Unidos Mexicanos</t>
        </is>
      </c>
      <c r="C41" s="9" t="inlineStr">
        <is>
          <t>20-24 años</t>
        </is>
      </c>
      <c r="D41" s="9" t="inlineStr">
        <is>
          <t>Valor</t>
        </is>
      </c>
      <c r="E41" s="10" t="n">
        <v>10360929</v>
      </c>
      <c r="F41" s="10" t="n">
        <v>5319788</v>
      </c>
      <c r="G41" s="10" t="n">
        <v>51.344701</v>
      </c>
      <c r="H41" s="10" t="n">
        <v>5041141</v>
      </c>
      <c r="I41" s="10" t="n">
        <v>48.655299</v>
      </c>
    </row>
    <row r="42">
      <c r="B42" s="9" t="inlineStr">
        <is>
          <t>Estados Unidos Mexicanos</t>
        </is>
      </c>
      <c r="C42" s="9" t="inlineStr">
        <is>
          <t>25-29 años</t>
        </is>
      </c>
      <c r="D42" s="9" t="inlineStr">
        <is>
          <t>Valor</t>
        </is>
      </c>
      <c r="E42" s="10" t="n">
        <v>9810773</v>
      </c>
      <c r="F42" s="10" t="n">
        <v>5104330</v>
      </c>
      <c r="G42" s="10" t="n">
        <v>52.027807</v>
      </c>
      <c r="H42" s="10" t="n">
        <v>4706443</v>
      </c>
      <c r="I42" s="10" t="n">
        <v>47.972193</v>
      </c>
    </row>
    <row r="43">
      <c r="B43" s="9" t="inlineStr">
        <is>
          <t>Estados Unidos Mexicanos</t>
        </is>
      </c>
      <c r="C43" s="9" t="inlineStr">
        <is>
          <t>30-34 años</t>
        </is>
      </c>
      <c r="D43" s="9" t="inlineStr">
        <is>
          <t>Valor</t>
        </is>
      </c>
      <c r="E43" s="10" t="n">
        <v>10027553</v>
      </c>
      <c r="F43" s="10" t="n">
        <v>5282566</v>
      </c>
      <c r="G43" s="10" t="n">
        <v>52.680509</v>
      </c>
      <c r="H43" s="10" t="n">
        <v>4744987</v>
      </c>
      <c r="I43" s="10" t="n">
        <v>47.319491</v>
      </c>
    </row>
    <row r="44">
      <c r="B44" s="9" t="inlineStr">
        <is>
          <t>Estados Unidos Mexicanos</t>
        </is>
      </c>
      <c r="C44" s="9" t="inlineStr">
        <is>
          <t>35-39 años</t>
        </is>
      </c>
      <c r="D44" s="9" t="inlineStr">
        <is>
          <t>Valor</t>
        </is>
      </c>
      <c r="E44" s="10" t="n">
        <v>9620908</v>
      </c>
      <c r="F44" s="10" t="n">
        <v>5095386</v>
      </c>
      <c r="G44" s="10" t="n">
        <v>52.961592</v>
      </c>
      <c r="H44" s="10" t="n">
        <v>4525522</v>
      </c>
      <c r="I44" s="10" t="n">
        <v>47.038408</v>
      </c>
    </row>
    <row r="45">
      <c r="B45" s="9" t="inlineStr">
        <is>
          <t>Estados Unidos Mexicanos</t>
        </is>
      </c>
      <c r="C45" s="9" t="inlineStr">
        <is>
          <t>40-44 años</t>
        </is>
      </c>
      <c r="D45" s="9" t="inlineStr">
        <is>
          <t>Valor</t>
        </is>
      </c>
      <c r="E45" s="10" t="n">
        <v>8974041</v>
      </c>
      <c r="F45" s="10" t="n">
        <v>4742766</v>
      </c>
      <c r="G45" s="10" t="n">
        <v>52.849837</v>
      </c>
      <c r="H45" s="10" t="n">
        <v>4231275</v>
      </c>
      <c r="I45" s="10" t="n">
        <v>47.150163</v>
      </c>
    </row>
    <row r="46">
      <c r="B46" s="9" t="inlineStr">
        <is>
          <t>Estados Unidos Mexicanos</t>
        </is>
      </c>
      <c r="C46" s="9" t="inlineStr">
        <is>
          <t>45-49 años</t>
        </is>
      </c>
      <c r="D46" s="9" t="inlineStr">
        <is>
          <t>Valor</t>
        </is>
      </c>
      <c r="E46" s="10" t="n">
        <v>8374000</v>
      </c>
      <c r="F46" s="10" t="n">
        <v>4437822</v>
      </c>
      <c r="G46" s="10" t="n">
        <v>52.995247</v>
      </c>
      <c r="H46" s="10" t="n">
        <v>3936178</v>
      </c>
      <c r="I46" s="10" t="n">
        <v>47.004753</v>
      </c>
    </row>
    <row r="47">
      <c r="B47" s="9" t="inlineStr">
        <is>
          <t>Estados Unidos Mexicanos</t>
        </is>
      </c>
      <c r="C47" s="9" t="inlineStr">
        <is>
          <t>50-54 años</t>
        </is>
      </c>
      <c r="D47" s="9" t="inlineStr">
        <is>
          <t>Valor</t>
        </is>
      </c>
      <c r="E47" s="10" t="n">
        <v>8352139</v>
      </c>
      <c r="F47" s="10" t="n">
        <v>4409290</v>
      </c>
      <c r="G47" s="10" t="n">
        <v>52.792345</v>
      </c>
      <c r="H47" s="10" t="n">
        <v>3942849</v>
      </c>
      <c r="I47" s="10" t="n">
        <v>47.207655</v>
      </c>
    </row>
    <row r="48">
      <c r="B48" s="9" t="inlineStr">
        <is>
          <t>Estados Unidos Mexicanos</t>
        </is>
      </c>
      <c r="C48" s="9" t="inlineStr">
        <is>
          <t>55-59 años</t>
        </is>
      </c>
      <c r="D48" s="9" t="inlineStr">
        <is>
          <t>Valor</t>
        </is>
      </c>
      <c r="E48" s="10" t="n">
        <v>6709847</v>
      </c>
      <c r="F48" s="10" t="n">
        <v>3553454</v>
      </c>
      <c r="G48" s="10" t="n">
        <v>52.958793</v>
      </c>
      <c r="H48" s="10" t="n">
        <v>3156393</v>
      </c>
      <c r="I48" s="10" t="n">
        <v>47.041207</v>
      </c>
    </row>
    <row r="49">
      <c r="B49" s="9" t="inlineStr">
        <is>
          <t>Estados Unidos Mexicanos</t>
        </is>
      </c>
      <c r="C49" s="9" t="inlineStr">
        <is>
          <t>60-64 años</t>
        </is>
      </c>
      <c r="D49" s="9" t="inlineStr">
        <is>
          <t>Valor</t>
        </is>
      </c>
      <c r="E49" s="10" t="n">
        <v>5991546</v>
      </c>
      <c r="F49" s="10" t="n">
        <v>3257527</v>
      </c>
      <c r="G49" s="10" t="n">
        <v>54.368722</v>
      </c>
      <c r="H49" s="10" t="n">
        <v>2734019</v>
      </c>
      <c r="I49" s="10" t="n">
        <v>45.631278</v>
      </c>
    </row>
    <row r="50">
      <c r="B50" s="9" t="inlineStr">
        <is>
          <t>Estados Unidos Mexicanos</t>
        </is>
      </c>
      <c r="C50" s="9" t="inlineStr">
        <is>
          <t>65-69 años</t>
        </is>
      </c>
      <c r="D50" s="9" t="inlineStr">
        <is>
          <t>Valor</t>
        </is>
      </c>
      <c r="E50" s="10" t="n">
        <v>4829842</v>
      </c>
      <c r="F50" s="10" t="n">
        <v>2613496</v>
      </c>
      <c r="G50" s="10" t="n">
        <v>54.111418</v>
      </c>
      <c r="H50" s="10" t="n">
        <v>2216346</v>
      </c>
      <c r="I50" s="10" t="n">
        <v>45.888582</v>
      </c>
    </row>
    <row r="51">
      <c r="B51" s="9" t="inlineStr">
        <is>
          <t>Estados Unidos Mexicanos</t>
        </is>
      </c>
      <c r="C51" s="9" t="inlineStr">
        <is>
          <t>70-74 años</t>
        </is>
      </c>
      <c r="D51" s="9" t="inlineStr">
        <is>
          <t>Valor</t>
        </is>
      </c>
      <c r="E51" s="10" t="n">
        <v>3399855</v>
      </c>
      <c r="F51" s="10" t="n">
        <v>1838237</v>
      </c>
      <c r="G51" s="10" t="n">
        <v>54.0681</v>
      </c>
      <c r="H51" s="10" t="n">
        <v>1561618</v>
      </c>
      <c r="I51" s="10" t="n">
        <v>45.9319</v>
      </c>
    </row>
    <row r="52">
      <c r="B52" s="1" t="inlineStr">
        <is>
          <t>Estados Unidos Mexicanos</t>
        </is>
      </c>
      <c r="C52" s="1" t="inlineStr">
        <is>
          <t>75 años y más</t>
        </is>
      </c>
      <c r="D52" s="1" t="inlineStr">
        <is>
          <t>Valor</t>
        </is>
      </c>
      <c r="E52" s="8" t="n">
        <v>4964838</v>
      </c>
      <c r="F52" s="8" t="n">
        <v>2784501</v>
      </c>
      <c r="G52" s="8" t="n">
        <v>56.084428</v>
      </c>
      <c r="H52" s="8" t="n">
        <v>2180337</v>
      </c>
      <c r="I52" s="8" t="n">
        <v>43.915572</v>
      </c>
    </row>
    <row r="53" ht="18.75" customHeight="1">
      <c r="B53" s="3" t="inlineStr">
        <is>
          <t>Mortalidad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 ht="18.75" customHeight="1">
      <c r="B54" s="3" t="inlineStr">
        <is>
          <t>Encuesta Intercensal (EIC) 2025</t>
        </is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B55" s="4" t="inlineStr">
        <is>
          <t>https://www.inegi.org.mx/sistemas/olap/Proyectos/bd/continuas/mortalidad/MortalidadGeneral.asp?</t>
        </is>
      </c>
    </row>
    <row r="56">
      <c r="B56" s="4" t="inlineStr">
        <is>
          <t>https://www.inegi.org.mx/sistemas/olap/consulta/general_ver4/MDXQueryDatos.asp?#Regreso&amp;c=</t>
        </is>
      </c>
    </row>
    <row r="106">
      <c r="B106" s="5" t="inlineStr"/>
      <c r="C106" s="6" t="inlineStr">
        <is>
          <t>Total</t>
        </is>
      </c>
      <c r="D106" s="6" t="inlineStr">
        <is>
          <t>Hombre</t>
        </is>
      </c>
      <c r="E106" s="7" t="inlineStr">
        <is>
          <t>Mujer</t>
        </is>
      </c>
      <c r="F106" s="5" t="inlineStr">
        <is>
          <t>No especificado</t>
        </is>
      </c>
    </row>
    <row r="107">
      <c r="B107" t="inlineStr">
        <is>
          <t>Total</t>
        </is>
      </c>
      <c r="C107" s="11" t="inlineStr">
        <is>
          <t>762,494</t>
        </is>
      </c>
      <c r="D107" s="11" t="inlineStr">
        <is>
          <t>426,340</t>
        </is>
      </c>
      <c r="E107" s="11" t="inlineStr">
        <is>
          <t>335,625</t>
        </is>
      </c>
      <c r="F107" s="11" t="inlineStr">
        <is>
          <t>529</t>
        </is>
      </c>
    </row>
    <row r="108">
      <c r="B108" t="inlineStr">
        <is>
          <t>Menores de 1 año</t>
        </is>
      </c>
      <c r="C108" s="11" t="inlineStr">
        <is>
          <t>12,207</t>
        </is>
      </c>
      <c r="D108" s="11" t="inlineStr">
        <is>
          <t>6,864</t>
        </is>
      </c>
      <c r="E108" s="11" t="inlineStr">
        <is>
          <t>5,307</t>
        </is>
      </c>
      <c r="F108" s="11" t="inlineStr">
        <is>
          <t>36</t>
        </is>
      </c>
    </row>
    <row r="109">
      <c r="B109" t="inlineStr">
        <is>
          <t>1-4 años</t>
        </is>
      </c>
      <c r="C109" s="11" t="inlineStr">
        <is>
          <t>2,821</t>
        </is>
      </c>
      <c r="D109" s="11" t="inlineStr">
        <is>
          <t>1,514</t>
        </is>
      </c>
      <c r="E109" s="11" t="inlineStr">
        <is>
          <t>1,306</t>
        </is>
      </c>
      <c r="F109" s="11" t="inlineStr">
        <is>
          <t>1</t>
        </is>
      </c>
    </row>
    <row r="110">
      <c r="B110" s="9" t="inlineStr">
        <is>
          <t>5-9 años</t>
        </is>
      </c>
      <c r="C110" s="12" t="inlineStr">
        <is>
          <t>1,918</t>
        </is>
      </c>
      <c r="D110" s="12" t="inlineStr">
        <is>
          <t>1,087</t>
        </is>
      </c>
      <c r="E110" s="12" t="inlineStr">
        <is>
          <t>831</t>
        </is>
      </c>
      <c r="F110" s="12" t="inlineStr"/>
    </row>
    <row r="111">
      <c r="B111" s="9" t="inlineStr">
        <is>
          <t>10-14 años</t>
        </is>
      </c>
      <c r="C111" s="12" t="inlineStr">
        <is>
          <t>3,046</t>
        </is>
      </c>
      <c r="D111" s="12" t="inlineStr">
        <is>
          <t>1,734</t>
        </is>
      </c>
      <c r="E111" s="12" t="inlineStr">
        <is>
          <t>1,312</t>
        </is>
      </c>
      <c r="F111" s="12" t="inlineStr"/>
    </row>
    <row r="112">
      <c r="B112" s="9" t="inlineStr">
        <is>
          <t>15-19 años</t>
        </is>
      </c>
      <c r="C112" s="12" t="inlineStr">
        <is>
          <t>8,916</t>
        </is>
      </c>
      <c r="D112" s="12" t="inlineStr">
        <is>
          <t>6,652</t>
        </is>
      </c>
      <c r="E112" s="12" t="inlineStr">
        <is>
          <t>2,264</t>
        </is>
      </c>
      <c r="F112" s="12" t="inlineStr"/>
    </row>
    <row r="113">
      <c r="B113" s="9" t="inlineStr">
        <is>
          <t>20-24 años</t>
        </is>
      </c>
      <c r="C113" s="12" t="inlineStr">
        <is>
          <t>13,045</t>
        </is>
      </c>
      <c r="D113" s="12" t="inlineStr">
        <is>
          <t>10,260</t>
        </is>
      </c>
      <c r="E113" s="12" t="inlineStr">
        <is>
          <t>2,784</t>
        </is>
      </c>
      <c r="F113" s="12" t="inlineStr">
        <is>
          <t>1</t>
        </is>
      </c>
    </row>
    <row r="114">
      <c r="B114" s="9" t="inlineStr">
        <is>
          <t>25-29 años</t>
        </is>
      </c>
      <c r="C114" s="12" t="inlineStr">
        <is>
          <t>15,271</t>
        </is>
      </c>
      <c r="D114" s="12" t="inlineStr">
        <is>
          <t>11,793</t>
        </is>
      </c>
      <c r="E114" s="12" t="inlineStr">
        <is>
          <t>3,477</t>
        </is>
      </c>
      <c r="F114" s="12" t="inlineStr">
        <is>
          <t>1</t>
        </is>
      </c>
    </row>
    <row r="115">
      <c r="B115" s="9" t="inlineStr">
        <is>
          <t>30-34 años</t>
        </is>
      </c>
      <c r="C115" s="12" t="inlineStr">
        <is>
          <t>18,455</t>
        </is>
      </c>
      <c r="D115" s="12" t="inlineStr">
        <is>
          <t>13,802</t>
        </is>
      </c>
      <c r="E115" s="12" t="inlineStr">
        <is>
          <t>4,652</t>
        </is>
      </c>
      <c r="F115" s="12" t="inlineStr">
        <is>
          <t>1</t>
        </is>
      </c>
    </row>
    <row r="116">
      <c r="B116" s="9" t="inlineStr">
        <is>
          <t>35-39 años</t>
        </is>
      </c>
      <c r="C116" s="12" t="inlineStr">
        <is>
          <t>20,688</t>
        </is>
      </c>
      <c r="D116" s="12" t="inlineStr">
        <is>
          <t>14,902</t>
        </is>
      </c>
      <c r="E116" s="12" t="inlineStr">
        <is>
          <t>5,784</t>
        </is>
      </c>
      <c r="F116" s="12" t="inlineStr">
        <is>
          <t>2</t>
        </is>
      </c>
    </row>
    <row r="117">
      <c r="B117" s="9" t="inlineStr">
        <is>
          <t>40-44 años</t>
        </is>
      </c>
      <c r="C117" s="12" t="inlineStr">
        <is>
          <t>24,421</t>
        </is>
      </c>
      <c r="D117" s="12" t="inlineStr">
        <is>
          <t>16,673</t>
        </is>
      </c>
      <c r="E117" s="12" t="inlineStr">
        <is>
          <t>7,746</t>
        </is>
      </c>
      <c r="F117" s="12" t="inlineStr">
        <is>
          <t>2</t>
        </is>
      </c>
    </row>
    <row r="118">
      <c r="B118" s="9" t="inlineStr">
        <is>
          <t>45-49 años</t>
        </is>
      </c>
      <c r="C118" s="12" t="inlineStr">
        <is>
          <t>32,179</t>
        </is>
      </c>
      <c r="D118" s="12" t="inlineStr">
        <is>
          <t>20,907</t>
        </is>
      </c>
      <c r="E118" s="12" t="inlineStr">
        <is>
          <t>11,271</t>
        </is>
      </c>
      <c r="F118" s="12" t="inlineStr">
        <is>
          <t>1</t>
        </is>
      </c>
    </row>
    <row r="119">
      <c r="B119" s="9" t="inlineStr">
        <is>
          <t>50-54 años</t>
        </is>
      </c>
      <c r="C119" s="12" t="inlineStr">
        <is>
          <t>43,236</t>
        </is>
      </c>
      <c r="D119" s="12" t="inlineStr">
        <is>
          <t>27,195</t>
        </is>
      </c>
      <c r="E119" s="12" t="inlineStr">
        <is>
          <t>16,040</t>
        </is>
      </c>
      <c r="F119" s="12" t="inlineStr">
        <is>
          <t>1</t>
        </is>
      </c>
    </row>
    <row r="120">
      <c r="B120" s="9" t="inlineStr">
        <is>
          <t>55-59 años</t>
        </is>
      </c>
      <c r="C120" s="12" t="inlineStr">
        <is>
          <t>51,417</t>
        </is>
      </c>
      <c r="D120" s="12" t="inlineStr">
        <is>
          <t>31,028</t>
        </is>
      </c>
      <c r="E120" s="12" t="inlineStr">
        <is>
          <t>20,383</t>
        </is>
      </c>
      <c r="F120" s="12" t="inlineStr">
        <is>
          <t>6</t>
        </is>
      </c>
    </row>
    <row r="121">
      <c r="B121" s="9" t="inlineStr">
        <is>
          <t>60-64 años</t>
        </is>
      </c>
      <c r="C121" s="12" t="inlineStr">
        <is>
          <t>63,355</t>
        </is>
      </c>
      <c r="D121" s="12" t="inlineStr">
        <is>
          <t>36,647</t>
        </is>
      </c>
      <c r="E121" s="12" t="inlineStr">
        <is>
          <t>26,707</t>
        </is>
      </c>
      <c r="F121" s="12" t="inlineStr">
        <is>
          <t>1</t>
        </is>
      </c>
    </row>
    <row r="122">
      <c r="B122" s="9" t="inlineStr">
        <is>
          <t>65-69 años</t>
        </is>
      </c>
      <c r="C122" s="12" t="inlineStr">
        <is>
          <t>71,628</t>
        </is>
      </c>
      <c r="D122" s="12" t="inlineStr">
        <is>
          <t>40,351</t>
        </is>
      </c>
      <c r="E122" s="12" t="inlineStr">
        <is>
          <t>31,275</t>
        </is>
      </c>
      <c r="F122" s="12" t="inlineStr">
        <is>
          <t>2</t>
        </is>
      </c>
    </row>
    <row r="123">
      <c r="B123" s="9" t="inlineStr">
        <is>
          <t>70-74 años</t>
        </is>
      </c>
      <c r="C123" s="12" t="inlineStr">
        <is>
          <t>77,148</t>
        </is>
      </c>
      <c r="D123" s="12" t="inlineStr">
        <is>
          <t>41,883</t>
        </is>
      </c>
      <c r="E123" s="12" t="inlineStr">
        <is>
          <t>35,265</t>
        </is>
      </c>
      <c r="F123" s="12" t="inlineStr"/>
    </row>
    <row r="124">
      <c r="B124" t="inlineStr">
        <is>
          <t>75-79 años</t>
        </is>
      </c>
      <c r="C124" s="11" t="inlineStr">
        <is>
          <t>79,713</t>
        </is>
      </c>
      <c r="D124" s="11" t="inlineStr">
        <is>
          <t>41,969</t>
        </is>
      </c>
      <c r="E124" s="11" t="inlineStr">
        <is>
          <t>37,743</t>
        </is>
      </c>
      <c r="F124" s="11" t="inlineStr">
        <is>
          <t>1</t>
        </is>
      </c>
    </row>
    <row r="125">
      <c r="B125" t="inlineStr">
        <is>
          <t>80-84 años</t>
        </is>
      </c>
      <c r="C125" s="11" t="inlineStr">
        <is>
          <t>78,807</t>
        </is>
      </c>
      <c r="D125" s="11" t="inlineStr">
        <is>
          <t>38,943</t>
        </is>
      </c>
      <c r="E125" s="11" t="inlineStr">
        <is>
          <t>39,862</t>
        </is>
      </c>
      <c r="F125" s="11" t="inlineStr">
        <is>
          <t>2</t>
        </is>
      </c>
    </row>
    <row r="126">
      <c r="B126" t="inlineStr">
        <is>
          <t>85 años y más</t>
        </is>
      </c>
      <c r="C126" s="11" t="inlineStr">
        <is>
          <t>140,207</t>
        </is>
      </c>
      <c r="D126" s="11" t="inlineStr">
        <is>
          <t>58,901</t>
        </is>
      </c>
      <c r="E126" s="11" t="inlineStr">
        <is>
          <t>81,299</t>
        </is>
      </c>
      <c r="F126" s="11" t="inlineStr">
        <is>
          <t>7</t>
        </is>
      </c>
    </row>
    <row r="127">
      <c r="B127" t="inlineStr">
        <is>
          <t>No especificado</t>
        </is>
      </c>
      <c r="C127" s="11" t="inlineStr">
        <is>
          <t>4,016</t>
        </is>
      </c>
      <c r="D127" s="11" t="inlineStr">
        <is>
          <t>3,235</t>
        </is>
      </c>
      <c r="E127" s="11" t="inlineStr">
        <is>
          <t>317</t>
        </is>
      </c>
      <c r="F127" s="11" t="inlineStr">
        <is>
          <t>464</t>
        </is>
      </c>
    </row>
  </sheetData>
  <mergeCells count="7">
    <mergeCell ref="C35:C36"/>
    <mergeCell ref="H35:I35"/>
    <mergeCell ref="E35:E36"/>
    <mergeCell ref="B2:U2"/>
    <mergeCell ref="B35:B36"/>
    <mergeCell ref="D35:D36"/>
    <mergeCell ref="F35:G35"/>
  </mergeCells>
  <hyperlinks>
    <hyperlink xmlns:r="http://schemas.openxmlformats.org/officeDocument/2006/relationships" ref="B8" location="tabulados" r:id="rId1"/>
    <hyperlink xmlns:r="http://schemas.openxmlformats.org/officeDocument/2006/relationships" ref="B55" r:id="rId2"/>
    <hyperlink xmlns:r="http://schemas.openxmlformats.org/officeDocument/2006/relationships" ref="B56" location="Regreso&amp;c=" r:id="rId3"/>
  </hyperlinks>
  <pageMargins left="0.7" right="0.7" top="0.75" bottom="0.75" header="0.3" footer="0.3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0"/>
  <sheetViews>
    <sheetView showGridLines="0" tabSelected="1" zoomScale="85" workbookViewId="0">
      <selection activeCell="A1" sqref="A1"/>
    </sheetView>
  </sheetViews>
  <sheetFormatPr baseColWidth="10" defaultRowHeight="15"/>
  <cols>
    <col width="3" customWidth="1" min="1" max="1"/>
    <col width="3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0" customWidth="1" min="10" max="10"/>
    <col width="10" customWidth="1" min="11" max="11"/>
    <col width="3" customWidth="1" min="12" max="12"/>
  </cols>
  <sheetData>
    <row r="1">
      <c r="A1" s="29" t="n"/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</row>
    <row r="2" ht="30" customHeight="1">
      <c r="A2" s="29" t="n"/>
      <c r="B2" s="30" t="inlineStr">
        <is>
          <t>COHORTE FICTICIO</t>
        </is>
      </c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29" t="n"/>
    </row>
    <row r="3" ht="18" customHeight="1">
      <c r="A3" s="29" t="n"/>
      <c r="B3" s="32" t="inlineStr">
        <is>
          <t>Insumos de las "Tablas Transversales Abreviadas" con datos de INEGI 2025: Encuesta Intercensal (EIC) y defunciones registradas</t>
        </is>
      </c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29" t="n"/>
    </row>
    <row r="4">
      <c r="A4" s="29" t="n"/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</row>
    <row r="5" ht="30" customHeight="1">
      <c r="A5" s="29" t="n"/>
      <c r="B5" s="33" t="inlineStr">
        <is>
          <t>Radix de la cohorte ficticia (l0)</t>
        </is>
      </c>
      <c r="C5" s="29" t="n"/>
      <c r="D5" s="34" t="n">
        <v>100000</v>
      </c>
      <c r="E5" s="35" t="inlineStr">
        <is>
          <t>Supuesto: 100,000 nacimientos hipotéticos que viven toda su vida con las tasas de mortalidad de 2025 (cohorte ficticia). Se puede cambiar.</t>
        </is>
      </c>
      <c r="L5" s="29" t="n"/>
    </row>
    <row r="6">
      <c r="A6" s="29" t="n"/>
      <c r="B6" s="35" t="inlineStr">
        <is>
          <t>Letra azul sobre amarillo = supuesto que se puede cambiar. Todo lo demás son fórmulas que leen la hoja 'Fuentes de datos'.</t>
        </is>
      </c>
      <c r="L6" s="29" t="n"/>
    </row>
    <row r="7">
      <c r="A7" s="29" t="n"/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</row>
    <row r="8">
      <c r="A8" s="29" t="n"/>
      <c r="B8" s="36" t="inlineStr">
        <is>
          <t>A. Defunciones registradas 2025 (INEGI): se reparten el sexo y la edad no especificados</t>
        </is>
      </c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29" t="n"/>
    </row>
    <row r="9" ht="44" customHeight="1">
      <c r="A9" s="29" t="n"/>
      <c r="B9" s="35" t="inlineStr">
        <is>
          <t>Paso 1: el sexo no especificado se reparte entre hombres y mujeres en proporción a sus defunciones, edad por edad.  Paso 2: las defunciones de edad no especificada se reparten entre todas las edades en proporción a las ya ajustadas, por sexo. Las cifras de INEGI vienen como texto con comas; aquí se convierten a número.</t>
        </is>
      </c>
      <c r="L9" s="29" t="n"/>
    </row>
    <row r="10" ht="32" customHeight="1">
      <c r="A10" s="29" t="n"/>
      <c r="B10" s="37" t="inlineStr">
        <is>
          <t>Grupo de edad</t>
        </is>
      </c>
      <c r="C10" s="37" t="inlineStr">
        <is>
          <t>Hombres (INEGI)</t>
        </is>
      </c>
      <c r="D10" s="37" t="inlineStr">
        <is>
          <t>Mujeres (INEGI)</t>
        </is>
      </c>
      <c r="E10" s="37" t="inlineStr">
        <is>
          <t>Sexo no especificado</t>
        </is>
      </c>
      <c r="F10" s="37" t="inlineStr">
        <is>
          <t>Hombres (paso 1)</t>
        </is>
      </c>
      <c r="G10" s="37" t="inlineStr">
        <is>
          <t>Mujeres (paso 1)</t>
        </is>
      </c>
      <c r="H10" s="37" t="inlineStr">
        <is>
          <t>Hombres (paso 2)</t>
        </is>
      </c>
      <c r="I10" s="37" t="inlineStr">
        <is>
          <t>Mujeres (paso 2)</t>
        </is>
      </c>
      <c r="J10" s="29" t="n"/>
      <c r="K10" s="29" t="n"/>
      <c r="L10" s="29" t="n"/>
    </row>
    <row r="11">
      <c r="A11" s="29" t="n"/>
      <c r="B11" s="38" t="str">
        <f>'Fuentes de datos'!B108</f>
        <v>Menores de 1 año</v>
      </c>
      <c r="C11" s="39">
        <f>IF('Fuentes de datos'!D108="",0,VALUE(SUBSTITUTE('Fuentes de datos'!D108,",","")))</f>
        <v>6864</v>
      </c>
      <c r="D11" s="39">
        <f>IF('Fuentes de datos'!E108="",0,VALUE(SUBSTITUTE('Fuentes de datos'!E108,",","")))</f>
        <v>5307</v>
      </c>
      <c r="E11" s="39">
        <f>IF('Fuentes de datos'!F108="",0,VALUE(SUBSTITUTE('Fuentes de datos'!F108,",","")))</f>
        <v>36</v>
      </c>
      <c r="F11" s="40">
        <f>C11+E11*C11/(C11+D11)</f>
        <v>6884.30268671432</v>
      </c>
      <c r="G11" s="40">
        <f>D11+E11*D11/(C11+D11)</f>
        <v>5322.69731328568</v>
      </c>
      <c r="H11" s="40">
        <f>F11*$F$32</f>
        <v>6943.80979421679</v>
      </c>
      <c r="I11" s="40">
        <f>G11*$G$32</f>
        <v>5328.38625673684</v>
      </c>
      <c r="J11" s="29" t="n"/>
      <c r="K11" s="29" t="n"/>
      <c r="L11" s="29" t="n"/>
    </row>
    <row r="12">
      <c r="A12" s="29" t="n"/>
      <c r="B12" s="41" t="str">
        <f>'Fuentes de datos'!B109</f>
        <v>1-4 años</v>
      </c>
      <c r="C12" s="42">
        <f>IF('Fuentes de datos'!D109="",0,VALUE(SUBSTITUTE('Fuentes de datos'!D109,",","")))</f>
        <v>1514</v>
      </c>
      <c r="D12" s="42">
        <f>IF('Fuentes de datos'!E109="",0,VALUE(SUBSTITUTE('Fuentes de datos'!E109,",","")))</f>
        <v>1306</v>
      </c>
      <c r="E12" s="42">
        <f>IF('Fuentes de datos'!F109="",0,VALUE(SUBSTITUTE('Fuentes de datos'!F109,",","")))</f>
        <v>1</v>
      </c>
      <c r="F12" s="43">
        <f>C12+E12*C12/(C12+D12)</f>
        <v>1514.53687943262</v>
      </c>
      <c r="G12" s="43">
        <f>D12+E12*D12/(C12+D12)</f>
        <v>1306.46312056738</v>
      </c>
      <c r="H12" s="43">
        <f>F12*$F$32</f>
        <v>1527.62835913685</v>
      </c>
      <c r="I12" s="43">
        <f>G12*$G$32</f>
        <v>1307.85947928862</v>
      </c>
      <c r="J12" s="29" t="n"/>
      <c r="K12" s="29" t="n"/>
      <c r="L12" s="29" t="n"/>
    </row>
    <row r="13">
      <c r="A13" s="29" t="n"/>
      <c r="B13" s="38" t="str">
        <f>'Fuentes de datos'!B110</f>
        <v>5-9 años</v>
      </c>
      <c r="C13" s="39">
        <f>IF('Fuentes de datos'!D110="",0,VALUE(SUBSTITUTE('Fuentes de datos'!D110,",","")))</f>
        <v>1087</v>
      </c>
      <c r="D13" s="39">
        <f>IF('Fuentes de datos'!E110="",0,VALUE(SUBSTITUTE('Fuentes de datos'!E110,",","")))</f>
        <v>831</v>
      </c>
      <c r="E13" s="39">
        <f>IF('Fuentes de datos'!F110="",0,VALUE(SUBSTITUTE('Fuentes de datos'!F110,",","")))</f>
        <v>0</v>
      </c>
      <c r="F13" s="40">
        <f>C13+E13*C13/(C13+D13)</f>
        <v>1087</v>
      </c>
      <c r="G13" s="40">
        <f>D13+E13*D13/(C13+D13)</f>
        <v>831</v>
      </c>
      <c r="H13" s="40">
        <f>F13*$F$32</f>
        <v>1096.39590090657</v>
      </c>
      <c r="I13" s="40">
        <f>G13*$G$32</f>
        <v>831.888179757303</v>
      </c>
      <c r="J13" s="29" t="n"/>
      <c r="K13" s="29" t="n"/>
      <c r="L13" s="29" t="n"/>
    </row>
    <row r="14">
      <c r="A14" s="29" t="n"/>
      <c r="B14" s="41" t="str">
        <f>'Fuentes de datos'!B111</f>
        <v>10-14 años</v>
      </c>
      <c r="C14" s="42">
        <f>IF('Fuentes de datos'!D111="",0,VALUE(SUBSTITUTE('Fuentes de datos'!D111,",","")))</f>
        <v>1734</v>
      </c>
      <c r="D14" s="42">
        <f>IF('Fuentes de datos'!E111="",0,VALUE(SUBSTITUTE('Fuentes de datos'!E111,",","")))</f>
        <v>1312</v>
      </c>
      <c r="E14" s="42">
        <f>IF('Fuentes de datos'!F111="",0,VALUE(SUBSTITUTE('Fuentes de datos'!F111,",","")))</f>
        <v>0</v>
      </c>
      <c r="F14" s="43">
        <f>C14+E14*C14/(C14+D14)</f>
        <v>1734</v>
      </c>
      <c r="G14" s="43">
        <f>D14+E14*D14/(C14+D14)</f>
        <v>1312</v>
      </c>
      <c r="H14" s="43">
        <f>F14*$F$32</f>
        <v>1748.9884932585</v>
      </c>
      <c r="I14" s="43">
        <f>G14*$G$32</f>
        <v>1313.40227658433</v>
      </c>
      <c r="J14" s="29" t="n"/>
      <c r="K14" s="29" t="n"/>
      <c r="L14" s="29" t="n"/>
    </row>
    <row r="15">
      <c r="A15" s="29" t="n"/>
      <c r="B15" s="38" t="str">
        <f>'Fuentes de datos'!B112</f>
        <v>15-19 años</v>
      </c>
      <c r="C15" s="39">
        <f>IF('Fuentes de datos'!D112="",0,VALUE(SUBSTITUTE('Fuentes de datos'!D112,",","")))</f>
        <v>6652</v>
      </c>
      <c r="D15" s="39">
        <f>IF('Fuentes de datos'!E112="",0,VALUE(SUBSTITUTE('Fuentes de datos'!E112,",","")))</f>
        <v>2264</v>
      </c>
      <c r="E15" s="39">
        <f>IF('Fuentes de datos'!F112="",0,VALUE(SUBSTITUTE('Fuentes de datos'!F112,",","")))</f>
        <v>0</v>
      </c>
      <c r="F15" s="40">
        <f>C15+E15*C15/(C15+D15)</f>
        <v>6652</v>
      </c>
      <c r="G15" s="40">
        <f>D15+E15*D15/(C15+D15)</f>
        <v>2264</v>
      </c>
      <c r="H15" s="40">
        <f>F15*$F$32</f>
        <v>6709.49911023964</v>
      </c>
      <c r="I15" s="40">
        <f>G15*$G$32</f>
        <v>2266.41978215467</v>
      </c>
      <c r="J15" s="29" t="n"/>
      <c r="K15" s="29" t="n"/>
      <c r="L15" s="29" t="n"/>
    </row>
    <row r="16">
      <c r="A16" s="29" t="n"/>
      <c r="B16" s="41" t="str">
        <f>'Fuentes de datos'!B113</f>
        <v>20-24 años</v>
      </c>
      <c r="C16" s="42">
        <f>IF('Fuentes de datos'!D113="",0,VALUE(SUBSTITUTE('Fuentes de datos'!D113,",","")))</f>
        <v>10260</v>
      </c>
      <c r="D16" s="42">
        <f>IF('Fuentes de datos'!E113="",0,VALUE(SUBSTITUTE('Fuentes de datos'!E113,",","")))</f>
        <v>2784</v>
      </c>
      <c r="E16" s="42">
        <f>IF('Fuentes de datos'!F113="",0,VALUE(SUBSTITUTE('Fuentes de datos'!F113,",","")))</f>
        <v>1</v>
      </c>
      <c r="F16" s="43">
        <f>C16+E16*C16/(C16+D16)</f>
        <v>10260.7865685373</v>
      </c>
      <c r="G16" s="43">
        <f>D16+E16*D16/(C16+D16)</f>
        <v>2784.21343146274</v>
      </c>
      <c r="H16" s="43">
        <f>F16*$F$32</f>
        <v>10349.4796079314</v>
      </c>
      <c r="I16" s="43">
        <f>G16*$G$32</f>
        <v>2787.1892220883</v>
      </c>
      <c r="J16" s="29" t="n"/>
      <c r="K16" s="29" t="n"/>
      <c r="L16" s="29" t="n"/>
    </row>
    <row r="17">
      <c r="A17" s="29" t="n"/>
      <c r="B17" s="38" t="str">
        <f>'Fuentes de datos'!B114</f>
        <v>25-29 años</v>
      </c>
      <c r="C17" s="39">
        <f>IF('Fuentes de datos'!D114="",0,VALUE(SUBSTITUTE('Fuentes de datos'!D114,",","")))</f>
        <v>11793</v>
      </c>
      <c r="D17" s="39">
        <f>IF('Fuentes de datos'!E114="",0,VALUE(SUBSTITUTE('Fuentes de datos'!E114,",","")))</f>
        <v>3477</v>
      </c>
      <c r="E17" s="39">
        <f>IF('Fuentes de datos'!F114="",0,VALUE(SUBSTITUTE('Fuentes de datos'!F114,",","")))</f>
        <v>1</v>
      </c>
      <c r="F17" s="40">
        <f>C17+E17*C17/(C17+D17)</f>
        <v>11793.7722986248</v>
      </c>
      <c r="G17" s="40">
        <f>D17+E17*D17/(C17+D17)</f>
        <v>3477.22770137525</v>
      </c>
      <c r="H17" s="40">
        <f>F17*$F$32</f>
        <v>11895.7162874311</v>
      </c>
      <c r="I17" s="40">
        <f>G17*$G$32</f>
        <v>3480.94419145454</v>
      </c>
      <c r="J17" s="29" t="n"/>
      <c r="K17" s="29" t="n"/>
      <c r="L17" s="29" t="n"/>
    </row>
    <row r="18">
      <c r="A18" s="29" t="n"/>
      <c r="B18" s="41" t="str">
        <f>'Fuentes de datos'!B115</f>
        <v>30-34 años</v>
      </c>
      <c r="C18" s="42">
        <f>IF('Fuentes de datos'!D115="",0,VALUE(SUBSTITUTE('Fuentes de datos'!D115,",","")))</f>
        <v>13802</v>
      </c>
      <c r="D18" s="42">
        <f>IF('Fuentes de datos'!E115="",0,VALUE(SUBSTITUTE('Fuentes de datos'!E115,",","")))</f>
        <v>4652</v>
      </c>
      <c r="E18" s="42">
        <f>IF('Fuentes de datos'!F115="",0,VALUE(SUBSTITUTE('Fuentes de datos'!F115,",","")))</f>
        <v>1</v>
      </c>
      <c r="F18" s="43">
        <f>C18+E18*C18/(C18+D18)</f>
        <v>13802.7479137314</v>
      </c>
      <c r="G18" s="43">
        <f>D18+E18*D18/(C18+D18)</f>
        <v>4652.25208626856</v>
      </c>
      <c r="H18" s="43">
        <f>F18*$F$32</f>
        <v>13922.0572528628</v>
      </c>
      <c r="I18" s="43">
        <f>G18*$G$32</f>
        <v>4657.22445224798</v>
      </c>
      <c r="J18" s="29" t="n"/>
      <c r="K18" s="29" t="n"/>
      <c r="L18" s="29" t="n"/>
    </row>
    <row r="19">
      <c r="A19" s="29" t="n"/>
      <c r="B19" s="38" t="str">
        <f>'Fuentes de datos'!B116</f>
        <v>35-39 años</v>
      </c>
      <c r="C19" s="39">
        <f>IF('Fuentes de datos'!D116="",0,VALUE(SUBSTITUTE('Fuentes de datos'!D116,",","")))</f>
        <v>14902</v>
      </c>
      <c r="D19" s="39">
        <f>IF('Fuentes de datos'!E116="",0,VALUE(SUBSTITUTE('Fuentes de datos'!E116,",","")))</f>
        <v>5784</v>
      </c>
      <c r="E19" s="39">
        <f>IF('Fuentes de datos'!F116="",0,VALUE(SUBSTITUTE('Fuentes de datos'!F116,",","")))</f>
        <v>2</v>
      </c>
      <c r="F19" s="40">
        <f>C19+E19*C19/(C19+D19)</f>
        <v>14903.4407812047</v>
      </c>
      <c r="G19" s="40">
        <f>D19+E19*D19/(C19+D19)</f>
        <v>5784.55921879532</v>
      </c>
      <c r="H19" s="40">
        <f>F19*$F$32</f>
        <v>15032.264380788</v>
      </c>
      <c r="I19" s="40">
        <f>G19*$G$32</f>
        <v>5790.74180411789</v>
      </c>
      <c r="J19" s="29" t="n"/>
      <c r="K19" s="29" t="n"/>
      <c r="L19" s="29" t="n"/>
    </row>
    <row r="20">
      <c r="A20" s="29" t="n"/>
      <c r="B20" s="41" t="str">
        <f>'Fuentes de datos'!B117</f>
        <v>40-44 años</v>
      </c>
      <c r="C20" s="42">
        <f>IF('Fuentes de datos'!D117="",0,VALUE(SUBSTITUTE('Fuentes de datos'!D117,",","")))</f>
        <v>16673</v>
      </c>
      <c r="D20" s="42">
        <f>IF('Fuentes de datos'!E117="",0,VALUE(SUBSTITUTE('Fuentes de datos'!E117,",","")))</f>
        <v>7746</v>
      </c>
      <c r="E20" s="42">
        <f>IF('Fuentes de datos'!F117="",0,VALUE(SUBSTITUTE('Fuentes de datos'!F117,",","")))</f>
        <v>2</v>
      </c>
      <c r="F20" s="43">
        <f>C20+E20*C20/(C20+D20)</f>
        <v>16674.3655759859</v>
      </c>
      <c r="G20" s="43">
        <f>D20+E20*D20/(C20+D20)</f>
        <v>7746.63442401409</v>
      </c>
      <c r="H20" s="43">
        <f>F20*$F$32</f>
        <v>16818.4968424366</v>
      </c>
      <c r="I20" s="43">
        <f>G20*$G$32</f>
        <v>7754.91409174289</v>
      </c>
      <c r="J20" s="29" t="n"/>
      <c r="K20" s="29" t="n"/>
      <c r="L20" s="29" t="n"/>
    </row>
    <row r="21">
      <c r="A21" s="29" t="n"/>
      <c r="B21" s="38" t="str">
        <f>'Fuentes de datos'!B118</f>
        <v>45-49 años</v>
      </c>
      <c r="C21" s="39">
        <f>IF('Fuentes de datos'!D118="",0,VALUE(SUBSTITUTE('Fuentes de datos'!D118,",","")))</f>
        <v>20907</v>
      </c>
      <c r="D21" s="39">
        <f>IF('Fuentes de datos'!E118="",0,VALUE(SUBSTITUTE('Fuentes de datos'!E118,",","")))</f>
        <v>11271</v>
      </c>
      <c r="E21" s="39">
        <f>IF('Fuentes de datos'!F118="",0,VALUE(SUBSTITUTE('Fuentes de datos'!F118,",","")))</f>
        <v>1</v>
      </c>
      <c r="F21" s="40">
        <f>C21+E21*C21/(C21+D21)</f>
        <v>20907.6497296289</v>
      </c>
      <c r="G21" s="40">
        <f>D21+E21*D21/(C21+D21)</f>
        <v>11271.3502703711</v>
      </c>
      <c r="H21" s="40">
        <f>F21*$F$32</f>
        <v>21088.3730093427</v>
      </c>
      <c r="I21" s="40">
        <f>G21*$G$32</f>
        <v>11283.3971839061</v>
      </c>
      <c r="J21" s="29" t="n"/>
      <c r="K21" s="29" t="n"/>
      <c r="L21" s="29" t="n"/>
    </row>
    <row r="22">
      <c r="A22" s="29" t="n"/>
      <c r="B22" s="41" t="str">
        <f>'Fuentes de datos'!B119</f>
        <v>50-54 años</v>
      </c>
      <c r="C22" s="42">
        <f>IF('Fuentes de datos'!D119="",0,VALUE(SUBSTITUTE('Fuentes de datos'!D119,",","")))</f>
        <v>27195</v>
      </c>
      <c r="D22" s="42">
        <f>IF('Fuentes de datos'!E119="",0,VALUE(SUBSTITUTE('Fuentes de datos'!E119,",","")))</f>
        <v>16040</v>
      </c>
      <c r="E22" s="42">
        <f>IF('Fuentes de datos'!F119="",0,VALUE(SUBSTITUTE('Fuentes de datos'!F119,",","")))</f>
        <v>1</v>
      </c>
      <c r="F22" s="43">
        <f>C22+E22*C22/(C22+D22)</f>
        <v>27195.6290042789</v>
      </c>
      <c r="G22" s="43">
        <f>D22+E22*D22/(C22+D22)</f>
        <v>16040.3709957211</v>
      </c>
      <c r="H22" s="43">
        <f>F22*$F$32</f>
        <v>27430.7048416441</v>
      </c>
      <c r="I22" s="43">
        <f>G22*$G$32</f>
        <v>16057.5150785346</v>
      </c>
      <c r="J22" s="29" t="n"/>
      <c r="K22" s="29" t="n"/>
      <c r="L22" s="29" t="n"/>
    </row>
    <row r="23">
      <c r="A23" s="29" t="n"/>
      <c r="B23" s="38" t="str">
        <f>'Fuentes de datos'!B120</f>
        <v>55-59 años</v>
      </c>
      <c r="C23" s="39">
        <f>IF('Fuentes de datos'!D120="",0,VALUE(SUBSTITUTE('Fuentes de datos'!D120,",","")))</f>
        <v>31028</v>
      </c>
      <c r="D23" s="39">
        <f>IF('Fuentes de datos'!E120="",0,VALUE(SUBSTITUTE('Fuentes de datos'!E120,",","")))</f>
        <v>20383</v>
      </c>
      <c r="E23" s="39">
        <f>IF('Fuentes de datos'!F120="",0,VALUE(SUBSTITUTE('Fuentes de datos'!F120,",","")))</f>
        <v>6</v>
      </c>
      <c r="F23" s="40">
        <f>C23+E23*C23/(C23+D23)</f>
        <v>31031.6211705666</v>
      </c>
      <c r="G23" s="40">
        <f>D23+E23*D23/(C23+D23)</f>
        <v>20385.3788294334</v>
      </c>
      <c r="H23" s="40">
        <f>F23*$F$32</f>
        <v>31299.8548757081</v>
      </c>
      <c r="I23" s="40">
        <f>G23*$G$32</f>
        <v>20407.1668929969</v>
      </c>
      <c r="J23" s="29" t="n"/>
      <c r="K23" s="29" t="n"/>
      <c r="L23" s="29" t="n"/>
    </row>
    <row r="24">
      <c r="A24" s="29" t="n"/>
      <c r="B24" s="41" t="str">
        <f>'Fuentes de datos'!B121</f>
        <v>60-64 años</v>
      </c>
      <c r="C24" s="42">
        <f>IF('Fuentes de datos'!D121="",0,VALUE(SUBSTITUTE('Fuentes de datos'!D121,",","")))</f>
        <v>36647</v>
      </c>
      <c r="D24" s="42">
        <f>IF('Fuentes de datos'!E121="",0,VALUE(SUBSTITUTE('Fuentes de datos'!E121,",","")))</f>
        <v>26707</v>
      </c>
      <c r="E24" s="42">
        <f>IF('Fuentes de datos'!F121="",0,VALUE(SUBSTITUTE('Fuentes de datos'!F121,",","")))</f>
        <v>1</v>
      </c>
      <c r="F24" s="43">
        <f>C24+E24*C24/(C24+D24)</f>
        <v>36647.5784480854</v>
      </c>
      <c r="G24" s="43">
        <f>D24+E24*D24/(C24+D24)</f>
        <v>26707.4215519146</v>
      </c>
      <c r="H24" s="43">
        <f>F24*$F$32</f>
        <v>36964.3558313088</v>
      </c>
      <c r="I24" s="43">
        <f>G24*$G$32</f>
        <v>26735.9666676694</v>
      </c>
      <c r="J24" s="29" t="n"/>
      <c r="K24" s="29" t="n"/>
      <c r="L24" s="29" t="n"/>
    </row>
    <row r="25">
      <c r="A25" s="29" t="n"/>
      <c r="B25" s="38" t="str">
        <f>'Fuentes de datos'!B122</f>
        <v>65-69 años</v>
      </c>
      <c r="C25" s="39">
        <f>IF('Fuentes de datos'!D122="",0,VALUE(SUBSTITUTE('Fuentes de datos'!D122,",","")))</f>
        <v>40351</v>
      </c>
      <c r="D25" s="39">
        <f>IF('Fuentes de datos'!E122="",0,VALUE(SUBSTITUTE('Fuentes de datos'!E122,",","")))</f>
        <v>31275</v>
      </c>
      <c r="E25" s="39">
        <f>IF('Fuentes de datos'!F122="",0,VALUE(SUBSTITUTE('Fuentes de datos'!F122,",","")))</f>
        <v>2</v>
      </c>
      <c r="F25" s="40">
        <f>C25+E25*C25/(C25+D25)</f>
        <v>40352.1267137632</v>
      </c>
      <c r="G25" s="40">
        <f>D25+E25*D25/(C25+D25)</f>
        <v>31275.8732862368</v>
      </c>
      <c r="H25" s="40">
        <f>F25*$F$32</f>
        <v>40700.9257790546</v>
      </c>
      <c r="I25" s="40">
        <f>G25*$G$32</f>
        <v>31309.3012014532</v>
      </c>
      <c r="J25" s="29" t="n"/>
      <c r="K25" s="29" t="n"/>
      <c r="L25" s="29" t="n"/>
    </row>
    <row r="26">
      <c r="A26" s="29" t="n"/>
      <c r="B26" s="41" t="str">
        <f>'Fuentes de datos'!B123</f>
        <v>70-74 años</v>
      </c>
      <c r="C26" s="42">
        <f>IF('Fuentes de datos'!D123="",0,VALUE(SUBSTITUTE('Fuentes de datos'!D123,",","")))</f>
        <v>41883</v>
      </c>
      <c r="D26" s="42">
        <f>IF('Fuentes de datos'!E123="",0,VALUE(SUBSTITUTE('Fuentes de datos'!E123,",","")))</f>
        <v>35265</v>
      </c>
      <c r="E26" s="42">
        <f>IF('Fuentes de datos'!F123="",0,VALUE(SUBSTITUTE('Fuentes de datos'!F123,",","")))</f>
        <v>0</v>
      </c>
      <c r="F26" s="43">
        <f>C26+E26*C26/(C26+D26)</f>
        <v>41883</v>
      </c>
      <c r="G26" s="43">
        <f>D26+E26*D26/(C26+D26)</f>
        <v>35265</v>
      </c>
      <c r="H26" s="43">
        <f>F26*$F$32</f>
        <v>42245.031754986</v>
      </c>
      <c r="I26" s="43">
        <f>G26*$G$32</f>
        <v>35302.6915272458</v>
      </c>
      <c r="J26" s="29" t="n"/>
      <c r="K26" s="29" t="n"/>
      <c r="L26" s="29" t="n"/>
    </row>
    <row r="27">
      <c r="A27" s="29" t="n"/>
      <c r="B27" s="38" t="str">
        <f>'Fuentes de datos'!B124</f>
        <v>75-79 años</v>
      </c>
      <c r="C27" s="39">
        <f>IF('Fuentes de datos'!D124="",0,VALUE(SUBSTITUTE('Fuentes de datos'!D124,",","")))</f>
        <v>41969</v>
      </c>
      <c r="D27" s="39">
        <f>IF('Fuentes de datos'!E124="",0,VALUE(SUBSTITUTE('Fuentes de datos'!E124,",","")))</f>
        <v>37743</v>
      </c>
      <c r="E27" s="39">
        <f>IF('Fuentes de datos'!F124="",0,VALUE(SUBSTITUTE('Fuentes de datos'!F124,",","")))</f>
        <v>1</v>
      </c>
      <c r="F27" s="40">
        <f>C27+E27*C27/(C27+D27)</f>
        <v>41969.5265079285</v>
      </c>
      <c r="G27" s="40">
        <f>D27+E27*D27/(C27+D27)</f>
        <v>37743.4734920715</v>
      </c>
      <c r="H27" s="40">
        <f>F27*$F$32</f>
        <v>42332.3061879323</v>
      </c>
      <c r="I27" s="40">
        <f>G27*$G$32</f>
        <v>37783.8140325359</v>
      </c>
      <c r="J27" s="29" t="n"/>
      <c r="K27" s="29" t="n"/>
      <c r="L27" s="29" t="n"/>
    </row>
    <row r="28">
      <c r="A28" s="29" t="n"/>
      <c r="B28" s="41" t="str">
        <f>'Fuentes de datos'!B125</f>
        <v>80-84 años</v>
      </c>
      <c r="C28" s="42">
        <f>IF('Fuentes de datos'!D125="",0,VALUE(SUBSTITUTE('Fuentes de datos'!D125,",","")))</f>
        <v>38943</v>
      </c>
      <c r="D28" s="42">
        <f>IF('Fuentes de datos'!E125="",0,VALUE(SUBSTITUTE('Fuentes de datos'!E125,",","")))</f>
        <v>39862</v>
      </c>
      <c r="E28" s="42">
        <f>IF('Fuentes de datos'!F125="",0,VALUE(SUBSTITUTE('Fuentes de datos'!F125,",","")))</f>
        <v>2</v>
      </c>
      <c r="F28" s="43">
        <f>C28+E28*C28/(C28+D28)</f>
        <v>38943.9883383034</v>
      </c>
      <c r="G28" s="43">
        <f>D28+E28*D28/(C28+D28)</f>
        <v>39863.0116616966</v>
      </c>
      <c r="H28" s="43">
        <f>F28*$F$32</f>
        <v>39280.6156201187</v>
      </c>
      <c r="I28" s="43">
        <f>G28*$G$32</f>
        <v>39905.6175823019</v>
      </c>
      <c r="J28" s="29" t="n"/>
      <c r="K28" s="29" t="n"/>
      <c r="L28" s="29" t="n"/>
    </row>
    <row r="29">
      <c r="A29" s="29" t="n"/>
      <c r="B29" s="38" t="str">
        <f>'Fuentes de datos'!B126</f>
        <v>85 años y más</v>
      </c>
      <c r="C29" s="39">
        <f>IF('Fuentes de datos'!D126="",0,VALUE(SUBSTITUTE('Fuentes de datos'!D126,",","")))</f>
        <v>58901</v>
      </c>
      <c r="D29" s="39">
        <f>IF('Fuentes de datos'!E126="",0,VALUE(SUBSTITUTE('Fuentes de datos'!E126,",","")))</f>
        <v>81299</v>
      </c>
      <c r="E29" s="39">
        <f>IF('Fuentes de datos'!F126="",0,VALUE(SUBSTITUTE('Fuentes de datos'!F126,",","")))</f>
        <v>7</v>
      </c>
      <c r="F29" s="40">
        <f>C29+E29*C29/(C29+D29)</f>
        <v>58903.9408487874</v>
      </c>
      <c r="G29" s="40">
        <f>D29+E29*D29/(C29+D29)</f>
        <v>81303.0591512126</v>
      </c>
      <c r="H29" s="40">
        <f>F29*$F$32</f>
        <v>59413.0996263601</v>
      </c>
      <c r="I29" s="40">
        <f>G29*$G$32</f>
        <v>81389.9565415193</v>
      </c>
      <c r="J29" s="29" t="n"/>
      <c r="K29" s="29" t="n"/>
      <c r="L29" s="29" t="n"/>
    </row>
    <row r="30">
      <c r="A30" s="29" t="n"/>
      <c r="B30" s="41" t="str">
        <f>'Fuentes de datos'!B127</f>
        <v>No especificado</v>
      </c>
      <c r="C30" s="42">
        <f>IF('Fuentes de datos'!D127="",0,VALUE(SUBSTITUTE('Fuentes de datos'!D127,",","")))</f>
        <v>3235</v>
      </c>
      <c r="D30" s="42">
        <f>IF('Fuentes de datos'!E127="",0,VALUE(SUBSTITUTE('Fuentes de datos'!E127,",","")))</f>
        <v>317</v>
      </c>
      <c r="E30" s="42">
        <f>IF('Fuentes de datos'!F127="",0,VALUE(SUBSTITUTE('Fuentes de datos'!F127,",","")))</f>
        <v>464</v>
      </c>
      <c r="F30" s="43">
        <f>C30+E30*C30/(C30+D30)</f>
        <v>3657.59009009009</v>
      </c>
      <c r="G30" s="43">
        <f>D30+E30*D30/(C30+D30)</f>
        <v>358.40990990991</v>
      </c>
      <c r="H30" s="41" t="n"/>
      <c r="I30" s="41" t="n"/>
      <c r="J30" s="29" t="n"/>
      <c r="K30" s="29" t="n"/>
      <c r="L30" s="29" t="n"/>
    </row>
    <row r="31">
      <c r="A31" s="29" t="n"/>
      <c r="B31" s="44" t="inlineStr">
        <is>
          <t>Total</t>
        </is>
      </c>
      <c r="C31" s="45">
        <f>SUM(C11:C30)</f>
        <v>426340</v>
      </c>
      <c r="D31" s="45">
        <f>SUM(D11:D30)</f>
        <v>335625</v>
      </c>
      <c r="E31" s="45">
        <f>SUM(E11:E30)</f>
        <v>529</v>
      </c>
      <c r="F31" s="46">
        <f>SUM(F11:F30)</f>
        <v>426799.603555664</v>
      </c>
      <c r="G31" s="46">
        <f>SUM(G11:G30)</f>
        <v>335694.396444336</v>
      </c>
      <c r="H31" s="46">
        <f>SUM(H11:H30)</f>
        <v>426799.603555664</v>
      </c>
      <c r="I31" s="46">
        <f>SUM(I11:I30)</f>
        <v>335694.396444336</v>
      </c>
      <c r="J31" s="29" t="n"/>
      <c r="K31" s="29" t="n"/>
      <c r="L31" s="29" t="n"/>
    </row>
    <row r="32">
      <c r="A32" s="29" t="n"/>
      <c r="B32" s="38" t="inlineStr">
        <is>
          <t>Factor del paso 2</t>
        </is>
      </c>
      <c r="C32" s="38" t="n"/>
      <c r="D32" s="38" t="n"/>
      <c r="E32" s="38" t="n"/>
      <c r="F32" s="47">
        <f>SUM(F11:F30)/SUM(F11:F29)</f>
        <v>1.00864388307872</v>
      </c>
      <c r="G32" s="47">
        <f>SUM(G11:G30)/SUM(G11:G29)</f>
        <v>1.00106880837221</v>
      </c>
      <c r="H32" s="29" t="n"/>
      <c r="I32" s="29" t="n"/>
      <c r="J32" s="29" t="n"/>
      <c r="K32" s="29" t="n"/>
      <c r="L32" s="29" t="n"/>
    </row>
    <row r="33">
      <c r="A33" s="29" t="n"/>
      <c r="B33" s="38" t="inlineStr">
        <is>
          <t>Control: H + M (paso 2) − total de INEGI</t>
        </is>
      </c>
      <c r="C33" s="29" t="n"/>
      <c r="D33" s="29" t="n"/>
      <c r="E33" s="29" t="n"/>
      <c r="F33" s="29" t="n"/>
      <c r="G33" s="29" t="n"/>
      <c r="H33" s="48">
        <f>ROUND(SUM(H11:I29)-IF('Fuentes de datos'!C107="",0,VALUE(SUBSTITUTE('Fuentes de datos'!C107,",",""))),6)</f>
        <v>0</v>
      </c>
      <c r="I33" s="35" t="inlineStr">
        <is>
          <t>← debe ser 0</t>
        </is>
      </c>
      <c r="L33" s="29" t="n"/>
    </row>
    <row r="34">
      <c r="A34" s="29" t="n"/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</row>
    <row r="35">
      <c r="A35" s="29" t="n"/>
      <c r="B35" s="36" t="inlineStr">
        <is>
          <t>B. Población (EIC 2025): se separan los menores de 1 año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29" t="n"/>
    </row>
    <row r="36" ht="44" customHeight="1">
      <c r="A36" s="29" t="n"/>
      <c r="B36" s="35" t="inlineStr">
        <is>
          <t>La EIC trae 0-4 años junto, y la tabla necesita el año 0 por separado. Supuesto: las cohortes de nacimiento crecen hacia atrás a tasa constante r, r = ln(P5-9 / P0-4) / 5; entonces la fracción de 0-4 con menos de 1 año es (e^r − 1) / (e^(5r) − 1).</t>
        </is>
      </c>
      <c r="L36" s="29" t="n"/>
    </row>
    <row r="37" ht="20" customHeight="1">
      <c r="A37" s="29" t="n"/>
      <c r="B37" s="37" t="inlineStr"/>
      <c r="C37" s="37" t="inlineStr">
        <is>
          <t>Hombres</t>
        </is>
      </c>
      <c r="D37" s="37" t="inlineStr">
        <is>
          <t>Mujeres</t>
        </is>
      </c>
      <c r="E37" s="29" t="n"/>
      <c r="F37" s="29" t="n"/>
      <c r="G37" s="29" t="n"/>
      <c r="H37" s="29" t="n"/>
      <c r="I37" s="29" t="n"/>
      <c r="J37" s="29" t="n"/>
      <c r="K37" s="29" t="n"/>
      <c r="L37" s="29" t="n"/>
    </row>
    <row r="38">
      <c r="A38" s="29" t="n"/>
      <c r="B38" s="41" t="inlineStr">
        <is>
          <t>Población 0-4</t>
        </is>
      </c>
      <c r="C38" s="42">
        <f>'Fuentes de datos'!H37</f>
        <v>3828187</v>
      </c>
      <c r="D38" s="42">
        <f>'Fuentes de datos'!F37</f>
        <v>3741386</v>
      </c>
      <c r="E38" s="29" t="n"/>
      <c r="F38" s="29" t="n"/>
      <c r="G38" s="29" t="n"/>
      <c r="H38" s="29" t="n"/>
      <c r="I38" s="29" t="n"/>
      <c r="J38" s="29" t="n"/>
      <c r="K38" s="29" t="n"/>
      <c r="L38" s="29" t="n"/>
    </row>
    <row r="39">
      <c r="A39" s="29" t="n"/>
      <c r="B39" s="38" t="inlineStr">
        <is>
          <t>Población 5-9</t>
        </is>
      </c>
      <c r="C39" s="39">
        <f>'Fuentes de datos'!H38</f>
        <v>4884666</v>
      </c>
      <c r="D39" s="39">
        <f>'Fuentes de datos'!F38</f>
        <v>4785294</v>
      </c>
      <c r="E39" s="29" t="n"/>
      <c r="F39" s="29" t="n"/>
      <c r="G39" s="29" t="n"/>
      <c r="H39" s="29" t="n"/>
      <c r="I39" s="29" t="n"/>
      <c r="J39" s="29" t="n"/>
      <c r="K39" s="29" t="n"/>
      <c r="L39" s="29" t="n"/>
    </row>
    <row r="40">
      <c r="A40" s="29" t="n"/>
      <c r="B40" s="41" t="inlineStr">
        <is>
          <t>r (crecimiento de las cohortes)</t>
        </is>
      </c>
      <c r="C40" s="49">
        <f>LN(C39/C38)/5</f>
        <v>0.0487419175231753</v>
      </c>
      <c r="D40" s="49">
        <f>LN(D39/D38)/5</f>
        <v>0.0492182668025659</v>
      </c>
      <c r="E40" s="29" t="n"/>
      <c r="F40" s="29" t="n"/>
      <c r="G40" s="29" t="n"/>
      <c r="H40" s="29" t="n"/>
      <c r="I40" s="29" t="n"/>
      <c r="J40" s="29" t="n"/>
      <c r="K40" s="29" t="n"/>
      <c r="L40" s="29" t="n"/>
    </row>
    <row r="41">
      <c r="A41" s="29" t="n"/>
      <c r="B41" s="38" t="inlineStr">
        <is>
          <t>Fracción de 0-4 con menos de 1 año</t>
        </is>
      </c>
      <c r="C41" s="50">
        <f>(EXP(C40)-1)/(EXP(5*C40)-1)</f>
        <v>0.180993112626959</v>
      </c>
      <c r="D41" s="50">
        <f>(EXP(D40)-1)/(EXP(5*D40)-1)</f>
        <v>0.180812334130132</v>
      </c>
      <c r="E41" s="29" t="n"/>
      <c r="F41" s="29" t="n"/>
      <c r="G41" s="29" t="n"/>
      <c r="H41" s="29" t="n"/>
      <c r="I41" s="29" t="n"/>
      <c r="J41" s="29" t="n"/>
      <c r="K41" s="29" t="n"/>
      <c r="L41" s="29" t="n"/>
    </row>
    <row r="42">
      <c r="A42" s="29" t="n"/>
      <c r="B42" s="41" t="inlineStr">
        <is>
          <t>Población menor de 1 año</t>
        </is>
      </c>
      <c r="C42" s="42">
        <f>C38*C41</f>
        <v>692875.480848061</v>
      </c>
      <c r="D42" s="42">
        <f>D38*D41</f>
        <v>676488.7355418</v>
      </c>
      <c r="E42" s="29" t="n"/>
      <c r="F42" s="29" t="n"/>
      <c r="G42" s="29" t="n"/>
      <c r="H42" s="29" t="n"/>
      <c r="I42" s="29" t="n"/>
      <c r="J42" s="29" t="n"/>
      <c r="K42" s="29" t="n"/>
      <c r="L42" s="29" t="n"/>
    </row>
    <row r="43">
      <c r="A43" s="29" t="n"/>
      <c r="B43" s="38" t="inlineStr">
        <is>
          <t>Población de 1 a 4 años</t>
        </is>
      </c>
      <c r="C43" s="39">
        <f>C38-C42</f>
        <v>3135311.51915194</v>
      </c>
      <c r="D43" s="39">
        <f>D38-D42</f>
        <v>3064897.2644582</v>
      </c>
      <c r="E43" s="29" t="n"/>
      <c r="F43" s="29" t="n"/>
      <c r="G43" s="29" t="n"/>
      <c r="H43" s="29" t="n"/>
      <c r="I43" s="29" t="n"/>
      <c r="J43" s="29" t="n"/>
      <c r="K43" s="29" t="n"/>
      <c r="L43" s="29" t="n"/>
    </row>
    <row r="44">
      <c r="A44" s="29" t="n"/>
      <c r="B44" s="29" t="n"/>
      <c r="C44" s="29" t="n"/>
      <c r="D44" s="29" t="n"/>
      <c r="E44" s="29" t="n"/>
      <c r="F44" s="29" t="n"/>
      <c r="G44" s="29" t="n"/>
      <c r="H44" s="29" t="n"/>
      <c r="I44" s="29" t="n"/>
      <c r="J44" s="29" t="n"/>
      <c r="K44" s="29" t="n"/>
      <c r="L44" s="29" t="n"/>
    </row>
    <row r="45">
      <c r="A45" s="29" t="n"/>
      <c r="B45" s="36" t="inlineStr">
        <is>
          <t>C. Población y defunciones por grupo de la tabla: 0, 1-4, 5-9, ..., 70-74 y 75+</t>
        </is>
      </c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29" t="n"/>
    </row>
    <row r="46">
      <c r="A46" s="29" t="n"/>
      <c r="B46" s="35" t="inlineStr">
        <is>
          <t>75-79, 80-84 y 85+ de defunciones se suman en 75+, porque la EIC llega solo a 75 años y más.</t>
        </is>
      </c>
      <c r="L46" s="29" t="n"/>
    </row>
    <row r="47" ht="32" customHeight="1">
      <c r="A47" s="29" t="n"/>
      <c r="B47" s="37" t="inlineStr">
        <is>
          <t>Grupo de edad</t>
        </is>
      </c>
      <c r="C47" s="37" t="inlineStr">
        <is>
          <t>Población hombres</t>
        </is>
      </c>
      <c r="D47" s="37" t="inlineStr">
        <is>
          <t>Defunciones hombres</t>
        </is>
      </c>
      <c r="E47" s="37" t="inlineStr">
        <is>
          <t>Población mujeres</t>
        </is>
      </c>
      <c r="F47" s="37" t="inlineStr">
        <is>
          <t>Defunciones mujeres</t>
        </is>
      </c>
      <c r="G47" s="37" t="inlineStr">
        <is>
          <t>Población ambos sexos</t>
        </is>
      </c>
      <c r="H47" s="37" t="inlineStr">
        <is>
          <t>Defunciones ambos sexos</t>
        </is>
      </c>
      <c r="I47" s="29" t="n"/>
      <c r="J47" s="29" t="n"/>
      <c r="K47" s="29" t="n"/>
      <c r="L47" s="29" t="n"/>
    </row>
    <row r="48">
      <c r="A48" s="29" t="n"/>
      <c r="B48" s="51" t="inlineStr">
        <is>
          <t>0</t>
        </is>
      </c>
      <c r="C48" s="42">
        <f>C42</f>
        <v>692875.480848061</v>
      </c>
      <c r="D48" s="43">
        <f>H11</f>
        <v>6943.80979421679</v>
      </c>
      <c r="E48" s="42">
        <f>D42</f>
        <v>676488.7355418</v>
      </c>
      <c r="F48" s="43">
        <f>I11</f>
        <v>5328.38625673684</v>
      </c>
      <c r="G48" s="42">
        <f>C48+E48</f>
        <v>1369364.21638986</v>
      </c>
      <c r="H48" s="43">
        <f>D48+F48</f>
        <v>12272.1960509536</v>
      </c>
      <c r="I48" s="29" t="n"/>
      <c r="J48" s="29" t="n"/>
      <c r="K48" s="29" t="n"/>
      <c r="L48" s="29" t="n"/>
    </row>
    <row r="49">
      <c r="A49" s="29" t="n"/>
      <c r="B49" s="52" t="inlineStr">
        <is>
          <t>1-4</t>
        </is>
      </c>
      <c r="C49" s="39">
        <f>C43</f>
        <v>3135311.51915194</v>
      </c>
      <c r="D49" s="40">
        <f>H12</f>
        <v>1527.62835913685</v>
      </c>
      <c r="E49" s="39">
        <f>D43</f>
        <v>3064897.2644582</v>
      </c>
      <c r="F49" s="40">
        <f>I12</f>
        <v>1307.85947928862</v>
      </c>
      <c r="G49" s="39">
        <f>C49+E49</f>
        <v>6200208.78361014</v>
      </c>
      <c r="H49" s="40">
        <f>D49+F49</f>
        <v>2835.48783842546</v>
      </c>
      <c r="I49" s="29" t="n"/>
      <c r="J49" s="29" t="n"/>
      <c r="K49" s="29" t="n"/>
      <c r="L49" s="29" t="n"/>
    </row>
    <row r="50">
      <c r="A50" s="29" t="n"/>
      <c r="B50" s="51" t="inlineStr">
        <is>
          <t>5-9</t>
        </is>
      </c>
      <c r="C50" s="42">
        <f>'Fuentes de datos'!H38</f>
        <v>4884666</v>
      </c>
      <c r="D50" s="43">
        <f>H13</f>
        <v>1096.39590090657</v>
      </c>
      <c r="E50" s="42">
        <f>'Fuentes de datos'!F38</f>
        <v>4785294</v>
      </c>
      <c r="F50" s="43">
        <f>I13</f>
        <v>831.888179757303</v>
      </c>
      <c r="G50" s="42">
        <f>C50+E50</f>
        <v>9669960</v>
      </c>
      <c r="H50" s="43">
        <f>D50+F50</f>
        <v>1928.28408066387</v>
      </c>
      <c r="I50" s="29" t="n"/>
      <c r="J50" s="29" t="n"/>
      <c r="K50" s="29" t="n"/>
      <c r="L50" s="29" t="n"/>
    </row>
    <row r="51">
      <c r="A51" s="29" t="n"/>
      <c r="B51" s="52" t="inlineStr">
        <is>
          <t>10-14</t>
        </is>
      </c>
      <c r="C51" s="39">
        <f>'Fuentes de datos'!H39</f>
        <v>5531785</v>
      </c>
      <c r="D51" s="40">
        <f>H14</f>
        <v>1748.9884932585</v>
      </c>
      <c r="E51" s="39">
        <f>'Fuentes de datos'!F39</f>
        <v>5353603</v>
      </c>
      <c r="F51" s="40">
        <f>I14</f>
        <v>1313.40227658433</v>
      </c>
      <c r="G51" s="39">
        <f>C51+E51</f>
        <v>10885388</v>
      </c>
      <c r="H51" s="40">
        <f>D51+F51</f>
        <v>3062.39076984283</v>
      </c>
      <c r="I51" s="29" t="n"/>
      <c r="J51" s="29" t="n"/>
      <c r="K51" s="29" t="n"/>
      <c r="L51" s="29" t="n"/>
    </row>
    <row r="52">
      <c r="A52" s="29" t="n"/>
      <c r="B52" s="51" t="inlineStr">
        <is>
          <t>15-19</t>
        </is>
      </c>
      <c r="C52" s="42">
        <f>'Fuentes de datos'!H40</f>
        <v>5483687</v>
      </c>
      <c r="D52" s="43">
        <f>H15</f>
        <v>6709.49911023964</v>
      </c>
      <c r="E52" s="42">
        <f>'Fuentes de datos'!F40</f>
        <v>5349921</v>
      </c>
      <c r="F52" s="43">
        <f>I15</f>
        <v>2266.41978215467</v>
      </c>
      <c r="G52" s="42">
        <f>C52+E52</f>
        <v>10833608</v>
      </c>
      <c r="H52" s="43">
        <f>D52+F52</f>
        <v>8975.91889239431</v>
      </c>
      <c r="I52" s="29" t="n"/>
      <c r="J52" s="29" t="n"/>
      <c r="K52" s="29" t="n"/>
      <c r="L52" s="29" t="n"/>
    </row>
    <row r="53">
      <c r="A53" s="29" t="n"/>
      <c r="B53" s="52" t="inlineStr">
        <is>
          <t>20-24</t>
        </is>
      </c>
      <c r="C53" s="39">
        <f>'Fuentes de datos'!H41</f>
        <v>5041141</v>
      </c>
      <c r="D53" s="40">
        <f>H16</f>
        <v>10349.4796079314</v>
      </c>
      <c r="E53" s="39">
        <f>'Fuentes de datos'!F41</f>
        <v>5319788</v>
      </c>
      <c r="F53" s="40">
        <f>I16</f>
        <v>2787.1892220883</v>
      </c>
      <c r="G53" s="39">
        <f>C53+E53</f>
        <v>10360929</v>
      </c>
      <c r="H53" s="40">
        <f>D53+F53</f>
        <v>13136.6688300197</v>
      </c>
      <c r="I53" s="29" t="n"/>
      <c r="J53" s="29" t="n"/>
      <c r="K53" s="29" t="n"/>
      <c r="L53" s="29" t="n"/>
    </row>
    <row r="54">
      <c r="A54" s="29" t="n"/>
      <c r="B54" s="51" t="inlineStr">
        <is>
          <t>25-29</t>
        </is>
      </c>
      <c r="C54" s="42">
        <f>'Fuentes de datos'!H42</f>
        <v>4706443</v>
      </c>
      <c r="D54" s="43">
        <f>H17</f>
        <v>11895.7162874311</v>
      </c>
      <c r="E54" s="42">
        <f>'Fuentes de datos'!F42</f>
        <v>5104330</v>
      </c>
      <c r="F54" s="43">
        <f>I17</f>
        <v>3480.94419145454</v>
      </c>
      <c r="G54" s="42">
        <f>C54+E54</f>
        <v>9810773</v>
      </c>
      <c r="H54" s="43">
        <f>D54+F54</f>
        <v>15376.6604788856</v>
      </c>
      <c r="I54" s="29" t="n"/>
      <c r="J54" s="29" t="n"/>
      <c r="K54" s="29" t="n"/>
      <c r="L54" s="29" t="n"/>
    </row>
    <row r="55">
      <c r="A55" s="29" t="n"/>
      <c r="B55" s="52" t="inlineStr">
        <is>
          <t>30-34</t>
        </is>
      </c>
      <c r="C55" s="39">
        <f>'Fuentes de datos'!H43</f>
        <v>4744987</v>
      </c>
      <c r="D55" s="40">
        <f>H18</f>
        <v>13922.0572528628</v>
      </c>
      <c r="E55" s="39">
        <f>'Fuentes de datos'!F43</f>
        <v>5282566</v>
      </c>
      <c r="F55" s="40">
        <f>I18</f>
        <v>4657.22445224798</v>
      </c>
      <c r="G55" s="39">
        <f>C55+E55</f>
        <v>10027553</v>
      </c>
      <c r="H55" s="40">
        <f>D55+F55</f>
        <v>18579.2817051107</v>
      </c>
      <c r="I55" s="29" t="n"/>
      <c r="J55" s="29" t="n"/>
      <c r="K55" s="29" t="n"/>
      <c r="L55" s="29" t="n"/>
    </row>
    <row r="56">
      <c r="A56" s="29" t="n"/>
      <c r="B56" s="51" t="inlineStr">
        <is>
          <t>35-39</t>
        </is>
      </c>
      <c r="C56" s="42">
        <f>'Fuentes de datos'!H44</f>
        <v>4525522</v>
      </c>
      <c r="D56" s="43">
        <f>H19</f>
        <v>15032.264380788</v>
      </c>
      <c r="E56" s="42">
        <f>'Fuentes de datos'!F44</f>
        <v>5095386</v>
      </c>
      <c r="F56" s="43">
        <f>I19</f>
        <v>5790.74180411789</v>
      </c>
      <c r="G56" s="42">
        <f>C56+E56</f>
        <v>9620908</v>
      </c>
      <c r="H56" s="43">
        <f>D56+F56</f>
        <v>20823.0061849059</v>
      </c>
      <c r="I56" s="29" t="n"/>
      <c r="J56" s="29" t="n"/>
      <c r="K56" s="29" t="n"/>
      <c r="L56" s="29" t="n"/>
    </row>
    <row r="57">
      <c r="A57" s="29" t="n"/>
      <c r="B57" s="52" t="inlineStr">
        <is>
          <t>40-44</t>
        </is>
      </c>
      <c r="C57" s="39">
        <f>'Fuentes de datos'!H45</f>
        <v>4231275</v>
      </c>
      <c r="D57" s="40">
        <f>H20</f>
        <v>16818.4968424366</v>
      </c>
      <c r="E57" s="39">
        <f>'Fuentes de datos'!F45</f>
        <v>4742766</v>
      </c>
      <c r="F57" s="40">
        <f>I20</f>
        <v>7754.91409174289</v>
      </c>
      <c r="G57" s="39">
        <f>C57+E57</f>
        <v>8974041</v>
      </c>
      <c r="H57" s="40">
        <f>D57+F57</f>
        <v>24573.4109341794</v>
      </c>
      <c r="I57" s="29" t="n"/>
      <c r="J57" s="29" t="n"/>
      <c r="K57" s="29" t="n"/>
      <c r="L57" s="29" t="n"/>
    </row>
    <row r="58">
      <c r="A58" s="29" t="n"/>
      <c r="B58" s="51" t="inlineStr">
        <is>
          <t>45-49</t>
        </is>
      </c>
      <c r="C58" s="42">
        <f>'Fuentes de datos'!H46</f>
        <v>3936178</v>
      </c>
      <c r="D58" s="43">
        <f>H21</f>
        <v>21088.3730093427</v>
      </c>
      <c r="E58" s="42">
        <f>'Fuentes de datos'!F46</f>
        <v>4437822</v>
      </c>
      <c r="F58" s="43">
        <f>I21</f>
        <v>11283.3971839061</v>
      </c>
      <c r="G58" s="42">
        <f>C58+E58</f>
        <v>8374000</v>
      </c>
      <c r="H58" s="43">
        <f>D58+F58</f>
        <v>32371.7701932488</v>
      </c>
      <c r="I58" s="29" t="n"/>
      <c r="J58" s="29" t="n"/>
      <c r="K58" s="29" t="n"/>
      <c r="L58" s="29" t="n"/>
    </row>
    <row r="59">
      <c r="A59" s="29" t="n"/>
      <c r="B59" s="52" t="inlineStr">
        <is>
          <t>50-54</t>
        </is>
      </c>
      <c r="C59" s="39">
        <f>'Fuentes de datos'!H47</f>
        <v>3942849</v>
      </c>
      <c r="D59" s="40">
        <f>H22</f>
        <v>27430.7048416441</v>
      </c>
      <c r="E59" s="39">
        <f>'Fuentes de datos'!F47</f>
        <v>4409290</v>
      </c>
      <c r="F59" s="40">
        <f>I22</f>
        <v>16057.5150785346</v>
      </c>
      <c r="G59" s="39">
        <f>C59+E59</f>
        <v>8352139</v>
      </c>
      <c r="H59" s="40">
        <f>D59+F59</f>
        <v>43488.2199201787</v>
      </c>
      <c r="I59" s="29" t="n"/>
      <c r="J59" s="29" t="n"/>
      <c r="K59" s="29" t="n"/>
      <c r="L59" s="29" t="n"/>
    </row>
    <row r="60">
      <c r="A60" s="29" t="n"/>
      <c r="B60" s="51" t="inlineStr">
        <is>
          <t>55-59</t>
        </is>
      </c>
      <c r="C60" s="42">
        <f>'Fuentes de datos'!H48</f>
        <v>3156393</v>
      </c>
      <c r="D60" s="43">
        <f>H23</f>
        <v>31299.8548757081</v>
      </c>
      <c r="E60" s="42">
        <f>'Fuentes de datos'!F48</f>
        <v>3553454</v>
      </c>
      <c r="F60" s="43">
        <f>I23</f>
        <v>20407.1668929969</v>
      </c>
      <c r="G60" s="42">
        <f>C60+E60</f>
        <v>6709847</v>
      </c>
      <c r="H60" s="43">
        <f>D60+F60</f>
        <v>51707.021768705</v>
      </c>
      <c r="I60" s="29" t="n"/>
      <c r="J60" s="29" t="n"/>
      <c r="K60" s="29" t="n"/>
      <c r="L60" s="29" t="n"/>
    </row>
    <row r="61">
      <c r="A61" s="29" t="n"/>
      <c r="B61" s="52" t="inlineStr">
        <is>
          <t>60-64</t>
        </is>
      </c>
      <c r="C61" s="39">
        <f>'Fuentes de datos'!H49</f>
        <v>2734019</v>
      </c>
      <c r="D61" s="40">
        <f>H24</f>
        <v>36964.3558313088</v>
      </c>
      <c r="E61" s="39">
        <f>'Fuentes de datos'!F49</f>
        <v>3257527</v>
      </c>
      <c r="F61" s="40">
        <f>I24</f>
        <v>26735.9666676694</v>
      </c>
      <c r="G61" s="39">
        <f>C61+E61</f>
        <v>5991546</v>
      </c>
      <c r="H61" s="40">
        <f>D61+F61</f>
        <v>63700.3224989781</v>
      </c>
      <c r="I61" s="29" t="n"/>
      <c r="J61" s="29" t="n"/>
      <c r="K61" s="29" t="n"/>
      <c r="L61" s="29" t="n"/>
    </row>
    <row r="62">
      <c r="A62" s="29" t="n"/>
      <c r="B62" s="51" t="inlineStr">
        <is>
          <t>65-69</t>
        </is>
      </c>
      <c r="C62" s="42">
        <f>'Fuentes de datos'!H50</f>
        <v>2216346</v>
      </c>
      <c r="D62" s="43">
        <f>H25</f>
        <v>40700.9257790546</v>
      </c>
      <c r="E62" s="42">
        <f>'Fuentes de datos'!F50</f>
        <v>2613496</v>
      </c>
      <c r="F62" s="43">
        <f>I25</f>
        <v>31309.3012014532</v>
      </c>
      <c r="G62" s="42">
        <f>C62+E62</f>
        <v>4829842</v>
      </c>
      <c r="H62" s="43">
        <f>D62+F62</f>
        <v>72010.2269805078</v>
      </c>
      <c r="I62" s="29" t="n"/>
      <c r="J62" s="29" t="n"/>
      <c r="K62" s="29" t="n"/>
      <c r="L62" s="29" t="n"/>
    </row>
    <row r="63">
      <c r="A63" s="29" t="n"/>
      <c r="B63" s="52" t="inlineStr">
        <is>
          <t>70-74</t>
        </is>
      </c>
      <c r="C63" s="39">
        <f>'Fuentes de datos'!H51</f>
        <v>1561618</v>
      </c>
      <c r="D63" s="40">
        <f>H26</f>
        <v>42245.031754986</v>
      </c>
      <c r="E63" s="39">
        <f>'Fuentes de datos'!F51</f>
        <v>1838237</v>
      </c>
      <c r="F63" s="40">
        <f>I26</f>
        <v>35302.6915272458</v>
      </c>
      <c r="G63" s="39">
        <f>C63+E63</f>
        <v>3399855</v>
      </c>
      <c r="H63" s="40">
        <f>D63+F63</f>
        <v>77547.7232822318</v>
      </c>
      <c r="I63" s="29" t="n"/>
      <c r="J63" s="29" t="n"/>
      <c r="K63" s="29" t="n"/>
      <c r="L63" s="29" t="n"/>
    </row>
    <row r="64">
      <c r="A64" s="29" t="n"/>
      <c r="B64" s="51" t="inlineStr">
        <is>
          <t>75+</t>
        </is>
      </c>
      <c r="C64" s="42">
        <f>'Fuentes de datos'!H52</f>
        <v>2180337</v>
      </c>
      <c r="D64" s="43">
        <f>SUM(H27:H29)</f>
        <v>141026.021434411</v>
      </c>
      <c r="E64" s="42">
        <f>'Fuentes de datos'!F52</f>
        <v>2784501</v>
      </c>
      <c r="F64" s="43">
        <f>SUM(I27:I29)</f>
        <v>159079.388156357</v>
      </c>
      <c r="G64" s="42">
        <f>C64+E64</f>
        <v>4964838</v>
      </c>
      <c r="H64" s="43">
        <f>D64+F64</f>
        <v>300105.409590768</v>
      </c>
      <c r="I64" s="29" t="n"/>
      <c r="J64" s="29" t="n"/>
      <c r="K64" s="29" t="n"/>
      <c r="L64" s="29" t="n"/>
    </row>
    <row r="65">
      <c r="A65" s="29" t="n"/>
      <c r="B65" s="44" t="inlineStr">
        <is>
          <t>Total</t>
        </is>
      </c>
      <c r="C65" s="45">
        <f>SUM(C48:C64)</f>
        <v>62705433</v>
      </c>
      <c r="D65" s="45">
        <f>SUM(D48:D64)</f>
        <v>426799.603555664</v>
      </c>
      <c r="E65" s="45">
        <f>SUM(E48:E64)</f>
        <v>67669367</v>
      </c>
      <c r="F65" s="45">
        <f>SUM(F48:F64)</f>
        <v>335694.396444336</v>
      </c>
      <c r="G65" s="45">
        <f>SUM(G48:G64)</f>
        <v>130374800</v>
      </c>
      <c r="H65" s="45">
        <f>SUM(H48:H64)</f>
        <v>762494</v>
      </c>
      <c r="I65" s="29" t="n"/>
      <c r="J65" s="29" t="n"/>
      <c r="K65" s="29" t="n"/>
      <c r="L65" s="29" t="n"/>
    </row>
    <row r="66">
      <c r="A66" s="29" t="n"/>
      <c r="B66" s="29" t="n"/>
      <c r="C66" s="29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</row>
    <row r="67">
      <c r="A67" s="29" t="n"/>
      <c r="B67" s="29" t="n"/>
      <c r="C67" s="29" t="n"/>
      <c r="D67" s="29" t="n"/>
      <c r="E67" s="29" t="n"/>
      <c r="F67" s="29" t="n"/>
      <c r="G67" s="29" t="n"/>
      <c r="H67" s="29" t="n"/>
      <c r="I67" s="29" t="n"/>
      <c r="J67" s="29" t="n"/>
      <c r="K67" s="29" t="n"/>
      <c r="L67" s="29" t="n"/>
    </row>
    <row r="68">
      <c r="A68" s="29" t="n"/>
      <c r="B68" s="29" t="n"/>
      <c r="C68" s="29" t="n"/>
      <c r="D68" s="29" t="n"/>
      <c r="E68" s="29" t="n"/>
      <c r="F68" s="29" t="n"/>
      <c r="G68" s="29" t="n"/>
      <c r="H68" s="29" t="n"/>
      <c r="I68" s="29" t="n"/>
      <c r="J68" s="29" t="n"/>
      <c r="K68" s="29" t="n"/>
      <c r="L68" s="29" t="n"/>
    </row>
    <row r="69">
      <c r="A69" s="29" t="n"/>
      <c r="B69" s="29" t="n"/>
      <c r="C69" s="29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</row>
    <row r="70">
      <c r="A70" s="29" t="n"/>
      <c r="B70" s="29" t="n"/>
      <c r="C70" s="29" t="n"/>
      <c r="D70" s="29" t="n"/>
      <c r="E70" s="29" t="n"/>
      <c r="F70" s="29" t="n"/>
      <c r="G70" s="29" t="n"/>
      <c r="H70" s="29" t="n"/>
      <c r="I70" s="29" t="n"/>
      <c r="J70" s="29" t="n"/>
      <c r="K70" s="29" t="n"/>
      <c r="L70" s="29" t="n"/>
    </row>
    <row r="71">
      <c r="A71" s="29" t="n"/>
      <c r="B71" s="29" t="n"/>
      <c r="C71" s="29" t="n"/>
      <c r="D71" s="29" t="n"/>
      <c r="E71" s="29" t="n"/>
      <c r="F71" s="29" t="n"/>
      <c r="G71" s="29" t="n"/>
      <c r="H71" s="29" t="n"/>
      <c r="I71" s="29" t="n"/>
      <c r="J71" s="29" t="n"/>
      <c r="K71" s="29" t="n"/>
      <c r="L71" s="29" t="n"/>
    </row>
    <row r="72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</row>
    <row r="73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  <c r="J73" s="29" t="n"/>
      <c r="K73" s="29" t="n"/>
      <c r="L73" s="29" t="n"/>
    </row>
    <row r="74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  <c r="J74" s="29" t="n"/>
      <c r="K74" s="29" t="n"/>
      <c r="L74" s="29" t="n"/>
    </row>
    <row r="75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  <c r="J75" s="29" t="n"/>
      <c r="K75" s="29" t="n"/>
      <c r="L75" s="29" t="n"/>
    </row>
    <row r="76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  <c r="J76" s="29" t="n"/>
      <c r="K76" s="29" t="n"/>
      <c r="L76" s="29" t="n"/>
    </row>
    <row r="77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  <c r="J77" s="29" t="n"/>
      <c r="K77" s="29" t="n"/>
      <c r="L77" s="29" t="n"/>
    </row>
    <row r="78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  <c r="J78" s="29" t="n"/>
      <c r="K78" s="29" t="n"/>
      <c r="L78" s="29" t="n"/>
    </row>
    <row r="79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  <c r="J79" s="29" t="n"/>
      <c r="K79" s="29" t="n"/>
      <c r="L79" s="29" t="n"/>
    </row>
    <row r="80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  <c r="L80" s="29" t="n"/>
    </row>
    <row r="81">
      <c r="A81" s="29" t="n"/>
      <c r="B81" s="29" t="n"/>
      <c r="C81" s="29" t="n"/>
      <c r="D81" s="29" t="n"/>
      <c r="E81" s="29" t="n"/>
      <c r="F81" s="29" t="n"/>
      <c r="G81" s="29" t="n"/>
      <c r="H81" s="29" t="n"/>
      <c r="I81" s="29" t="n"/>
      <c r="J81" s="29" t="n"/>
      <c r="K81" s="29" t="n"/>
      <c r="L81" s="29" t="n"/>
    </row>
    <row r="82">
      <c r="A82" s="29" t="n"/>
      <c r="B82" s="29" t="n"/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  <c r="L82" s="29" t="n"/>
    </row>
    <row r="83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  <c r="J83" s="29" t="n"/>
      <c r="K83" s="29" t="n"/>
      <c r="L83" s="29" t="n"/>
    </row>
    <row r="84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  <c r="J84" s="29" t="n"/>
      <c r="K84" s="29" t="n"/>
      <c r="L84" s="29" t="n"/>
    </row>
    <row r="85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  <c r="J85" s="29" t="n"/>
      <c r="K85" s="29" t="n"/>
      <c r="L85" s="29" t="n"/>
    </row>
    <row r="86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  <c r="J86" s="29" t="n"/>
      <c r="K86" s="29" t="n"/>
      <c r="L86" s="29" t="n"/>
    </row>
    <row r="87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  <c r="J87" s="29" t="n"/>
      <c r="K87" s="29" t="n"/>
      <c r="L87" s="29" t="n"/>
    </row>
    <row r="88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  <c r="J88" s="29" t="n"/>
      <c r="K88" s="29" t="n"/>
      <c r="L88" s="29" t="n"/>
    </row>
    <row r="89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  <c r="J89" s="29" t="n"/>
      <c r="K89" s="29" t="n"/>
      <c r="L89" s="29" t="n"/>
    </row>
    <row r="90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  <c r="J90" s="29" t="n"/>
      <c r="K90" s="29" t="n"/>
      <c r="L90" s="29" t="n"/>
    </row>
  </sheetData>
  <mergeCells count="6">
    <mergeCell ref="E5:K5"/>
    <mergeCell ref="I33:K33"/>
    <mergeCell ref="B46:K46"/>
    <mergeCell ref="B9:K9"/>
    <mergeCell ref="B6:K6"/>
    <mergeCell ref="B36:K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showGridLines="0" zoomScale="85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6" customWidth="1" min="3" max="3"/>
    <col width="9" customWidth="1" min="4" max="4"/>
    <col width="15" customWidth="1" min="5" max="5"/>
    <col width="15" customWidth="1" min="6" max="6"/>
    <col width="10" customWidth="1" min="7" max="7"/>
    <col width="9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9" customWidth="1" min="15" max="15"/>
    <col width="3" customWidth="1" min="16" max="16"/>
  </cols>
  <sheetData>
    <row r="1">
      <c r="A1" s="29" t="n"/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</row>
    <row r="2" ht="30" customHeight="1">
      <c r="A2" s="29" t="n"/>
      <c r="B2" s="30" t="inlineStr">
        <is>
          <t>TABLA TRANSVERSAL ABREVIADA: HOMBRES</t>
        </is>
      </c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29" t="n"/>
    </row>
    <row r="3" ht="18" customHeight="1">
      <c r="A3" s="29" t="n"/>
      <c r="B3" s="32" t="inlineStr">
        <is>
          <t>México 2025. Cohorte ficticia de 100,000 nacimientos con las tasas de mortalidad por edad observadas (INEGI: EIC 2025 y defunciones registradas)</t>
        </is>
      </c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29" t="n"/>
    </row>
    <row r="4">
      <c r="A4" s="29" t="n"/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</row>
    <row r="5">
      <c r="A5" s="29" t="n"/>
      <c r="B5" s="33" t="inlineStr">
        <is>
          <t>Radix l0</t>
        </is>
      </c>
      <c r="C5" s="29" t="n"/>
      <c r="D5" s="39">
        <f>'Cohorte ficticio'!D5</f>
        <v>100000</v>
      </c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</row>
    <row r="6">
      <c r="A6" s="29" t="n"/>
      <c r="B6" s="35" t="inlineStr">
        <is>
          <t>nMx = D/P;  nqx = n·nMx / (1 + (n − nax)·nMx);  lx+n = lx·(1 − nqx);  ndx = lx − lx+n;  nLx = n·lx+n + nax·ndx;  Tx = suma de nLx hacia abajo;  ex = Tx/lx.  Grupo abierto 75+: q = 1 y L = l/M.</t>
        </is>
      </c>
      <c r="P6" s="29" t="n"/>
    </row>
    <row r="7">
      <c r="A7" s="29" t="n"/>
      <c r="B7" s="35" t="inlineStr">
        <is>
          <t>nax: para 0 y 1-4, Coale-Demeny según la mortalidad infantil y el sexo (en ambos sexos, el promedio de hombres y mujeres); n/2 en los demás grupos. Valores sin redondear.</t>
        </is>
      </c>
      <c r="P7" s="29" t="n"/>
    </row>
    <row r="8" ht="32" customHeight="1">
      <c r="A8" s="29" t="n"/>
      <c r="B8" s="37" t="inlineStr">
        <is>
          <t>Edad</t>
        </is>
      </c>
      <c r="C8" s="37" t="inlineStr">
        <is>
          <t>x</t>
        </is>
      </c>
      <c r="D8" s="37" t="inlineStr">
        <is>
          <t>n</t>
        </is>
      </c>
      <c r="E8" s="37" t="inlineStr">
        <is>
          <t>P (población)</t>
        </is>
      </c>
      <c r="F8" s="37" t="inlineStr">
        <is>
          <t>D (defunciones)</t>
        </is>
      </c>
      <c r="G8" s="37" t="inlineStr">
        <is>
          <t>nMx</t>
        </is>
      </c>
      <c r="H8" s="37" t="inlineStr">
        <is>
          <t>nax</t>
        </is>
      </c>
      <c r="I8" s="37" t="inlineStr">
        <is>
          <t>nqx</t>
        </is>
      </c>
      <c r="J8" s="37" t="inlineStr">
        <is>
          <t>npx</t>
        </is>
      </c>
      <c r="K8" s="37" t="inlineStr">
        <is>
          <t>lx</t>
        </is>
      </c>
      <c r="L8" s="37" t="inlineStr">
        <is>
          <t>ndx</t>
        </is>
      </c>
      <c r="M8" s="37" t="inlineStr">
        <is>
          <t>nLx</t>
        </is>
      </c>
      <c r="N8" s="37" t="inlineStr">
        <is>
          <t>Tx</t>
        </is>
      </c>
      <c r="O8" s="37" t="inlineStr">
        <is>
          <t>ex</t>
        </is>
      </c>
      <c r="P8" s="29" t="n"/>
    </row>
    <row r="9">
      <c r="A9" s="29" t="n"/>
      <c r="B9" s="52" t="str">
        <f>'Cohorte ficticio'!B48</f>
        <v>0</v>
      </c>
      <c r="C9" s="53" t="n">
        <v>0</v>
      </c>
      <c r="D9" s="54" t="n">
        <v>1</v>
      </c>
      <c r="E9" s="39">
        <f>'Cohorte ficticio'!C48</f>
        <v>692875.480848061</v>
      </c>
      <c r="F9" s="39">
        <f>'Cohorte ficticio'!D48</f>
        <v>6943.80979421679</v>
      </c>
      <c r="G9" s="55">
        <f>F9/E9</f>
        <v>0.0100217282703059</v>
      </c>
      <c r="H9" s="50">
        <f>IF($G$9&gt;=0.107,0.33,0.045+2.684*$G$9)</f>
        <v>0.071898318677501</v>
      </c>
      <c r="I9" s="55">
        <f>D9*G9/(1+(D9-H9)*G9)</f>
        <v>0.00992937335308912</v>
      </c>
      <c r="J9" s="55">
        <f>1-I9</f>
        <v>0.990070626646911</v>
      </c>
      <c r="K9" s="39">
        <f>$D$5</f>
        <v>100000</v>
      </c>
      <c r="L9" s="39">
        <f>K9*I9</f>
        <v>992.937335308912</v>
      </c>
      <c r="M9" s="39">
        <f>D9*K10+H9*L9</f>
        <v>99078.4531896519</v>
      </c>
      <c r="N9" s="39">
        <f>SUM(M9:$M$25)</f>
        <v>7664264.49219202</v>
      </c>
      <c r="O9" s="56">
        <f>N9/K9</f>
        <v>76.6426449219202</v>
      </c>
      <c r="P9" s="29" t="n"/>
    </row>
    <row r="10">
      <c r="A10" s="29" t="n"/>
      <c r="B10" s="51" t="str">
        <f>'Cohorte ficticio'!B49</f>
        <v>1-4</v>
      </c>
      <c r="C10" s="57" t="n">
        <v>1</v>
      </c>
      <c r="D10" s="58" t="n">
        <v>4</v>
      </c>
      <c r="E10" s="42">
        <f>'Cohorte ficticio'!C49</f>
        <v>3135311.51915194</v>
      </c>
      <c r="F10" s="42">
        <f>'Cohorte ficticio'!D49</f>
        <v>1527.62835913685</v>
      </c>
      <c r="G10" s="49">
        <f>F10/E10</f>
        <v>0.000487233357771751</v>
      </c>
      <c r="H10" s="59">
        <f>IF($G$9&gt;=0.107,1.352,1.651-2.816*$G$9)</f>
        <v>1.62277881319082</v>
      </c>
      <c r="I10" s="49">
        <f>D10*G10/(1+(D10-H10)*G10)</f>
        <v>0.00194667866820864</v>
      </c>
      <c r="J10" s="49">
        <f>1-I10</f>
        <v>0.998053321331791</v>
      </c>
      <c r="K10" s="42">
        <f>K9-L9</f>
        <v>99007.0626646911</v>
      </c>
      <c r="L10" s="42">
        <f>K10*I10</f>
        <v>192.73493689135</v>
      </c>
      <c r="M10" s="42">
        <f>D10*K11+H10*L10</f>
        <v>395570.077083348</v>
      </c>
      <c r="N10" s="42">
        <f>SUM(M10:$M$25)</f>
        <v>7565186.03900237</v>
      </c>
      <c r="O10" s="60">
        <f>N10/K10</f>
        <v>76.4105694623374</v>
      </c>
      <c r="P10" s="29" t="n"/>
    </row>
    <row r="11">
      <c r="A11" s="29" t="n"/>
      <c r="B11" s="52" t="str">
        <f>'Cohorte ficticio'!B50</f>
        <v>5-9</v>
      </c>
      <c r="C11" s="53" t="n">
        <v>5</v>
      </c>
      <c r="D11" s="54" t="n">
        <v>5</v>
      </c>
      <c r="E11" s="39">
        <f>'Cohorte ficticio'!C50</f>
        <v>4884666</v>
      </c>
      <c r="F11" s="39">
        <f>'Cohorte ficticio'!D50</f>
        <v>1096.39590090657</v>
      </c>
      <c r="G11" s="55">
        <f>F11/E11</f>
        <v>0.000224456677469159</v>
      </c>
      <c r="H11" s="50">
        <f>D11/2</f>
        <v>2.5</v>
      </c>
      <c r="I11" s="55">
        <f>D11*G11/(1+(D11-H11)*G11)</f>
        <v>0.00112165398053145</v>
      </c>
      <c r="J11" s="55">
        <f>1-I11</f>
        <v>0.998878346019469</v>
      </c>
      <c r="K11" s="39">
        <f>K10-L10</f>
        <v>98814.3277277997</v>
      </c>
      <c r="L11" s="39">
        <f>K11*I11</f>
        <v>110.835484029425</v>
      </c>
      <c r="M11" s="39">
        <f>D11*K12+H11*L11</f>
        <v>493794.549928925</v>
      </c>
      <c r="N11" s="39">
        <f>SUM(M11:$M$25)</f>
        <v>7169615.96191902</v>
      </c>
      <c r="O11" s="56">
        <f>N11/K11</f>
        <v>72.5564412244842</v>
      </c>
      <c r="P11" s="29" t="n"/>
    </row>
    <row r="12">
      <c r="A12" s="29" t="n"/>
      <c r="B12" s="51" t="str">
        <f>'Cohorte ficticio'!B51</f>
        <v>10-14</v>
      </c>
      <c r="C12" s="57" t="n">
        <v>10</v>
      </c>
      <c r="D12" s="58" t="n">
        <v>5</v>
      </c>
      <c r="E12" s="42">
        <f>'Cohorte ficticio'!C51</f>
        <v>5531785</v>
      </c>
      <c r="F12" s="42">
        <f>'Cohorte ficticio'!D51</f>
        <v>1748.9884932585</v>
      </c>
      <c r="G12" s="49">
        <f>F12/E12</f>
        <v>0.000316170728482488</v>
      </c>
      <c r="H12" s="59">
        <f>D12/2</f>
        <v>2.5</v>
      </c>
      <c r="I12" s="49">
        <f>D12*G12/(1+(D12-H12)*G12)</f>
        <v>0.00157960508019014</v>
      </c>
      <c r="J12" s="49">
        <f>1-I12</f>
        <v>0.99842039491981</v>
      </c>
      <c r="K12" s="42">
        <f>K11-L11</f>
        <v>98703.4922437703</v>
      </c>
      <c r="L12" s="42">
        <f>K12*I12</f>
        <v>155.912537780768</v>
      </c>
      <c r="M12" s="42">
        <f>D12*K13+H12*L12</f>
        <v>493127.6798744</v>
      </c>
      <c r="N12" s="42">
        <f>SUM(M12:$M$25)</f>
        <v>6675821.41199009</v>
      </c>
      <c r="O12" s="60">
        <f>N12/K12</f>
        <v>67.6351085481622</v>
      </c>
      <c r="P12" s="29" t="n"/>
    </row>
    <row r="13">
      <c r="A13" s="29" t="n"/>
      <c r="B13" s="52" t="str">
        <f>'Cohorte ficticio'!B52</f>
        <v>15-19</v>
      </c>
      <c r="C13" s="53" t="n">
        <v>15</v>
      </c>
      <c r="D13" s="54" t="n">
        <v>5</v>
      </c>
      <c r="E13" s="39">
        <f>'Cohorte ficticio'!C52</f>
        <v>5483687</v>
      </c>
      <c r="F13" s="39">
        <f>'Cohorte ficticio'!D52</f>
        <v>6709.49911023964</v>
      </c>
      <c r="G13" s="55">
        <f>F13/E13</f>
        <v>0.00122353794267245</v>
      </c>
      <c r="H13" s="50">
        <f>D13/2</f>
        <v>2.5</v>
      </c>
      <c r="I13" s="55">
        <f>D13*G13/(1+(D13-H13)*G13)</f>
        <v>0.006099033715451</v>
      </c>
      <c r="J13" s="55">
        <f>1-I13</f>
        <v>0.993900966284549</v>
      </c>
      <c r="K13" s="39">
        <f>K12-L12</f>
        <v>98547.5797059895</v>
      </c>
      <c r="L13" s="39">
        <f>K13*I13</f>
        <v>601.045011202925</v>
      </c>
      <c r="M13" s="39">
        <f>D13*K14+H13*L13</f>
        <v>491235.28600194</v>
      </c>
      <c r="N13" s="39">
        <f>SUM(M13:$M$25)</f>
        <v>6182693.73211569</v>
      </c>
      <c r="O13" s="56">
        <f>N13/K13</f>
        <v>62.7381590756604</v>
      </c>
      <c r="P13" s="29" t="n"/>
    </row>
    <row r="14">
      <c r="A14" s="29" t="n"/>
      <c r="B14" s="51" t="str">
        <f>'Cohorte ficticio'!B53</f>
        <v>20-24</v>
      </c>
      <c r="C14" s="57" t="n">
        <v>20</v>
      </c>
      <c r="D14" s="58" t="n">
        <v>5</v>
      </c>
      <c r="E14" s="42">
        <f>'Cohorte ficticio'!C53</f>
        <v>5041141</v>
      </c>
      <c r="F14" s="42">
        <f>'Cohorte ficticio'!D53</f>
        <v>10349.4796079314</v>
      </c>
      <c r="G14" s="49">
        <f>F14/E14</f>
        <v>0.00205300339901847</v>
      </c>
      <c r="H14" s="59">
        <f>D14/2</f>
        <v>2.5</v>
      </c>
      <c r="I14" s="49">
        <f>D14*G14/(1+(D14-H14)*G14)</f>
        <v>0.0102126007350377</v>
      </c>
      <c r="J14" s="49">
        <f>1-I14</f>
        <v>0.989787399264962</v>
      </c>
      <c r="K14" s="42">
        <f>K13-L13</f>
        <v>97946.5346947866</v>
      </c>
      <c r="L14" s="42">
        <f>K14*I14</f>
        <v>1000.28885221838</v>
      </c>
      <c r="M14" s="42">
        <f>D14*K15+H14*L14</f>
        <v>487231.951343387</v>
      </c>
      <c r="N14" s="42">
        <f>SUM(M14:$M$25)</f>
        <v>5691458.44611375</v>
      </c>
      <c r="O14" s="60">
        <f>N14/K14</f>
        <v>58.1078081409315</v>
      </c>
      <c r="P14" s="29" t="n"/>
    </row>
    <row r="15">
      <c r="A15" s="29" t="n"/>
      <c r="B15" s="52" t="str">
        <f>'Cohorte ficticio'!B54</f>
        <v>25-29</v>
      </c>
      <c r="C15" s="53" t="n">
        <v>25</v>
      </c>
      <c r="D15" s="54" t="n">
        <v>5</v>
      </c>
      <c r="E15" s="39">
        <f>'Cohorte ficticio'!C54</f>
        <v>4706443</v>
      </c>
      <c r="F15" s="39">
        <f>'Cohorte ficticio'!D54</f>
        <v>11895.7162874311</v>
      </c>
      <c r="G15" s="55">
        <f>F15/E15</f>
        <v>0.00252753858645077</v>
      </c>
      <c r="H15" s="50">
        <f>D15/2</f>
        <v>2.5</v>
      </c>
      <c r="I15" s="55">
        <f>D15*G15/(1+(D15-H15)*G15)</f>
        <v>0.012558338718025</v>
      </c>
      <c r="J15" s="55">
        <f>1-I15</f>
        <v>0.987441661281975</v>
      </c>
      <c r="K15" s="39">
        <f>K14-L14</f>
        <v>96946.2458425682</v>
      </c>
      <c r="L15" s="39">
        <f>K15*I15</f>
        <v>1217.4837927319</v>
      </c>
      <c r="M15" s="39">
        <f>D15*K16+H15*L15</f>
        <v>481687.519731011</v>
      </c>
      <c r="N15" s="39">
        <f>SUM(M15:$M$25)</f>
        <v>5204226.49477037</v>
      </c>
      <c r="O15" s="56">
        <f>N15/K15</f>
        <v>53.68156806424</v>
      </c>
      <c r="P15" s="29" t="n"/>
    </row>
    <row r="16">
      <c r="A16" s="29" t="n"/>
      <c r="B16" s="51" t="str">
        <f>'Cohorte ficticio'!B55</f>
        <v>30-34</v>
      </c>
      <c r="C16" s="57" t="n">
        <v>30</v>
      </c>
      <c r="D16" s="58" t="n">
        <v>5</v>
      </c>
      <c r="E16" s="42">
        <f>'Cohorte ficticio'!C55</f>
        <v>4744987</v>
      </c>
      <c r="F16" s="42">
        <f>'Cohorte ficticio'!D55</f>
        <v>13922.0572528628</v>
      </c>
      <c r="G16" s="49">
        <f>F16/E16</f>
        <v>0.00293405593163117</v>
      </c>
      <c r="H16" s="59">
        <f>D16/2</f>
        <v>2.5</v>
      </c>
      <c r="I16" s="49">
        <f>D16*G16/(1+(D16-H16)*G16)</f>
        <v>0.0145634546816713</v>
      </c>
      <c r="J16" s="49">
        <f>1-I16</f>
        <v>0.985436545318329</v>
      </c>
      <c r="K16" s="42">
        <f>K15-L15</f>
        <v>95728.7620498363</v>
      </c>
      <c r="L16" s="42">
        <f>K16*I16</f>
        <v>1394.14148784529</v>
      </c>
      <c r="M16" s="42">
        <f>D16*K17+H16*L16</f>
        <v>475158.456529569</v>
      </c>
      <c r="N16" s="42">
        <f>SUM(M16:$M$25)</f>
        <v>4722538.97503936</v>
      </c>
      <c r="O16" s="60">
        <f>N16/K16</f>
        <v>49.3324981323879</v>
      </c>
      <c r="P16" s="29" t="n"/>
    </row>
    <row r="17">
      <c r="A17" s="29" t="n"/>
      <c r="B17" s="52" t="str">
        <f>'Cohorte ficticio'!B56</f>
        <v>35-39</v>
      </c>
      <c r="C17" s="53" t="n">
        <v>35</v>
      </c>
      <c r="D17" s="54" t="n">
        <v>5</v>
      </c>
      <c r="E17" s="39">
        <f>'Cohorte ficticio'!C56</f>
        <v>4525522</v>
      </c>
      <c r="F17" s="39">
        <f>'Cohorte ficticio'!D56</f>
        <v>15032.264380788</v>
      </c>
      <c r="G17" s="55">
        <f>F17/E17</f>
        <v>0.00332166419272473</v>
      </c>
      <c r="H17" s="50">
        <f>D17/2</f>
        <v>2.5</v>
      </c>
      <c r="I17" s="55">
        <f>D17*G17/(1+(D17-H17)*G17)</f>
        <v>0.0164715386631822</v>
      </c>
      <c r="J17" s="55">
        <f>1-I17</f>
        <v>0.983528461336818</v>
      </c>
      <c r="K17" s="39">
        <f>K16-L16</f>
        <v>94334.6205619911</v>
      </c>
      <c r="L17" s="39">
        <f>K17*I17</f>
        <v>1553.83634986346</v>
      </c>
      <c r="M17" s="39">
        <f>D17*K18+H17*L17</f>
        <v>467788.511935297</v>
      </c>
      <c r="N17" s="39">
        <f>SUM(M17:$M$25)</f>
        <v>4247380.51850979</v>
      </c>
      <c r="O17" s="56">
        <f>N17/K17</f>
        <v>45.0246207935788</v>
      </c>
      <c r="P17" s="29" t="n"/>
    </row>
    <row r="18">
      <c r="A18" s="29" t="n"/>
      <c r="B18" s="51" t="str">
        <f>'Cohorte ficticio'!B57</f>
        <v>40-44</v>
      </c>
      <c r="C18" s="57" t="n">
        <v>40</v>
      </c>
      <c r="D18" s="58" t="n">
        <v>5</v>
      </c>
      <c r="E18" s="42">
        <f>'Cohorte ficticio'!C57</f>
        <v>4231275</v>
      </c>
      <c r="F18" s="42">
        <f>'Cohorte ficticio'!D57</f>
        <v>16818.4968424366</v>
      </c>
      <c r="G18" s="49">
        <f>F18/E18</f>
        <v>0.00397480590187037</v>
      </c>
      <c r="H18" s="59">
        <f>D18/2</f>
        <v>2.5</v>
      </c>
      <c r="I18" s="49">
        <f>D18*G18/(1+(D18-H18)*G18)</f>
        <v>0.0196784841222791</v>
      </c>
      <c r="J18" s="49">
        <f>1-I18</f>
        <v>0.980321515877721</v>
      </c>
      <c r="K18" s="42">
        <f>K17-L17</f>
        <v>92780.7842121276</v>
      </c>
      <c r="L18" s="42">
        <f>K18*I18</f>
        <v>1825.78518897096</v>
      </c>
      <c r="M18" s="42">
        <f>D18*K19+H18*L18</f>
        <v>459339.458088211</v>
      </c>
      <c r="N18" s="42">
        <f>SUM(M18:$M$25)</f>
        <v>3779592.00657449</v>
      </c>
      <c r="O18" s="60">
        <f>N18/K18</f>
        <v>40.7367973731833</v>
      </c>
      <c r="P18" s="29" t="n"/>
    </row>
    <row r="19">
      <c r="A19" s="29" t="n"/>
      <c r="B19" s="52" t="str">
        <f>'Cohorte ficticio'!B58</f>
        <v>45-49</v>
      </c>
      <c r="C19" s="53" t="n">
        <v>45</v>
      </c>
      <c r="D19" s="54" t="n">
        <v>5</v>
      </c>
      <c r="E19" s="39">
        <f>'Cohorte ficticio'!C58</f>
        <v>3936178</v>
      </c>
      <c r="F19" s="39">
        <f>'Cohorte ficticio'!D58</f>
        <v>21088.3730093427</v>
      </c>
      <c r="G19" s="55">
        <f>F19/E19</f>
        <v>0.00535757605711496</v>
      </c>
      <c r="H19" s="50">
        <f>D19/2</f>
        <v>2.5</v>
      </c>
      <c r="I19" s="55">
        <f>D19*G19/(1+(D19-H19)*G19)</f>
        <v>0.0264338271864941</v>
      </c>
      <c r="J19" s="55">
        <f>1-I19</f>
        <v>0.973566172813506</v>
      </c>
      <c r="K19" s="39">
        <f>K18-L18</f>
        <v>90954.9990231566</v>
      </c>
      <c r="L19" s="39">
        <f>K19*I19</f>
        <v>2404.28872592586</v>
      </c>
      <c r="M19" s="39">
        <f>D19*K20+H19*L19</f>
        <v>448764.273300968</v>
      </c>
      <c r="N19" s="39">
        <f>SUM(M19:$M$25)</f>
        <v>3320252.54848628</v>
      </c>
      <c r="O19" s="56">
        <f>N19/K19</f>
        <v>36.5043437320137</v>
      </c>
      <c r="P19" s="29" t="n"/>
    </row>
    <row r="20">
      <c r="A20" s="29" t="n"/>
      <c r="B20" s="51" t="str">
        <f>'Cohorte ficticio'!B59</f>
        <v>50-54</v>
      </c>
      <c r="C20" s="57" t="n">
        <v>50</v>
      </c>
      <c r="D20" s="58" t="n">
        <v>5</v>
      </c>
      <c r="E20" s="42">
        <f>'Cohorte ficticio'!C59</f>
        <v>3942849</v>
      </c>
      <c r="F20" s="42">
        <f>'Cohorte ficticio'!D59</f>
        <v>27430.7048416441</v>
      </c>
      <c r="G20" s="49">
        <f>F20/E20</f>
        <v>0.00695707719003293</v>
      </c>
      <c r="H20" s="59">
        <f>D20/2</f>
        <v>2.5</v>
      </c>
      <c r="I20" s="49">
        <f>D20*G20/(1+(D20-H20)*G20)</f>
        <v>0.0341907173015411</v>
      </c>
      <c r="J20" s="49">
        <f>1-I20</f>
        <v>0.965809282698459</v>
      </c>
      <c r="K20" s="42">
        <f>K19-L19</f>
        <v>88550.7102972308</v>
      </c>
      <c r="L20" s="42">
        <f>K20*I20</f>
        <v>3027.61230262328</v>
      </c>
      <c r="M20" s="42">
        <f>D20*K21+H20*L20</f>
        <v>435184.520729596</v>
      </c>
      <c r="N20" s="42">
        <f>SUM(M20:$M$25)</f>
        <v>2871488.27518531</v>
      </c>
      <c r="O20" s="60">
        <f>N20/K20</f>
        <v>32.4276142511655</v>
      </c>
      <c r="P20" s="29" t="n"/>
    </row>
    <row r="21">
      <c r="A21" s="29" t="n"/>
      <c r="B21" s="52" t="str">
        <f>'Cohorte ficticio'!B60</f>
        <v>55-59</v>
      </c>
      <c r="C21" s="53" t="n">
        <v>55</v>
      </c>
      <c r="D21" s="54" t="n">
        <v>5</v>
      </c>
      <c r="E21" s="39">
        <f>'Cohorte ficticio'!C60</f>
        <v>3156393</v>
      </c>
      <c r="F21" s="39">
        <f>'Cohorte ficticio'!D60</f>
        <v>31299.8548757081</v>
      </c>
      <c r="G21" s="55">
        <f>F21/E21</f>
        <v>0.00991633642442753</v>
      </c>
      <c r="H21" s="50">
        <f>D21/2</f>
        <v>2.5</v>
      </c>
      <c r="I21" s="55">
        <f>D21*G21/(1+(D21-H21)*G21)</f>
        <v>0.0483822455622269</v>
      </c>
      <c r="J21" s="55">
        <f>1-I21</f>
        <v>0.951617754437773</v>
      </c>
      <c r="K21" s="39">
        <f>K20-L20</f>
        <v>85523.0979946075</v>
      </c>
      <c r="L21" s="39">
        <f>K21*I21</f>
        <v>4137.79952841749</v>
      </c>
      <c r="M21" s="39">
        <f>D21*K22+H21*L21</f>
        <v>417270.991151994</v>
      </c>
      <c r="N21" s="39">
        <f>SUM(M21:$M$25)</f>
        <v>2436303.75445572</v>
      </c>
      <c r="O21" s="56">
        <f>N21/K21</f>
        <v>28.487084911369</v>
      </c>
      <c r="P21" s="29" t="n"/>
    </row>
    <row r="22">
      <c r="A22" s="29" t="n"/>
      <c r="B22" s="51" t="str">
        <f>'Cohorte ficticio'!B61</f>
        <v>60-64</v>
      </c>
      <c r="C22" s="57" t="n">
        <v>60</v>
      </c>
      <c r="D22" s="58" t="n">
        <v>5</v>
      </c>
      <c r="E22" s="42">
        <f>'Cohorte ficticio'!C61</f>
        <v>2734019</v>
      </c>
      <c r="F22" s="42">
        <f>'Cohorte ficticio'!D61</f>
        <v>36964.3558313088</v>
      </c>
      <c r="G22" s="49">
        <f>F22/E22</f>
        <v>0.0135201532364292</v>
      </c>
      <c r="H22" s="59">
        <f>D22/2</f>
        <v>2.5</v>
      </c>
      <c r="I22" s="49">
        <f>D22*G22/(1+(D22-H22)*G22)</f>
        <v>0.0653905408508544</v>
      </c>
      <c r="J22" s="49">
        <f>1-I22</f>
        <v>0.934609459149146</v>
      </c>
      <c r="K22" s="42">
        <f>K21-L21</f>
        <v>81385.29846619</v>
      </c>
      <c r="L22" s="42">
        <f>K22*I22</f>
        <v>5321.82868401238</v>
      </c>
      <c r="M22" s="42">
        <f>D22*K23+H22*L22</f>
        <v>393621.920620919</v>
      </c>
      <c r="N22" s="42">
        <f>SUM(M22:$M$25)</f>
        <v>2019032.76330372</v>
      </c>
      <c r="O22" s="60">
        <f>N22/K22</f>
        <v>24.8083228955963</v>
      </c>
      <c r="P22" s="29" t="n"/>
    </row>
    <row r="23">
      <c r="A23" s="29" t="n"/>
      <c r="B23" s="52" t="str">
        <f>'Cohorte ficticio'!B62</f>
        <v>65-69</v>
      </c>
      <c r="C23" s="53" t="n">
        <v>65</v>
      </c>
      <c r="D23" s="54" t="n">
        <v>5</v>
      </c>
      <c r="E23" s="39">
        <f>'Cohorte ficticio'!C62</f>
        <v>2216346</v>
      </c>
      <c r="F23" s="39">
        <f>'Cohorte ficticio'!D62</f>
        <v>40700.9257790546</v>
      </c>
      <c r="G23" s="55">
        <f>F23/E23</f>
        <v>0.0183639764635371</v>
      </c>
      <c r="H23" s="50">
        <f>D23/2</f>
        <v>2.5</v>
      </c>
      <c r="I23" s="55">
        <f>D23*G23/(1+(D23-H23)*G23)</f>
        <v>0.0877894727876391</v>
      </c>
      <c r="J23" s="55">
        <f>1-I23</f>
        <v>0.912210527212361</v>
      </c>
      <c r="K23" s="39">
        <f>K22-L22</f>
        <v>76063.4697821776</v>
      </c>
      <c r="L23" s="39">
        <f>K23*I23</f>
        <v>6677.57191057589</v>
      </c>
      <c r="M23" s="39">
        <f>D23*K24+H23*L23</f>
        <v>363623.419134448</v>
      </c>
      <c r="N23" s="39">
        <f>SUM(M23:$M$25)</f>
        <v>1625410.8426828</v>
      </c>
      <c r="O23" s="56">
        <f>N23/K23</f>
        <v>21.3691387907688</v>
      </c>
      <c r="P23" s="29" t="n"/>
    </row>
    <row r="24">
      <c r="A24" s="29" t="n"/>
      <c r="B24" s="51" t="str">
        <f>'Cohorte ficticio'!B63</f>
        <v>70-74</v>
      </c>
      <c r="C24" s="57" t="n">
        <v>70</v>
      </c>
      <c r="D24" s="58" t="n">
        <v>5</v>
      </c>
      <c r="E24" s="42">
        <f>'Cohorte ficticio'!C63</f>
        <v>1561618</v>
      </c>
      <c r="F24" s="42">
        <f>'Cohorte ficticio'!D63</f>
        <v>42245.031754986</v>
      </c>
      <c r="G24" s="49">
        <f>F24/E24</f>
        <v>0.0270520906873422</v>
      </c>
      <c r="H24" s="59">
        <f>D24/2</f>
        <v>2.5</v>
      </c>
      <c r="I24" s="49">
        <f>D24*G24/(1+(D24-H24)*G24)</f>
        <v>0.126692229249138</v>
      </c>
      <c r="J24" s="49">
        <f>1-I24</f>
        <v>0.873307770750862</v>
      </c>
      <c r="K24" s="42">
        <f>K23-L23</f>
        <v>69385.8978716017</v>
      </c>
      <c r="L24" s="42">
        <f>K24*I24</f>
        <v>8790.65407980624</v>
      </c>
      <c r="M24" s="42">
        <f>D24*K25+H24*L24</f>
        <v>324952.854158493</v>
      </c>
      <c r="N24" s="42">
        <f>SUM(M24:$M$25)</f>
        <v>1261787.42354835</v>
      </c>
      <c r="O24" s="60">
        <f>N24/K24</f>
        <v>18.1850701980291</v>
      </c>
      <c r="P24" s="29" t="n"/>
    </row>
    <row r="25">
      <c r="A25" s="29" t="n"/>
      <c r="B25" s="52" t="str">
        <f>'Cohorte ficticio'!B64</f>
        <v>75+</v>
      </c>
      <c r="C25" s="53" t="n">
        <v>75</v>
      </c>
      <c r="D25" s="54" t="inlineStr">
        <is>
          <t>abierto</t>
        </is>
      </c>
      <c r="E25" s="39">
        <f>'Cohorte ficticio'!C64</f>
        <v>2180337</v>
      </c>
      <c r="F25" s="39">
        <f>'Cohorte ficticio'!D64</f>
        <v>141026.021434411</v>
      </c>
      <c r="G25" s="55">
        <f>F25/E25</f>
        <v>0.0646808366937823</v>
      </c>
      <c r="H25" s="61" t="inlineStr">
        <is>
          <t>-</t>
        </is>
      </c>
      <c r="I25" s="55" t="n">
        <v>1</v>
      </c>
      <c r="J25" s="55">
        <f>1-I25</f>
        <v>0</v>
      </c>
      <c r="K25" s="39">
        <f>K24-L24</f>
        <v>60595.2437917955</v>
      </c>
      <c r="L25" s="39">
        <f>K25*I25</f>
        <v>60595.2437917955</v>
      </c>
      <c r="M25" s="39">
        <f>K25/G25</f>
        <v>936834.569389862</v>
      </c>
      <c r="N25" s="39">
        <f>SUM(M25:$M$25)</f>
        <v>936834.569389862</v>
      </c>
      <c r="O25" s="56">
        <f>N25/K25</f>
        <v>15.4605297506321</v>
      </c>
      <c r="P25" s="29" t="n"/>
    </row>
    <row r="26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</row>
    <row r="27">
      <c r="A27" s="29" t="n"/>
      <c r="B27" s="62" t="inlineStr">
        <is>
          <t>Control: suma de ndx − l0</t>
        </is>
      </c>
      <c r="E27" s="48">
        <f>ROUND(SUM(L9:L25)-D5,6)</f>
        <v>0</v>
      </c>
      <c r="F27" s="35" t="inlineStr">
        <is>
          <t>← debe ser 0</t>
        </is>
      </c>
      <c r="I27" s="29" t="n"/>
      <c r="J27" s="29" t="n"/>
      <c r="K27" s="29" t="n"/>
      <c r="L27" s="29" t="n"/>
      <c r="M27" s="29" t="n"/>
      <c r="N27" s="29" t="n"/>
      <c r="O27" s="29" t="n"/>
      <c r="P27" s="29" t="n"/>
    </row>
    <row r="28">
      <c r="A28" s="29" t="n"/>
      <c r="B28" s="62" t="inlineStr">
        <is>
          <t>q0 (mortalidad infantil, por mil)</t>
        </is>
      </c>
      <c r="E28" s="56">
        <f>I9*1000</f>
        <v>9.92937335308912</v>
      </c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</row>
    <row r="29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</row>
    <row r="30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</row>
    <row r="3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</row>
  </sheetData>
  <mergeCells count="5">
    <mergeCell ref="B28:D28"/>
    <mergeCell ref="B6:O6"/>
    <mergeCell ref="F27:H27"/>
    <mergeCell ref="B7:O7"/>
    <mergeCell ref="B27:D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showGridLines="0" zoomScale="85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6" customWidth="1" min="3" max="3"/>
    <col width="9" customWidth="1" min="4" max="4"/>
    <col width="15" customWidth="1" min="5" max="5"/>
    <col width="15" customWidth="1" min="6" max="6"/>
    <col width="10" customWidth="1" min="7" max="7"/>
    <col width="9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9" customWidth="1" min="15" max="15"/>
    <col width="3" customWidth="1" min="16" max="16"/>
  </cols>
  <sheetData>
    <row r="1">
      <c r="A1" s="29" t="n"/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</row>
    <row r="2" ht="30" customHeight="1">
      <c r="A2" s="29" t="n"/>
      <c r="B2" s="30" t="inlineStr">
        <is>
          <t>TABLA TRANSVERSAL ABREVIADA: MUJERES</t>
        </is>
      </c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29" t="n"/>
    </row>
    <row r="3" ht="18" customHeight="1">
      <c r="A3" s="29" t="n"/>
      <c r="B3" s="32" t="inlineStr">
        <is>
          <t>México 2025. Cohorte ficticia de 100,000 nacimientos con las tasas de mortalidad por edad observadas (INEGI: EIC 2025 y defunciones registradas)</t>
        </is>
      </c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29" t="n"/>
    </row>
    <row r="4">
      <c r="A4" s="29" t="n"/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</row>
    <row r="5">
      <c r="A5" s="29" t="n"/>
      <c r="B5" s="33" t="inlineStr">
        <is>
          <t>Radix l0</t>
        </is>
      </c>
      <c r="C5" s="29" t="n"/>
      <c r="D5" s="39">
        <f>'Cohorte ficticio'!D5</f>
        <v>100000</v>
      </c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</row>
    <row r="6">
      <c r="A6" s="29" t="n"/>
      <c r="B6" s="35" t="inlineStr">
        <is>
          <t>nMx = D/P;  nqx = n·nMx / (1 + (n − nax)·nMx);  lx+n = lx·(1 − nqx);  ndx = lx − lx+n;  nLx = n·lx+n + nax·ndx;  Tx = suma de nLx hacia abajo;  ex = Tx/lx.  Grupo abierto 75+: q = 1 y L = l/M.</t>
        </is>
      </c>
      <c r="P6" s="29" t="n"/>
    </row>
    <row r="7">
      <c r="A7" s="29" t="n"/>
      <c r="B7" s="35" t="inlineStr">
        <is>
          <t>nax: para 0 y 1-4, Coale-Demeny según la mortalidad infantil y el sexo (en ambos sexos, el promedio de hombres y mujeres); n/2 en los demás grupos. Valores sin redondear.</t>
        </is>
      </c>
      <c r="P7" s="29" t="n"/>
    </row>
    <row r="8" ht="32" customHeight="1">
      <c r="A8" s="29" t="n"/>
      <c r="B8" s="37" t="inlineStr">
        <is>
          <t>Edad</t>
        </is>
      </c>
      <c r="C8" s="37" t="inlineStr">
        <is>
          <t>x</t>
        </is>
      </c>
      <c r="D8" s="37" t="inlineStr">
        <is>
          <t>n</t>
        </is>
      </c>
      <c r="E8" s="37" t="inlineStr">
        <is>
          <t>P (población)</t>
        </is>
      </c>
      <c r="F8" s="37" t="inlineStr">
        <is>
          <t>D (defunciones)</t>
        </is>
      </c>
      <c r="G8" s="37" t="inlineStr">
        <is>
          <t>nMx</t>
        </is>
      </c>
      <c r="H8" s="37" t="inlineStr">
        <is>
          <t>nax</t>
        </is>
      </c>
      <c r="I8" s="37" t="inlineStr">
        <is>
          <t>nqx</t>
        </is>
      </c>
      <c r="J8" s="37" t="inlineStr">
        <is>
          <t>npx</t>
        </is>
      </c>
      <c r="K8" s="37" t="inlineStr">
        <is>
          <t>lx</t>
        </is>
      </c>
      <c r="L8" s="37" t="inlineStr">
        <is>
          <t>ndx</t>
        </is>
      </c>
      <c r="M8" s="37" t="inlineStr">
        <is>
          <t>nLx</t>
        </is>
      </c>
      <c r="N8" s="37" t="inlineStr">
        <is>
          <t>Tx</t>
        </is>
      </c>
      <c r="O8" s="37" t="inlineStr">
        <is>
          <t>ex</t>
        </is>
      </c>
      <c r="P8" s="29" t="n"/>
    </row>
    <row r="9">
      <c r="A9" s="29" t="n"/>
      <c r="B9" s="52" t="str">
        <f>'Cohorte ficticio'!B48</f>
        <v>0</v>
      </c>
      <c r="C9" s="53" t="n">
        <v>0</v>
      </c>
      <c r="D9" s="54" t="n">
        <v>1</v>
      </c>
      <c r="E9" s="39">
        <f>'Cohorte ficticio'!E48</f>
        <v>676488.7355418</v>
      </c>
      <c r="F9" s="39">
        <f>'Cohorte ficticio'!F48</f>
        <v>5328.38625673684</v>
      </c>
      <c r="G9" s="55">
        <f>F9/E9</f>
        <v>0.00787653360180393</v>
      </c>
      <c r="H9" s="50">
        <f>IF($G$9&gt;=0.107,0.35,0.053+2.8*$G$9)</f>
        <v>0.075054294085051</v>
      </c>
      <c r="I9" s="55">
        <f>D9*G9/(1+(D9-H9)*G9)</f>
        <v>0.00781956520783196</v>
      </c>
      <c r="J9" s="55">
        <f>1-I9</f>
        <v>0.992180434792168</v>
      </c>
      <c r="K9" s="39">
        <f>$D$5</f>
        <v>100000</v>
      </c>
      <c r="L9" s="39">
        <f>K9*I9</f>
        <v>781.956520783196</v>
      </c>
      <c r="M9" s="39">
        <f>D9*K10+H9*L9</f>
        <v>99276.7326738894</v>
      </c>
      <c r="N9" s="39">
        <f>SUM(M9:$M$25)</f>
        <v>8392453.67809822</v>
      </c>
      <c r="O9" s="56">
        <f>N9/K9</f>
        <v>83.9245367809822</v>
      </c>
      <c r="P9" s="29" t="n"/>
    </row>
    <row r="10">
      <c r="A10" s="29" t="n"/>
      <c r="B10" s="51" t="str">
        <f>'Cohorte ficticio'!B49</f>
        <v>1-4</v>
      </c>
      <c r="C10" s="57" t="n">
        <v>1</v>
      </c>
      <c r="D10" s="58" t="n">
        <v>4</v>
      </c>
      <c r="E10" s="42">
        <f>'Cohorte ficticio'!E49</f>
        <v>3064897.2644582</v>
      </c>
      <c r="F10" s="42">
        <f>'Cohorte ficticio'!F49</f>
        <v>1307.85947928862</v>
      </c>
      <c r="G10" s="49">
        <f>F10/E10</f>
        <v>0.000426722126857265</v>
      </c>
      <c r="H10" s="59">
        <f>IF($G$9&gt;=0.107,1.361,1.522-1.518*$G$9)</f>
        <v>1.51004342199246</v>
      </c>
      <c r="I10" s="49">
        <f>D10*G10/(1+(D10-H10)*G10)</f>
        <v>0.00170507682993444</v>
      </c>
      <c r="J10" s="49">
        <f>1-I10</f>
        <v>0.998294923170066</v>
      </c>
      <c r="K10" s="42">
        <f>K9-L9</f>
        <v>99218.0434792168</v>
      </c>
      <c r="L10" s="42">
        <f>K10*I10</f>
        <v>169.174387047841</v>
      </c>
      <c r="M10" s="42">
        <f>D10*K11+H10*L10</f>
        <v>396450.937039007</v>
      </c>
      <c r="N10" s="42">
        <f>SUM(M10:$M$25)</f>
        <v>8293176.94542433</v>
      </c>
      <c r="O10" s="60">
        <f>N10/K10</f>
        <v>83.5853707109383</v>
      </c>
      <c r="P10" s="29" t="n"/>
    </row>
    <row r="11">
      <c r="A11" s="29" t="n"/>
      <c r="B11" s="52" t="str">
        <f>'Cohorte ficticio'!B50</f>
        <v>5-9</v>
      </c>
      <c r="C11" s="53" t="n">
        <v>5</v>
      </c>
      <c r="D11" s="54" t="n">
        <v>5</v>
      </c>
      <c r="E11" s="39">
        <f>'Cohorte ficticio'!E50</f>
        <v>4785294</v>
      </c>
      <c r="F11" s="39">
        <f>'Cohorte ficticio'!F50</f>
        <v>831.888179757303</v>
      </c>
      <c r="G11" s="55">
        <f>F11/E11</f>
        <v>0.000173842647861825</v>
      </c>
      <c r="H11" s="50">
        <f>D11/2</f>
        <v>2.5</v>
      </c>
      <c r="I11" s="55">
        <f>D11*G11/(1+(D11-H11)*G11)</f>
        <v>0.000868835637589636</v>
      </c>
      <c r="J11" s="55">
        <f>1-I11</f>
        <v>0.99913116436241</v>
      </c>
      <c r="K11" s="39">
        <f>K10-L10</f>
        <v>99048.869092169</v>
      </c>
      <c r="L11" s="39">
        <f>K11*I11</f>
        <v>86.057187330227</v>
      </c>
      <c r="M11" s="39">
        <f>D11*K12+H11*L11</f>
        <v>495029.202492519</v>
      </c>
      <c r="N11" s="39">
        <f>SUM(M11:$M$25)</f>
        <v>7896726.00838533</v>
      </c>
      <c r="O11" s="56">
        <f>N11/K11</f>
        <v>79.7255544738942</v>
      </c>
      <c r="P11" s="29" t="n"/>
    </row>
    <row r="12">
      <c r="A12" s="29" t="n"/>
      <c r="B12" s="51" t="str">
        <f>'Cohorte ficticio'!B51</f>
        <v>10-14</v>
      </c>
      <c r="C12" s="57" t="n">
        <v>10</v>
      </c>
      <c r="D12" s="58" t="n">
        <v>5</v>
      </c>
      <c r="E12" s="42">
        <f>'Cohorte ficticio'!E51</f>
        <v>5353603</v>
      </c>
      <c r="F12" s="42">
        <f>'Cohorte ficticio'!F51</f>
        <v>1313.40227658433</v>
      </c>
      <c r="G12" s="49">
        <f>F12/E12</f>
        <v>0.00024533053283636</v>
      </c>
      <c r="H12" s="59">
        <f>D12/2</f>
        <v>2.5</v>
      </c>
      <c r="I12" s="49">
        <f>D12*G12/(1+(D12-H12)*G12)</f>
        <v>0.00122590078694863</v>
      </c>
      <c r="J12" s="49">
        <f>1-I12</f>
        <v>0.998774099213051</v>
      </c>
      <c r="K12" s="42">
        <f>K11-L11</f>
        <v>98962.8119048388</v>
      </c>
      <c r="L12" s="42">
        <f>K12*I12</f>
        <v>121.318588992791</v>
      </c>
      <c r="M12" s="42">
        <f>D12*K13+H12*L12</f>
        <v>494510.763051712</v>
      </c>
      <c r="N12" s="42">
        <f>SUM(M12:$M$25)</f>
        <v>7401696.80589281</v>
      </c>
      <c r="O12" s="60">
        <f>N12/K12</f>
        <v>74.7927091341157</v>
      </c>
      <c r="P12" s="29" t="n"/>
    </row>
    <row r="13">
      <c r="A13" s="29" t="n"/>
      <c r="B13" s="52" t="str">
        <f>'Cohorte ficticio'!B52</f>
        <v>15-19</v>
      </c>
      <c r="C13" s="53" t="n">
        <v>15</v>
      </c>
      <c r="D13" s="54" t="n">
        <v>5</v>
      </c>
      <c r="E13" s="39">
        <f>'Cohorte ficticio'!E52</f>
        <v>5349921</v>
      </c>
      <c r="F13" s="39">
        <f>'Cohorte ficticio'!F52</f>
        <v>2266.41978215467</v>
      </c>
      <c r="G13" s="55">
        <f>F13/E13</f>
        <v>0.000423636121384722</v>
      </c>
      <c r="H13" s="50">
        <f>D13/2</f>
        <v>2.5</v>
      </c>
      <c r="I13" s="55">
        <f>D13*G13/(1+(D13-H13)*G13)</f>
        <v>0.00211593963577265</v>
      </c>
      <c r="J13" s="55">
        <f>1-I13</f>
        <v>0.997884060364227</v>
      </c>
      <c r="K13" s="39">
        <f>K12-L12</f>
        <v>98841.493315846</v>
      </c>
      <c r="L13" s="39">
        <f>K13*I13</f>
        <v>209.142633365956</v>
      </c>
      <c r="M13" s="39">
        <f>D13*K14+H13*L13</f>
        <v>493684.609995815</v>
      </c>
      <c r="N13" s="39">
        <f>SUM(M13:$M$25)</f>
        <v>6907186.0428411</v>
      </c>
      <c r="O13" s="56">
        <f>N13/K13</f>
        <v>69.881441600334</v>
      </c>
      <c r="P13" s="29" t="n"/>
    </row>
    <row r="14">
      <c r="A14" s="29" t="n"/>
      <c r="B14" s="51" t="str">
        <f>'Cohorte ficticio'!B53</f>
        <v>20-24</v>
      </c>
      <c r="C14" s="57" t="n">
        <v>20</v>
      </c>
      <c r="D14" s="58" t="n">
        <v>5</v>
      </c>
      <c r="E14" s="42">
        <f>'Cohorte ficticio'!E53</f>
        <v>5319788</v>
      </c>
      <c r="F14" s="42">
        <f>'Cohorte ficticio'!F53</f>
        <v>2787.1892220883</v>
      </c>
      <c r="G14" s="49">
        <f>F14/E14</f>
        <v>0.000523928626871653</v>
      </c>
      <c r="H14" s="59">
        <f>D14/2</f>
        <v>2.5</v>
      </c>
      <c r="I14" s="49">
        <f>D14*G14/(1+(D14-H14)*G14)</f>
        <v>0.00261621635774848</v>
      </c>
      <c r="J14" s="49">
        <f>1-I14</f>
        <v>0.997383783642252</v>
      </c>
      <c r="K14" s="42">
        <f>K13-L13</f>
        <v>98632.35068248</v>
      </c>
      <c r="L14" s="42">
        <f>K14*I14</f>
        <v>258.043569258689</v>
      </c>
      <c r="M14" s="42">
        <f>D14*K15+H14*L14</f>
        <v>492516.644489253</v>
      </c>
      <c r="N14" s="42">
        <f>SUM(M14:$M$25)</f>
        <v>6413501.43284528</v>
      </c>
      <c r="O14" s="60">
        <f>N14/K14</f>
        <v>65.0243189832492</v>
      </c>
      <c r="P14" s="29" t="n"/>
    </row>
    <row r="15">
      <c r="A15" s="29" t="n"/>
      <c r="B15" s="52" t="str">
        <f>'Cohorte ficticio'!B54</f>
        <v>25-29</v>
      </c>
      <c r="C15" s="53" t="n">
        <v>25</v>
      </c>
      <c r="D15" s="54" t="n">
        <v>5</v>
      </c>
      <c r="E15" s="39">
        <f>'Cohorte ficticio'!E54</f>
        <v>5104330</v>
      </c>
      <c r="F15" s="39">
        <f>'Cohorte ficticio'!F54</f>
        <v>3480.94419145454</v>
      </c>
      <c r="G15" s="55">
        <f>F15/E15</f>
        <v>0.00068195908012502</v>
      </c>
      <c r="H15" s="50">
        <f>D15/2</f>
        <v>2.5</v>
      </c>
      <c r="I15" s="55">
        <f>D15*G15/(1+(D15-H15)*G15)</f>
        <v>0.00340399194259029</v>
      </c>
      <c r="J15" s="55">
        <f>1-I15</f>
        <v>0.99659600805741</v>
      </c>
      <c r="K15" s="39">
        <f>K14-L14</f>
        <v>98374.3071132213</v>
      </c>
      <c r="L15" s="39">
        <f>K15*I15</f>
        <v>334.865348771308</v>
      </c>
      <c r="M15" s="39">
        <f>D15*K16+H15*L15</f>
        <v>491034.372194178</v>
      </c>
      <c r="N15" s="39">
        <f>SUM(M15:$M$25)</f>
        <v>5920984.78835603</v>
      </c>
      <c r="O15" s="56">
        <f>N15/K15</f>
        <v>60.1883252050907</v>
      </c>
      <c r="P15" s="29" t="n"/>
    </row>
    <row r="16">
      <c r="A16" s="29" t="n"/>
      <c r="B16" s="51" t="str">
        <f>'Cohorte ficticio'!B55</f>
        <v>30-34</v>
      </c>
      <c r="C16" s="57" t="n">
        <v>30</v>
      </c>
      <c r="D16" s="58" t="n">
        <v>5</v>
      </c>
      <c r="E16" s="42">
        <f>'Cohorte ficticio'!E55</f>
        <v>5282566</v>
      </c>
      <c r="F16" s="42">
        <f>'Cohorte ficticio'!F55</f>
        <v>4657.22445224798</v>
      </c>
      <c r="G16" s="49">
        <f>F16/E16</f>
        <v>0.000881621630898313</v>
      </c>
      <c r="H16" s="59">
        <f>D16/2</f>
        <v>2.5</v>
      </c>
      <c r="I16" s="49">
        <f>D16*G16/(1+(D16-H16)*G16)</f>
        <v>0.0043984138125945</v>
      </c>
      <c r="J16" s="49">
        <f>1-I16</f>
        <v>0.995601586187406</v>
      </c>
      <c r="K16" s="42">
        <f>K15-L15</f>
        <v>98039.44176445</v>
      </c>
      <c r="L16" s="42">
        <f>K16*I16</f>
        <v>431.218034835811</v>
      </c>
      <c r="M16" s="42">
        <f>D16*K17+H16*L16</f>
        <v>489119.163735161</v>
      </c>
      <c r="N16" s="42">
        <f>SUM(M16:$M$25)</f>
        <v>5429950.41616185</v>
      </c>
      <c r="O16" s="60">
        <f>N16/K16</f>
        <v>55.3853665263402</v>
      </c>
      <c r="P16" s="29" t="n"/>
    </row>
    <row r="17">
      <c r="A17" s="29" t="n"/>
      <c r="B17" s="52" t="str">
        <f>'Cohorte ficticio'!B56</f>
        <v>35-39</v>
      </c>
      <c r="C17" s="53" t="n">
        <v>35</v>
      </c>
      <c r="D17" s="54" t="n">
        <v>5</v>
      </c>
      <c r="E17" s="39">
        <f>'Cohorte ficticio'!E56</f>
        <v>5095386</v>
      </c>
      <c r="F17" s="39">
        <f>'Cohorte ficticio'!F56</f>
        <v>5790.74180411789</v>
      </c>
      <c r="G17" s="55">
        <f>F17/E17</f>
        <v>0.00113646773848299</v>
      </c>
      <c r="H17" s="50">
        <f>D17/2</f>
        <v>2.5</v>
      </c>
      <c r="I17" s="55">
        <f>D17*G17/(1+(D17-H17)*G17)</f>
        <v>0.00566623994517447</v>
      </c>
      <c r="J17" s="55">
        <f>1-I17</f>
        <v>0.994333760054826</v>
      </c>
      <c r="K17" s="39">
        <f>K16-L16</f>
        <v>97608.2237296142</v>
      </c>
      <c r="L17" s="39">
        <f>K17*I17</f>
        <v>553.071616274266</v>
      </c>
      <c r="M17" s="39">
        <f>D17*K18+H17*L17</f>
        <v>486658.439607385</v>
      </c>
      <c r="N17" s="39">
        <f>SUM(M17:$M$25)</f>
        <v>4940831.25242669</v>
      </c>
      <c r="O17" s="56">
        <f>N17/K17</f>
        <v>50.6190058955826</v>
      </c>
      <c r="P17" s="29" t="n"/>
    </row>
    <row r="18">
      <c r="A18" s="29" t="n"/>
      <c r="B18" s="51" t="str">
        <f>'Cohorte ficticio'!B57</f>
        <v>40-44</v>
      </c>
      <c r="C18" s="57" t="n">
        <v>40</v>
      </c>
      <c r="D18" s="58" t="n">
        <v>5</v>
      </c>
      <c r="E18" s="42">
        <f>'Cohorte ficticio'!E57</f>
        <v>4742766</v>
      </c>
      <c r="F18" s="42">
        <f>'Cohorte ficticio'!F57</f>
        <v>7754.91409174289</v>
      </c>
      <c r="G18" s="49">
        <f>F18/E18</f>
        <v>0.00163510366982957</v>
      </c>
      <c r="H18" s="59">
        <f>D18/2</f>
        <v>2.5</v>
      </c>
      <c r="I18" s="49">
        <f>D18*G18/(1+(D18-H18)*G18)</f>
        <v>0.00814223485392217</v>
      </c>
      <c r="J18" s="49">
        <f>1-I18</f>
        <v>0.991857765146078</v>
      </c>
      <c r="K18" s="42">
        <f>K17-L17</f>
        <v>97055.1521133399</v>
      </c>
      <c r="L18" s="42">
        <f>K18*I18</f>
        <v>790.245842289955</v>
      </c>
      <c r="M18" s="42">
        <f>D18*K19+H18*L18</f>
        <v>483300.145960975</v>
      </c>
      <c r="N18" s="42">
        <f>SUM(M18:$M$25)</f>
        <v>4454172.8128193</v>
      </c>
      <c r="O18" s="60">
        <f>N18/K18</f>
        <v>45.8932134547352</v>
      </c>
      <c r="P18" s="29" t="n"/>
    </row>
    <row r="19">
      <c r="A19" s="29" t="n"/>
      <c r="B19" s="52" t="str">
        <f>'Cohorte ficticio'!B58</f>
        <v>45-49</v>
      </c>
      <c r="C19" s="53" t="n">
        <v>45</v>
      </c>
      <c r="D19" s="54" t="n">
        <v>5</v>
      </c>
      <c r="E19" s="39">
        <f>'Cohorte ficticio'!E58</f>
        <v>4437822</v>
      </c>
      <c r="F19" s="39">
        <f>'Cohorte ficticio'!F58</f>
        <v>11283.3971839061</v>
      </c>
      <c r="G19" s="55">
        <f>F19/E19</f>
        <v>0.00254255289732353</v>
      </c>
      <c r="H19" s="50">
        <f>D19/2</f>
        <v>2.5</v>
      </c>
      <c r="I19" s="55">
        <f>D19*G19/(1+(D19-H19)*G19)</f>
        <v>0.0126324676932829</v>
      </c>
      <c r="J19" s="55">
        <f>1-I19</f>
        <v>0.987367532306717</v>
      </c>
      <c r="K19" s="39">
        <f>K18-L18</f>
        <v>96264.90627105</v>
      </c>
      <c r="L19" s="39">
        <f>K19*I19</f>
        <v>1216.06331846594</v>
      </c>
      <c r="M19" s="39">
        <f>D19*K20+H19*L19</f>
        <v>478284.373059085</v>
      </c>
      <c r="N19" s="39">
        <f>SUM(M19:$M$25)</f>
        <v>3970872.66685833</v>
      </c>
      <c r="O19" s="56">
        <f>N19/K19</f>
        <v>41.2494316015607</v>
      </c>
      <c r="P19" s="29" t="n"/>
    </row>
    <row r="20">
      <c r="A20" s="29" t="n"/>
      <c r="B20" s="51" t="str">
        <f>'Cohorte ficticio'!B59</f>
        <v>50-54</v>
      </c>
      <c r="C20" s="57" t="n">
        <v>50</v>
      </c>
      <c r="D20" s="58" t="n">
        <v>5</v>
      </c>
      <c r="E20" s="42">
        <f>'Cohorte ficticio'!E59</f>
        <v>4409290</v>
      </c>
      <c r="F20" s="42">
        <f>'Cohorte ficticio'!F59</f>
        <v>16057.5150785346</v>
      </c>
      <c r="G20" s="49">
        <f>F20/E20</f>
        <v>0.00364174619463328</v>
      </c>
      <c r="H20" s="59">
        <f>D20/2</f>
        <v>2.5</v>
      </c>
      <c r="I20" s="49">
        <f>D20*G20/(1+(D20-H20)*G20)</f>
        <v>0.0180444477260648</v>
      </c>
      <c r="J20" s="49">
        <f>1-I20</f>
        <v>0.981955552273935</v>
      </c>
      <c r="K20" s="42">
        <f>K19-L19</f>
        <v>95048.8429525841</v>
      </c>
      <c r="L20" s="42">
        <f>K20*I20</f>
        <v>1715.10387808084</v>
      </c>
      <c r="M20" s="42">
        <f>D20*K21+H20*L20</f>
        <v>470956.455067718</v>
      </c>
      <c r="N20" s="42">
        <f>SUM(M20:$M$25)</f>
        <v>3492588.29379924</v>
      </c>
      <c r="O20" s="60">
        <f>N20/K20</f>
        <v>36.7451952628351</v>
      </c>
      <c r="P20" s="29" t="n"/>
    </row>
    <row r="21">
      <c r="A21" s="29" t="n"/>
      <c r="B21" s="52" t="str">
        <f>'Cohorte ficticio'!B60</f>
        <v>55-59</v>
      </c>
      <c r="C21" s="53" t="n">
        <v>55</v>
      </c>
      <c r="D21" s="54" t="n">
        <v>5</v>
      </c>
      <c r="E21" s="39">
        <f>'Cohorte ficticio'!E60</f>
        <v>3553454</v>
      </c>
      <c r="F21" s="39">
        <f>'Cohorte ficticio'!F60</f>
        <v>20407.1668929969</v>
      </c>
      <c r="G21" s="55">
        <f>F21/E21</f>
        <v>0.00574291010746076</v>
      </c>
      <c r="H21" s="50">
        <f>D21/2</f>
        <v>2.5</v>
      </c>
      <c r="I21" s="55">
        <f>D21*G21/(1+(D21-H21)*G21)</f>
        <v>0.0283081230227276</v>
      </c>
      <c r="J21" s="55">
        <f>1-I21</f>
        <v>0.971691876977272</v>
      </c>
      <c r="K21" s="39">
        <f>K20-L20</f>
        <v>93333.7390745032</v>
      </c>
      <c r="L21" s="39">
        <f>K21*I21</f>
        <v>2642.1029678922</v>
      </c>
      <c r="M21" s="39">
        <f>D21*K22+H21*L21</f>
        <v>460063.437952785</v>
      </c>
      <c r="N21" s="39">
        <f>SUM(M21:$M$25)</f>
        <v>3021631.83873153</v>
      </c>
      <c r="O21" s="56">
        <f>N21/K21</f>
        <v>32.3744861043178</v>
      </c>
      <c r="P21" s="29" t="n"/>
    </row>
    <row r="22">
      <c r="A22" s="29" t="n"/>
      <c r="B22" s="51" t="str">
        <f>'Cohorte ficticio'!B61</f>
        <v>60-64</v>
      </c>
      <c r="C22" s="57" t="n">
        <v>60</v>
      </c>
      <c r="D22" s="58" t="n">
        <v>5</v>
      </c>
      <c r="E22" s="42">
        <f>'Cohorte ficticio'!E61</f>
        <v>3257527</v>
      </c>
      <c r="F22" s="42">
        <f>'Cohorte ficticio'!F61</f>
        <v>26735.9666676694</v>
      </c>
      <c r="G22" s="49">
        <f>F22/E22</f>
        <v>0.0082074428447314</v>
      </c>
      <c r="H22" s="59">
        <f>D22/2</f>
        <v>2.5</v>
      </c>
      <c r="I22" s="49">
        <f>D22*G22/(1+(D22-H22)*G22)</f>
        <v>0.0402121175818602</v>
      </c>
      <c r="J22" s="49">
        <f>1-I22</f>
        <v>0.95978788241814</v>
      </c>
      <c r="K22" s="42">
        <f>K21-L21</f>
        <v>90691.636106611</v>
      </c>
      <c r="L22" s="42">
        <f>K22*I22</f>
        <v>3646.90273481032</v>
      </c>
      <c r="M22" s="42">
        <f>D22*K23+H22*L22</f>
        <v>444340.923696029</v>
      </c>
      <c r="N22" s="42">
        <f>SUM(M22:$M$25)</f>
        <v>2561568.40077874</v>
      </c>
      <c r="O22" s="60">
        <f>N22/K22</f>
        <v>28.2448140837104</v>
      </c>
      <c r="P22" s="29" t="n"/>
    </row>
    <row r="23">
      <c r="A23" s="29" t="n"/>
      <c r="B23" s="52" t="str">
        <f>'Cohorte ficticio'!B62</f>
        <v>65-69</v>
      </c>
      <c r="C23" s="53" t="n">
        <v>65</v>
      </c>
      <c r="D23" s="54" t="n">
        <v>5</v>
      </c>
      <c r="E23" s="39">
        <f>'Cohorte ficticio'!E62</f>
        <v>2613496</v>
      </c>
      <c r="F23" s="39">
        <f>'Cohorte ficticio'!F62</f>
        <v>31309.3012014532</v>
      </c>
      <c r="G23" s="55">
        <f>F23/E23</f>
        <v>0.0119798542647294</v>
      </c>
      <c r="H23" s="50">
        <f>D23/2</f>
        <v>2.5</v>
      </c>
      <c r="I23" s="55">
        <f>D23*G23/(1+(D23-H23)*G23)</f>
        <v>0.0581574761033407</v>
      </c>
      <c r="J23" s="55">
        <f>1-I23</f>
        <v>0.941842523896659</v>
      </c>
      <c r="K23" s="39">
        <f>K22-L22</f>
        <v>87044.7333718007</v>
      </c>
      <c r="L23" s="39">
        <f>K23*I23</f>
        <v>5062.30200099216</v>
      </c>
      <c r="M23" s="39">
        <f>D23*K24+H23*L23</f>
        <v>422567.911856523</v>
      </c>
      <c r="N23" s="39">
        <f>SUM(M23:$M$25)</f>
        <v>2117227.47708271</v>
      </c>
      <c r="O23" s="56">
        <f>N23/K23</f>
        <v>24.3234414658867</v>
      </c>
      <c r="P23" s="29" t="n"/>
    </row>
    <row r="24">
      <c r="A24" s="29" t="n"/>
      <c r="B24" s="51" t="str">
        <f>'Cohorte ficticio'!B63</f>
        <v>70-74</v>
      </c>
      <c r="C24" s="57" t="n">
        <v>70</v>
      </c>
      <c r="D24" s="58" t="n">
        <v>5</v>
      </c>
      <c r="E24" s="42">
        <f>'Cohorte ficticio'!E63</f>
        <v>1838237</v>
      </c>
      <c r="F24" s="42">
        <f>'Cohorte ficticio'!F63</f>
        <v>35302.6915272458</v>
      </c>
      <c r="G24" s="49">
        <f>F24/E24</f>
        <v>0.0192046463689099</v>
      </c>
      <c r="H24" s="59">
        <f>D24/2</f>
        <v>2.5</v>
      </c>
      <c r="I24" s="49">
        <f>D24*G24/(1+(D24-H24)*G24)</f>
        <v>0.0916242056726126</v>
      </c>
      <c r="J24" s="49">
        <f>1-I24</f>
        <v>0.908375794327388</v>
      </c>
      <c r="K24" s="42">
        <f>K23-L23</f>
        <v>81982.4313708085</v>
      </c>
      <c r="L24" s="42">
        <f>K24*I24</f>
        <v>7511.5751534598</v>
      </c>
      <c r="M24" s="42">
        <f>D24*K25+H24*L24</f>
        <v>391133.218970393</v>
      </c>
      <c r="N24" s="42">
        <f>SUM(M24:$M$25)</f>
        <v>1694659.56522619</v>
      </c>
      <c r="O24" s="60">
        <f>N24/K24</f>
        <v>20.6710088599495</v>
      </c>
      <c r="P24" s="29" t="n"/>
    </row>
    <row r="25">
      <c r="A25" s="29" t="n"/>
      <c r="B25" s="52" t="str">
        <f>'Cohorte ficticio'!B64</f>
        <v>75+</v>
      </c>
      <c r="C25" s="53" t="n">
        <v>75</v>
      </c>
      <c r="D25" s="54" t="inlineStr">
        <is>
          <t>abierto</t>
        </is>
      </c>
      <c r="E25" s="39">
        <f>'Cohorte ficticio'!E64</f>
        <v>2784501</v>
      </c>
      <c r="F25" s="39">
        <f>'Cohorte ficticio'!F64</f>
        <v>159079.388156357</v>
      </c>
      <c r="G25" s="55">
        <f>F25/E25</f>
        <v>0.0571303038341007</v>
      </c>
      <c r="H25" s="61" t="inlineStr">
        <is>
          <t>-</t>
        </is>
      </c>
      <c r="I25" s="55" t="n">
        <v>1</v>
      </c>
      <c r="J25" s="55">
        <f>1-I25</f>
        <v>0</v>
      </c>
      <c r="K25" s="39">
        <f>K24-L24</f>
        <v>74470.8562173487</v>
      </c>
      <c r="L25" s="39">
        <f>K25*I25</f>
        <v>74470.8562173487</v>
      </c>
      <c r="M25" s="39">
        <f>K25/G25</f>
        <v>1303526.3462558</v>
      </c>
      <c r="N25" s="39">
        <f>SUM(M25:$M$25)</f>
        <v>1303526.3462558</v>
      </c>
      <c r="O25" s="56">
        <f>N25/K25</f>
        <v>17.5038452955524</v>
      </c>
      <c r="P25" s="29" t="n"/>
    </row>
    <row r="26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</row>
    <row r="27">
      <c r="A27" s="29" t="n"/>
      <c r="B27" s="62" t="inlineStr">
        <is>
          <t>Control: suma de ndx − l0</t>
        </is>
      </c>
      <c r="E27" s="48">
        <f>ROUND(SUM(L9:L25)-D5,6)</f>
        <v>0</v>
      </c>
      <c r="F27" s="35" t="inlineStr">
        <is>
          <t>← debe ser 0</t>
        </is>
      </c>
      <c r="I27" s="29" t="n"/>
      <c r="J27" s="29" t="n"/>
      <c r="K27" s="29" t="n"/>
      <c r="L27" s="29" t="n"/>
      <c r="M27" s="29" t="n"/>
      <c r="N27" s="29" t="n"/>
      <c r="O27" s="29" t="n"/>
      <c r="P27" s="29" t="n"/>
    </row>
    <row r="28">
      <c r="A28" s="29" t="n"/>
      <c r="B28" s="62" t="inlineStr">
        <is>
          <t>q0 (mortalidad infantil, por mil)</t>
        </is>
      </c>
      <c r="E28" s="56">
        <f>I9*1000</f>
        <v>7.81956520783196</v>
      </c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</row>
    <row r="29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</row>
    <row r="30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</row>
    <row r="3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</row>
  </sheetData>
  <mergeCells count="5">
    <mergeCell ref="B28:D28"/>
    <mergeCell ref="B6:O6"/>
    <mergeCell ref="F27:H27"/>
    <mergeCell ref="B7:O7"/>
    <mergeCell ref="B27:D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2"/>
  <sheetViews>
    <sheetView showGridLines="0" zoomScale="85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6" customWidth="1" min="3" max="3"/>
    <col width="9" customWidth="1" min="4" max="4"/>
    <col width="15" customWidth="1" min="5" max="5"/>
    <col width="15" customWidth="1" min="6" max="6"/>
    <col width="10" customWidth="1" min="7" max="7"/>
    <col width="9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9" customWidth="1" min="15" max="15"/>
    <col width="3" customWidth="1" min="16" max="16"/>
  </cols>
  <sheetData>
    <row r="1">
      <c r="A1" s="29" t="n"/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</row>
    <row r="2" ht="30" customHeight="1">
      <c r="A2" s="29" t="n"/>
      <c r="B2" s="30" t="inlineStr">
        <is>
          <t>TABLA TRANSVERSAL ABREVIADA: AMBOS SEXOS</t>
        </is>
      </c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29" t="n"/>
    </row>
    <row r="3" ht="18" customHeight="1">
      <c r="A3" s="29" t="n"/>
      <c r="B3" s="32" t="inlineStr">
        <is>
          <t>México 2025. Cohorte ficticia de 100,000 nacimientos con las tasas de mortalidad por edad observadas (INEGI: EIC 2025 y defunciones registradas)</t>
        </is>
      </c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29" t="n"/>
    </row>
    <row r="4">
      <c r="A4" s="29" t="n"/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</row>
    <row r="5">
      <c r="A5" s="29" t="n"/>
      <c r="B5" s="33" t="inlineStr">
        <is>
          <t>Radix l0</t>
        </is>
      </c>
      <c r="C5" s="29" t="n"/>
      <c r="D5" s="39">
        <f>'Cohorte ficticio'!D5</f>
        <v>100000</v>
      </c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</row>
    <row r="6">
      <c r="A6" s="29" t="n"/>
      <c r="B6" s="35" t="inlineStr">
        <is>
          <t>nMx = D/P;  nqx = n·nMx / (1 + (n − nax)·nMx);  lx+n = lx·(1 − nqx);  ndx = lx − lx+n;  nLx = n·lx+n + nax·ndx;  Tx = suma de nLx hacia abajo;  ex = Tx/lx.  Grupo abierto 75+: q = 1 y L = l/M.</t>
        </is>
      </c>
      <c r="P6" s="29" t="n"/>
    </row>
    <row r="7">
      <c r="A7" s="29" t="n"/>
      <c r="B7" s="35" t="inlineStr">
        <is>
          <t>nax: para 0 y 1-4, Coale-Demeny según la mortalidad infantil y el sexo (en ambos sexos, el promedio de hombres y mujeres); n/2 en los demás grupos. Valores sin redondear.</t>
        </is>
      </c>
      <c r="P7" s="29" t="n"/>
    </row>
    <row r="8" ht="32" customHeight="1">
      <c r="A8" s="29" t="n"/>
      <c r="B8" s="37" t="inlineStr">
        <is>
          <t>Edad</t>
        </is>
      </c>
      <c r="C8" s="37" t="inlineStr">
        <is>
          <t>x</t>
        </is>
      </c>
      <c r="D8" s="37" t="inlineStr">
        <is>
          <t>n</t>
        </is>
      </c>
      <c r="E8" s="37" t="inlineStr">
        <is>
          <t>P (población)</t>
        </is>
      </c>
      <c r="F8" s="37" t="inlineStr">
        <is>
          <t>D (defunciones)</t>
        </is>
      </c>
      <c r="G8" s="37" t="inlineStr">
        <is>
          <t>nMx</t>
        </is>
      </c>
      <c r="H8" s="37" t="inlineStr">
        <is>
          <t>nax</t>
        </is>
      </c>
      <c r="I8" s="37" t="inlineStr">
        <is>
          <t>nqx</t>
        </is>
      </c>
      <c r="J8" s="37" t="inlineStr">
        <is>
          <t>npx</t>
        </is>
      </c>
      <c r="K8" s="37" t="inlineStr">
        <is>
          <t>lx</t>
        </is>
      </c>
      <c r="L8" s="37" t="inlineStr">
        <is>
          <t>ndx</t>
        </is>
      </c>
      <c r="M8" s="37" t="inlineStr">
        <is>
          <t>nLx</t>
        </is>
      </c>
      <c r="N8" s="37" t="inlineStr">
        <is>
          <t>Tx</t>
        </is>
      </c>
      <c r="O8" s="37" t="inlineStr">
        <is>
          <t>ex</t>
        </is>
      </c>
      <c r="P8" s="29" t="n"/>
    </row>
    <row r="9">
      <c r="A9" s="29" t="n"/>
      <c r="B9" s="52" t="str">
        <f>'Cohorte ficticio'!B48</f>
        <v>0</v>
      </c>
      <c r="C9" s="53" t="n">
        <v>0</v>
      </c>
      <c r="D9" s="54" t="n">
        <v>1</v>
      </c>
      <c r="E9" s="39">
        <f>'Cohorte ficticio'!G48</f>
        <v>1369364.21638986</v>
      </c>
      <c r="F9" s="39">
        <f>'Cohorte ficticio'!H48</f>
        <v>12272.1960509536</v>
      </c>
      <c r="G9" s="55">
        <f>F9/E9</f>
        <v>0.00896196636663077</v>
      </c>
      <c r="H9" s="50">
        <f>(IF($G$9&gt;=0.107,0.33,0.045+2.684*$G$9)+IF($G$9&gt;=0.107,0.35,0.053+2.8*$G$9))/2</f>
        <v>0.0735737117773016</v>
      </c>
      <c r="I9" s="55">
        <f>D9*G9/(1+(D9-H9)*G9)</f>
        <v>0.00888817142358165</v>
      </c>
      <c r="J9" s="55">
        <f>1-I9</f>
        <v>0.991111828576418</v>
      </c>
      <c r="K9" s="39">
        <f>$D$5</f>
        <v>100000</v>
      </c>
      <c r="L9" s="39">
        <f>K9*I9</f>
        <v>888.817142358165</v>
      </c>
      <c r="M9" s="39">
        <f>D9*K10+H9*L9</f>
        <v>99176.5764338964</v>
      </c>
      <c r="N9" s="39">
        <f>SUM(M9:$M$25)</f>
        <v>8030941.40615</v>
      </c>
      <c r="O9" s="56">
        <f>N9/K9</f>
        <v>80.3094140615</v>
      </c>
      <c r="P9" s="29" t="n"/>
    </row>
    <row r="10">
      <c r="A10" s="29" t="n"/>
      <c r="B10" s="51" t="str">
        <f>'Cohorte ficticio'!B49</f>
        <v>1-4</v>
      </c>
      <c r="C10" s="57" t="n">
        <v>1</v>
      </c>
      <c r="D10" s="58" t="n">
        <v>4</v>
      </c>
      <c r="E10" s="42">
        <f>'Cohorte ficticio'!G49</f>
        <v>6200208.78361014</v>
      </c>
      <c r="F10" s="42">
        <f>'Cohorte ficticio'!H49</f>
        <v>2835.48783842546</v>
      </c>
      <c r="G10" s="49">
        <f>F10/E10</f>
        <v>0.000457321347939266</v>
      </c>
      <c r="H10" s="59">
        <f>(IF($G$9&gt;=0.107,1.352,1.651-2.816*$G$9)+IF($G$9&gt;=0.107,1.361,1.522-1.518*$G$9))/2</f>
        <v>1.56707941888351</v>
      </c>
      <c r="I10" s="49">
        <f>D10*G10/(1+(D10-H10)*G10)</f>
        <v>0.001827252342343</v>
      </c>
      <c r="J10" s="49">
        <f>1-I10</f>
        <v>0.998172747657657</v>
      </c>
      <c r="K10" s="42">
        <f>K9-L9</f>
        <v>99111.1828576418</v>
      </c>
      <c r="L10" s="42">
        <f>K10*I10</f>
        <v>181.101141029011</v>
      </c>
      <c r="M10" s="42">
        <f>D10*K11+H10*L10</f>
        <v>396004.126737294</v>
      </c>
      <c r="N10" s="42">
        <f>SUM(M10:$M$25)</f>
        <v>7931764.8297161</v>
      </c>
      <c r="O10" s="60">
        <f>N10/K10</f>
        <v>80.0289594072233</v>
      </c>
      <c r="P10" s="29" t="n"/>
    </row>
    <row r="11">
      <c r="A11" s="29" t="n"/>
      <c r="B11" s="52" t="str">
        <f>'Cohorte ficticio'!B50</f>
        <v>5-9</v>
      </c>
      <c r="C11" s="53" t="n">
        <v>5</v>
      </c>
      <c r="D11" s="54" t="n">
        <v>5</v>
      </c>
      <c r="E11" s="39">
        <f>'Cohorte ficticio'!G50</f>
        <v>9669960</v>
      </c>
      <c r="F11" s="39">
        <f>'Cohorte ficticio'!H50</f>
        <v>1928.28408066387</v>
      </c>
      <c r="G11" s="55">
        <f>F11/E11</f>
        <v>0.000199409726685929</v>
      </c>
      <c r="H11" s="50">
        <f>D11/2</f>
        <v>2.5</v>
      </c>
      <c r="I11" s="55">
        <f>D11*G11/(1+(D11-H11)*G11)</f>
        <v>0.000996551828110468</v>
      </c>
      <c r="J11" s="55">
        <f>1-I11</f>
        <v>0.99900344817189</v>
      </c>
      <c r="K11" s="39">
        <f>K10-L10</f>
        <v>98930.0817166128</v>
      </c>
      <c r="L11" s="39">
        <f>K11*I11</f>
        <v>98.5889537898085</v>
      </c>
      <c r="M11" s="39">
        <f>D11*K12+H11*L11</f>
        <v>494403.93619859</v>
      </c>
      <c r="N11" s="39">
        <f>SUM(M11:$M$25)</f>
        <v>7535760.70297881</v>
      </c>
      <c r="O11" s="56">
        <f>N11/K11</f>
        <v>76.1725915133189</v>
      </c>
      <c r="P11" s="29" t="n"/>
    </row>
    <row r="12">
      <c r="A12" s="29" t="n"/>
      <c r="B12" s="51" t="str">
        <f>'Cohorte ficticio'!B51</f>
        <v>10-14</v>
      </c>
      <c r="C12" s="57" t="n">
        <v>10</v>
      </c>
      <c r="D12" s="58" t="n">
        <v>5</v>
      </c>
      <c r="E12" s="42">
        <f>'Cohorte ficticio'!G51</f>
        <v>10885388</v>
      </c>
      <c r="F12" s="42">
        <f>'Cohorte ficticio'!H51</f>
        <v>3062.39076984283</v>
      </c>
      <c r="G12" s="49">
        <f>F12/E12</f>
        <v>0.000281330419259546</v>
      </c>
      <c r="H12" s="59">
        <f>D12/2</f>
        <v>2.5</v>
      </c>
      <c r="I12" s="49">
        <f>D12*G12/(1+(D12-H12)*G12)</f>
        <v>0.00140566345657379</v>
      </c>
      <c r="J12" s="49">
        <f>1-I12</f>
        <v>0.998594336543426</v>
      </c>
      <c r="K12" s="42">
        <f>K11-L11</f>
        <v>98831.492762823</v>
      </c>
      <c r="L12" s="42">
        <f>K12*I12</f>
        <v>138.923817735337</v>
      </c>
      <c r="M12" s="42">
        <f>D12*K13+H12*L12</f>
        <v>493810.154269777</v>
      </c>
      <c r="N12" s="42">
        <f>SUM(M12:$M$25)</f>
        <v>7041356.76678021</v>
      </c>
      <c r="O12" s="60">
        <f>N12/K12</f>
        <v>71.2460833074549</v>
      </c>
      <c r="P12" s="29" t="n"/>
    </row>
    <row r="13">
      <c r="A13" s="29" t="n"/>
      <c r="B13" s="52" t="str">
        <f>'Cohorte ficticio'!B52</f>
        <v>15-19</v>
      </c>
      <c r="C13" s="53" t="n">
        <v>15</v>
      </c>
      <c r="D13" s="54" t="n">
        <v>5</v>
      </c>
      <c r="E13" s="39">
        <f>'Cohorte ficticio'!G52</f>
        <v>10833608</v>
      </c>
      <c r="F13" s="39">
        <f>'Cohorte ficticio'!H52</f>
        <v>8975.91889239431</v>
      </c>
      <c r="G13" s="55">
        <f>F13/E13</f>
        <v>0.000828525352993602</v>
      </c>
      <c r="H13" s="50">
        <f>D13/2</f>
        <v>2.5</v>
      </c>
      <c r="I13" s="55">
        <f>D13*G13/(1+(D13-H13)*G13)</f>
        <v>0.00413406382324688</v>
      </c>
      <c r="J13" s="55">
        <f>1-I13</f>
        <v>0.995865936176753</v>
      </c>
      <c r="K13" s="39">
        <f>K12-L12</f>
        <v>98692.5689450877</v>
      </c>
      <c r="L13" s="39">
        <f>K13*I13</f>
        <v>408.001378899185</v>
      </c>
      <c r="M13" s="39">
        <f>D13*K14+H13*L13</f>
        <v>492442.841278191</v>
      </c>
      <c r="N13" s="39">
        <f>SUM(M13:$M$25)</f>
        <v>6547546.61251044</v>
      </c>
      <c r="O13" s="56">
        <f>N13/K13</f>
        <v>66.342853190431</v>
      </c>
      <c r="P13" s="29" t="n"/>
    </row>
    <row r="14">
      <c r="A14" s="29" t="n"/>
      <c r="B14" s="51" t="str">
        <f>'Cohorte ficticio'!B53</f>
        <v>20-24</v>
      </c>
      <c r="C14" s="57" t="n">
        <v>20</v>
      </c>
      <c r="D14" s="58" t="n">
        <v>5</v>
      </c>
      <c r="E14" s="42">
        <f>'Cohorte ficticio'!G53</f>
        <v>10360929</v>
      </c>
      <c r="F14" s="42">
        <f>'Cohorte ficticio'!H53</f>
        <v>13136.6688300197</v>
      </c>
      <c r="G14" s="49">
        <f>F14/E14</f>
        <v>0.0012679045315357</v>
      </c>
      <c r="H14" s="59">
        <f>D14/2</f>
        <v>2.5</v>
      </c>
      <c r="I14" s="49">
        <f>D14*G14/(1+(D14-H14)*G14)</f>
        <v>0.00631949137828968</v>
      </c>
      <c r="J14" s="49">
        <f>1-I14</f>
        <v>0.99368050862171</v>
      </c>
      <c r="K14" s="42">
        <f>K13-L13</f>
        <v>98284.5675661885</v>
      </c>
      <c r="L14" s="42">
        <f>K14*I14</f>
        <v>621.108477353458</v>
      </c>
      <c r="M14" s="42">
        <f>D14*K15+H14*L14</f>
        <v>489870.066637559</v>
      </c>
      <c r="N14" s="42">
        <f>SUM(M14:$M$25)</f>
        <v>6055103.77123225</v>
      </c>
      <c r="O14" s="60">
        <f>N14/K14</f>
        <v>61.6078792548435</v>
      </c>
      <c r="P14" s="29" t="n"/>
    </row>
    <row r="15">
      <c r="A15" s="29" t="n"/>
      <c r="B15" s="52" t="str">
        <f>'Cohorte ficticio'!B54</f>
        <v>25-29</v>
      </c>
      <c r="C15" s="53" t="n">
        <v>25</v>
      </c>
      <c r="D15" s="54" t="n">
        <v>5</v>
      </c>
      <c r="E15" s="39">
        <f>'Cohorte ficticio'!G54</f>
        <v>9810773</v>
      </c>
      <c r="F15" s="39">
        <f>'Cohorte ficticio'!H54</f>
        <v>15376.6604788856</v>
      </c>
      <c r="G15" s="55">
        <f>F15/E15</f>
        <v>0.0015673240507028</v>
      </c>
      <c r="H15" s="50">
        <f>D15/2</f>
        <v>2.5</v>
      </c>
      <c r="I15" s="55">
        <f>D15*G15/(1+(D15-H15)*G15)</f>
        <v>0.00780603379225599</v>
      </c>
      <c r="J15" s="55">
        <f>1-I15</f>
        <v>0.992193966207744</v>
      </c>
      <c r="K15" s="39">
        <f>K14-L14</f>
        <v>97663.4590888351</v>
      </c>
      <c r="L15" s="39">
        <f>K15*I15</f>
        <v>762.364261916056</v>
      </c>
      <c r="M15" s="39">
        <f>D15*K16+H15*L15</f>
        <v>486411.384789385</v>
      </c>
      <c r="N15" s="39">
        <f>SUM(M15:$M$25)</f>
        <v>5565233.70459469</v>
      </c>
      <c r="O15" s="56">
        <f>N15/K15</f>
        <v>56.983786530974</v>
      </c>
      <c r="P15" s="29" t="n"/>
    </row>
    <row r="16">
      <c r="A16" s="29" t="n"/>
      <c r="B16" s="51" t="str">
        <f>'Cohorte ficticio'!B55</f>
        <v>30-34</v>
      </c>
      <c r="C16" s="57" t="n">
        <v>30</v>
      </c>
      <c r="D16" s="58" t="n">
        <v>5</v>
      </c>
      <c r="E16" s="42">
        <f>'Cohorte ficticio'!G55</f>
        <v>10027553</v>
      </c>
      <c r="F16" s="42">
        <f>'Cohorte ficticio'!H55</f>
        <v>18579.2817051107</v>
      </c>
      <c r="G16" s="49">
        <f>F16/E16</f>
        <v>0.0018528230870593</v>
      </c>
      <c r="H16" s="59">
        <f>D16/2</f>
        <v>2.5</v>
      </c>
      <c r="I16" s="49">
        <f>D16*G16/(1+(D16-H16)*G16)</f>
        <v>0.00922140137190424</v>
      </c>
      <c r="J16" s="49">
        <f>1-I16</f>
        <v>0.990778598628096</v>
      </c>
      <c r="K16" s="42">
        <f>K15-L15</f>
        <v>96901.094826919</v>
      </c>
      <c r="L16" s="42">
        <f>K16*I16</f>
        <v>893.563888775973</v>
      </c>
      <c r="M16" s="42">
        <f>D16*K17+H16*L16</f>
        <v>482271.564412655</v>
      </c>
      <c r="N16" s="42">
        <f>SUM(M16:$M$25)</f>
        <v>5078822.3198053</v>
      </c>
      <c r="O16" s="60">
        <f>N16/K16</f>
        <v>52.412434853052</v>
      </c>
      <c r="P16" s="29" t="n"/>
    </row>
    <row r="17">
      <c r="A17" s="29" t="n"/>
      <c r="B17" s="52" t="str">
        <f>'Cohorte ficticio'!B56</f>
        <v>35-39</v>
      </c>
      <c r="C17" s="53" t="n">
        <v>35</v>
      </c>
      <c r="D17" s="54" t="n">
        <v>5</v>
      </c>
      <c r="E17" s="39">
        <f>'Cohorte ficticio'!G56</f>
        <v>9620908</v>
      </c>
      <c r="F17" s="39">
        <f>'Cohorte ficticio'!H56</f>
        <v>20823.0061849059</v>
      </c>
      <c r="G17" s="55">
        <f>F17/E17</f>
        <v>0.00216434937169194</v>
      </c>
      <c r="H17" s="50">
        <f>D17/2</f>
        <v>2.5</v>
      </c>
      <c r="I17" s="55">
        <f>D17*G17/(1+(D17-H17)*G17)</f>
        <v>0.01076350688505</v>
      </c>
      <c r="J17" s="55">
        <f>1-I17</f>
        <v>0.98923649311495</v>
      </c>
      <c r="K17" s="39">
        <f>K16-L16</f>
        <v>96007.530938143</v>
      </c>
      <c r="L17" s="39">
        <f>K17*I17</f>
        <v>1033.37772026936</v>
      </c>
      <c r="M17" s="39">
        <f>D17*K18+H17*L17</f>
        <v>477454.210390042</v>
      </c>
      <c r="N17" s="39">
        <f>SUM(M17:$M$25)</f>
        <v>4596550.75539265</v>
      </c>
      <c r="O17" s="56">
        <f>N17/K17</f>
        <v>47.8769812167566</v>
      </c>
      <c r="P17" s="29" t="n"/>
    </row>
    <row r="18">
      <c r="A18" s="29" t="n"/>
      <c r="B18" s="51" t="str">
        <f>'Cohorte ficticio'!B57</f>
        <v>40-44</v>
      </c>
      <c r="C18" s="57" t="n">
        <v>40</v>
      </c>
      <c r="D18" s="58" t="n">
        <v>5</v>
      </c>
      <c r="E18" s="42">
        <f>'Cohorte ficticio'!G57</f>
        <v>8974041</v>
      </c>
      <c r="F18" s="42">
        <f>'Cohorte ficticio'!H57</f>
        <v>24573.4109341794</v>
      </c>
      <c r="G18" s="49">
        <f>F18/E18</f>
        <v>0.00273827709659221</v>
      </c>
      <c r="H18" s="59">
        <f>D18/2</f>
        <v>2.5</v>
      </c>
      <c r="I18" s="49">
        <f>D18*G18/(1+(D18-H18)*G18)</f>
        <v>0.0135982957285953</v>
      </c>
      <c r="J18" s="49">
        <f>1-I18</f>
        <v>0.986401704271405</v>
      </c>
      <c r="K18" s="42">
        <f>K17-L17</f>
        <v>94974.1532178737</v>
      </c>
      <c r="L18" s="42">
        <f>K18*I18</f>
        <v>1291.48662202957</v>
      </c>
      <c r="M18" s="42">
        <f>D18*K19+H18*L18</f>
        <v>471642.049534294</v>
      </c>
      <c r="N18" s="42">
        <f>SUM(M18:$M$25)</f>
        <v>4119096.54500261</v>
      </c>
      <c r="O18" s="60">
        <f>N18/K18</f>
        <v>43.3707109296702</v>
      </c>
      <c r="P18" s="29" t="n"/>
    </row>
    <row r="19">
      <c r="A19" s="29" t="n"/>
      <c r="B19" s="52" t="str">
        <f>'Cohorte ficticio'!B58</f>
        <v>45-49</v>
      </c>
      <c r="C19" s="53" t="n">
        <v>45</v>
      </c>
      <c r="D19" s="54" t="n">
        <v>5</v>
      </c>
      <c r="E19" s="39">
        <f>'Cohorte ficticio'!G58</f>
        <v>8374000</v>
      </c>
      <c r="F19" s="39">
        <f>'Cohorte ficticio'!H58</f>
        <v>32371.7701932488</v>
      </c>
      <c r="G19" s="55">
        <f>F19/E19</f>
        <v>0.00386574757502374</v>
      </c>
      <c r="H19" s="50">
        <f>D19/2</f>
        <v>2.5</v>
      </c>
      <c r="I19" s="55">
        <f>D19*G19/(1+(D19-H19)*G19)</f>
        <v>0.0191437258457063</v>
      </c>
      <c r="J19" s="55">
        <f>1-I19</f>
        <v>0.980856274154294</v>
      </c>
      <c r="K19" s="39">
        <f>K18-L18</f>
        <v>93682.6665958441</v>
      </c>
      <c r="L19" s="39">
        <f>K19*I19</f>
        <v>1793.43528580555</v>
      </c>
      <c r="M19" s="39">
        <f>D19*K20+H19*L19</f>
        <v>463929.744764707</v>
      </c>
      <c r="N19" s="39">
        <f>SUM(M19:$M$25)</f>
        <v>3647454.49546831</v>
      </c>
      <c r="O19" s="56">
        <f>N19/K19</f>
        <v>38.9341446823218</v>
      </c>
      <c r="P19" s="29" t="n"/>
    </row>
    <row r="20">
      <c r="A20" s="29" t="n"/>
      <c r="B20" s="51" t="str">
        <f>'Cohorte ficticio'!B59</f>
        <v>50-54</v>
      </c>
      <c r="C20" s="57" t="n">
        <v>50</v>
      </c>
      <c r="D20" s="58" t="n">
        <v>5</v>
      </c>
      <c r="E20" s="42">
        <f>'Cohorte ficticio'!G59</f>
        <v>8352139</v>
      </c>
      <c r="F20" s="42">
        <f>'Cohorte ficticio'!H59</f>
        <v>43488.2199201787</v>
      </c>
      <c r="G20" s="49">
        <f>F20/E20</f>
        <v>0.00520683622724415</v>
      </c>
      <c r="H20" s="59">
        <f>D20/2</f>
        <v>2.5</v>
      </c>
      <c r="I20" s="49">
        <f>D20*G20/(1+(D20-H20)*G20)</f>
        <v>0.0256996465100312</v>
      </c>
      <c r="J20" s="49">
        <f>1-I20</f>
        <v>0.974300353489969</v>
      </c>
      <c r="K20" s="42">
        <f>K19-L19</f>
        <v>91889.2313100386</v>
      </c>
      <c r="L20" s="42">
        <f>K20*I20</f>
        <v>2361.52076274649</v>
      </c>
      <c r="M20" s="42">
        <f>D20*K21+H20*L20</f>
        <v>453542.354643327</v>
      </c>
      <c r="N20" s="42">
        <f>SUM(M20:$M$25)</f>
        <v>3183524.75070361</v>
      </c>
      <c r="O20" s="60">
        <f>N20/K20</f>
        <v>34.6452430313868</v>
      </c>
      <c r="P20" s="29" t="n"/>
    </row>
    <row r="21">
      <c r="A21" s="29" t="n"/>
      <c r="B21" s="52" t="str">
        <f>'Cohorte ficticio'!B60</f>
        <v>55-59</v>
      </c>
      <c r="C21" s="53" t="n">
        <v>55</v>
      </c>
      <c r="D21" s="54" t="n">
        <v>5</v>
      </c>
      <c r="E21" s="39">
        <f>'Cohorte ficticio'!G60</f>
        <v>6709847</v>
      </c>
      <c r="F21" s="39">
        <f>'Cohorte ficticio'!H60</f>
        <v>51707.021768705</v>
      </c>
      <c r="G21" s="55">
        <f>F21/E21</f>
        <v>0.00770614020985947</v>
      </c>
      <c r="H21" s="50">
        <f>D21/2</f>
        <v>2.5</v>
      </c>
      <c r="I21" s="55">
        <f>D21*G21/(1+(D21-H21)*G21)</f>
        <v>0.037802424098361</v>
      </c>
      <c r="J21" s="55">
        <f>1-I21</f>
        <v>0.962197575901639</v>
      </c>
      <c r="K21" s="39">
        <f>K20-L20</f>
        <v>89527.7105472921</v>
      </c>
      <c r="L21" s="39">
        <f>K21*I21</f>
        <v>3384.36448266404</v>
      </c>
      <c r="M21" s="39">
        <f>D21*K22+H21*L21</f>
        <v>439177.6415298</v>
      </c>
      <c r="N21" s="39">
        <f>SUM(M21:$M$25)</f>
        <v>2729982.39606028</v>
      </c>
      <c r="O21" s="56">
        <f>N21/K21</f>
        <v>30.4931554640638</v>
      </c>
      <c r="P21" s="29" t="n"/>
    </row>
    <row r="22">
      <c r="A22" s="29" t="n"/>
      <c r="B22" s="51" t="str">
        <f>'Cohorte ficticio'!B61</f>
        <v>60-64</v>
      </c>
      <c r="C22" s="57" t="n">
        <v>60</v>
      </c>
      <c r="D22" s="58" t="n">
        <v>5</v>
      </c>
      <c r="E22" s="42">
        <f>'Cohorte ficticio'!G61</f>
        <v>5991546</v>
      </c>
      <c r="F22" s="42">
        <f>'Cohorte ficticio'!H61</f>
        <v>63700.3224989781</v>
      </c>
      <c r="G22" s="49">
        <f>F22/E22</f>
        <v>0.0106317004824762</v>
      </c>
      <c r="H22" s="59">
        <f>D22/2</f>
        <v>2.5</v>
      </c>
      <c r="I22" s="49">
        <f>D22*G22/(1+(D22-H22)*G22)</f>
        <v>0.0517821710792632</v>
      </c>
      <c r="J22" s="49">
        <f>1-I22</f>
        <v>0.948217828920737</v>
      </c>
      <c r="K22" s="42">
        <f>K21-L21</f>
        <v>86143.346064628</v>
      </c>
      <c r="L22" s="42">
        <f>K22*I22</f>
        <v>4460.68948325874</v>
      </c>
      <c r="M22" s="42">
        <f>D22*K23+H22*L22</f>
        <v>419565.006614993</v>
      </c>
      <c r="N22" s="42">
        <f>SUM(M22:$M$25)</f>
        <v>2290804.75453048</v>
      </c>
      <c r="O22" s="60">
        <f>N22/K22</f>
        <v>26.5929390856472</v>
      </c>
      <c r="P22" s="29" t="n"/>
    </row>
    <row r="23">
      <c r="A23" s="29" t="n"/>
      <c r="B23" s="52" t="str">
        <f>'Cohorte ficticio'!B62</f>
        <v>65-69</v>
      </c>
      <c r="C23" s="53" t="n">
        <v>65</v>
      </c>
      <c r="D23" s="54" t="n">
        <v>5</v>
      </c>
      <c r="E23" s="39">
        <f>'Cohorte ficticio'!G62</f>
        <v>4829842</v>
      </c>
      <c r="F23" s="39">
        <f>'Cohorte ficticio'!H62</f>
        <v>72010.2269805078</v>
      </c>
      <c r="G23" s="55">
        <f>F23/E23</f>
        <v>0.0149094374061321</v>
      </c>
      <c r="H23" s="50">
        <f>D23/2</f>
        <v>2.5</v>
      </c>
      <c r="I23" s="55">
        <f>D23*G23/(1+(D23-H23)*G23)</f>
        <v>0.071868393735947</v>
      </c>
      <c r="J23" s="55">
        <f>1-I23</f>
        <v>0.928131606264053</v>
      </c>
      <c r="K23" s="39">
        <f>K22-L22</f>
        <v>81682.6565813693</v>
      </c>
      <c r="L23" s="39">
        <f>K23*I23</f>
        <v>5870.40132458799</v>
      </c>
      <c r="M23" s="39">
        <f>D23*K24+H23*L23</f>
        <v>393737.279595376</v>
      </c>
      <c r="N23" s="39">
        <f>SUM(M23:$M$25)</f>
        <v>1871239.74791549</v>
      </c>
      <c r="O23" s="56">
        <f>N23/K23</f>
        <v>22.9086543732992</v>
      </c>
      <c r="P23" s="29" t="n"/>
    </row>
    <row r="24">
      <c r="A24" s="29" t="n"/>
      <c r="B24" s="51" t="str">
        <f>'Cohorte ficticio'!B63</f>
        <v>70-74</v>
      </c>
      <c r="C24" s="57" t="n">
        <v>70</v>
      </c>
      <c r="D24" s="58" t="n">
        <v>5</v>
      </c>
      <c r="E24" s="42">
        <f>'Cohorte ficticio'!G63</f>
        <v>3399855</v>
      </c>
      <c r="F24" s="42">
        <f>'Cohorte ficticio'!H63</f>
        <v>77547.7232822318</v>
      </c>
      <c r="G24" s="49">
        <f>F24/E24</f>
        <v>0.0228091266487047</v>
      </c>
      <c r="H24" s="59">
        <f>D24/2</f>
        <v>2.5</v>
      </c>
      <c r="I24" s="49">
        <f>D24*G24/(1+(D24-H24)*G24)</f>
        <v>0.107893255897742</v>
      </c>
      <c r="J24" s="49">
        <f>1-I24</f>
        <v>0.892106744102258</v>
      </c>
      <c r="K24" s="42">
        <f>K23-L23</f>
        <v>75812.2552567813</v>
      </c>
      <c r="L24" s="42">
        <f>K24*I24</f>
        <v>8179.63105660481</v>
      </c>
      <c r="M24" s="42">
        <f>D24*K25+H24*L24</f>
        <v>358612.198642394</v>
      </c>
      <c r="N24" s="42">
        <f>SUM(M24:$M$25)</f>
        <v>1477502.46832011</v>
      </c>
      <c r="O24" s="60">
        <f>N24/K24</f>
        <v>19.4889660427026</v>
      </c>
      <c r="P24" s="29" t="n"/>
    </row>
    <row r="25">
      <c r="A25" s="29" t="n"/>
      <c r="B25" s="52" t="str">
        <f>'Cohorte ficticio'!B64</f>
        <v>75+</v>
      </c>
      <c r="C25" s="53" t="n">
        <v>75</v>
      </c>
      <c r="D25" s="54" t="inlineStr">
        <is>
          <t>abierto</t>
        </is>
      </c>
      <c r="E25" s="39">
        <f>'Cohorte ficticio'!G64</f>
        <v>4964838</v>
      </c>
      <c r="F25" s="39">
        <f>'Cohorte ficticio'!H64</f>
        <v>300105.409590768</v>
      </c>
      <c r="G25" s="55">
        <f>F25/E25</f>
        <v>0.060446163518481</v>
      </c>
      <c r="H25" s="61" t="inlineStr">
        <is>
          <t>-</t>
        </is>
      </c>
      <c r="I25" s="55" t="n">
        <v>1</v>
      </c>
      <c r="J25" s="55">
        <f>1-I25</f>
        <v>0</v>
      </c>
      <c r="K25" s="39">
        <f>K24-L24</f>
        <v>67632.6242001765</v>
      </c>
      <c r="L25" s="39">
        <f>K25*I25</f>
        <v>67632.6242001765</v>
      </c>
      <c r="M25" s="39">
        <f>K25/G25</f>
        <v>1118890.26967772</v>
      </c>
      <c r="N25" s="39">
        <f>SUM(M25:$M$25)</f>
        <v>1118890.26967772</v>
      </c>
      <c r="O25" s="56">
        <f>N25/K25</f>
        <v>16.5436471364185</v>
      </c>
      <c r="P25" s="29" t="n"/>
    </row>
    <row r="26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</row>
    <row r="27">
      <c r="A27" s="29" t="n"/>
      <c r="B27" s="62" t="inlineStr">
        <is>
          <t>Control: suma de ndx − l0</t>
        </is>
      </c>
      <c r="E27" s="48">
        <f>ROUND(SUM(L9:L25)-D5,6)</f>
        <v>0</v>
      </c>
      <c r="F27" s="35" t="inlineStr">
        <is>
          <t>← debe ser 0</t>
        </is>
      </c>
      <c r="I27" s="29" t="n"/>
      <c r="J27" s="29" t="n"/>
      <c r="K27" s="29" t="n"/>
      <c r="L27" s="29" t="n"/>
      <c r="M27" s="29" t="n"/>
      <c r="N27" s="29" t="n"/>
      <c r="O27" s="29" t="n"/>
      <c r="P27" s="29" t="n"/>
    </row>
    <row r="28">
      <c r="A28" s="29" t="n"/>
      <c r="B28" s="62" t="inlineStr">
        <is>
          <t>q0 (mortalidad infantil, por mil)</t>
        </is>
      </c>
      <c r="E28" s="56">
        <f>I9*1000</f>
        <v>8.88817142358165</v>
      </c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</row>
    <row r="29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</row>
    <row r="30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</row>
    <row r="3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</row>
  </sheetData>
  <mergeCells count="5">
    <mergeCell ref="B28:D28"/>
    <mergeCell ref="B6:O6"/>
    <mergeCell ref="F27:H27"/>
    <mergeCell ref="B7:O7"/>
    <mergeCell ref="B27:D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0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4" customWidth="1" min="3" max="3"/>
    <col width="14" customWidth="1" min="4" max="4"/>
    <col width="14" customWidth="1" min="5" max="5"/>
    <col width="3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29" t="n"/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</row>
    <row r="2" ht="30" customHeight="1">
      <c r="A2" s="29" t="n"/>
      <c r="B2" s="30" t="inlineStr">
        <is>
          <t>GRÁFICOS Y RESUMEN</t>
        </is>
      </c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29" t="n"/>
    </row>
    <row r="3" ht="18" customHeight="1">
      <c r="A3" s="29" t="n"/>
      <c r="B3" s="32" t="inlineStr">
        <is>
          <t>Tablas transversales abreviadas, México 2025: indicadores, gráficos y notas</t>
        </is>
      </c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29" t="n"/>
    </row>
    <row r="4">
      <c r="A4" s="29" t="n"/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  <c r="R4" s="29" t="n"/>
      <c r="S4" s="29" t="n"/>
      <c r="T4" s="29" t="n"/>
    </row>
    <row r="5">
      <c r="A5" s="29" t="n"/>
      <c r="B5" s="36" t="inlineStr">
        <is>
          <t>Indicadores principales (se recalculan desde las tablas)</t>
        </is>
      </c>
      <c r="C5" s="31" t="n"/>
      <c r="D5" s="31" t="n"/>
      <c r="E5" s="31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  <c r="R5" s="29" t="n"/>
      <c r="S5" s="29" t="n"/>
      <c r="T5" s="29" t="n"/>
    </row>
    <row r="6" ht="20" customHeight="1">
      <c r="A6" s="29" t="n"/>
      <c r="B6" s="37" t="inlineStr">
        <is>
          <t>Indicador</t>
        </is>
      </c>
      <c r="C6" s="37" t="inlineStr">
        <is>
          <t>Hombres</t>
        </is>
      </c>
      <c r="D6" s="37" t="inlineStr">
        <is>
          <t>Mujeres</t>
        </is>
      </c>
      <c r="E6" s="37" t="inlineStr">
        <is>
          <t>Ambos sexos</t>
        </is>
      </c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29" t="n"/>
      <c r="R6" s="29" t="n"/>
      <c r="S6" s="29" t="n"/>
      <c r="T6" s="29" t="n"/>
    </row>
    <row r="7">
      <c r="A7" s="29" t="n"/>
      <c r="B7" s="38" t="inlineStr">
        <is>
          <t>Esperanza de vida al nacer, e0 (años)</t>
        </is>
      </c>
      <c r="C7" s="63">
        <f>'Tabla hombres'!O9</f>
        <v>76.6426449219202</v>
      </c>
      <c r="D7" s="63">
        <f>'Tabla mujeres'!O9</f>
        <v>83.9245367809822</v>
      </c>
      <c r="E7" s="63">
        <f>'Tabla ambos sexos'!O9</f>
        <v>80.3094140615</v>
      </c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</row>
    <row r="8">
      <c r="A8" s="29" t="n"/>
      <c r="B8" s="41" t="inlineStr">
        <is>
          <t>Esperanza de vida a los 5 años, e5</t>
        </is>
      </c>
      <c r="C8" s="64">
        <f>'Tabla hombres'!O11</f>
        <v>72.5564412244842</v>
      </c>
      <c r="D8" s="64">
        <f>'Tabla mujeres'!O11</f>
        <v>79.7255544738942</v>
      </c>
      <c r="E8" s="64">
        <f>'Tabla ambos sexos'!O11</f>
        <v>76.1725915133189</v>
      </c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29" t="n"/>
      <c r="R8" s="29" t="n"/>
      <c r="S8" s="29" t="n"/>
      <c r="T8" s="29" t="n"/>
    </row>
    <row r="9">
      <c r="A9" s="29" t="n"/>
      <c r="B9" s="38" t="inlineStr">
        <is>
          <t>Esperanza de vida a los 65 años, e65</t>
        </is>
      </c>
      <c r="C9" s="63">
        <f>'Tabla hombres'!O22</f>
        <v>24.8083228955963</v>
      </c>
      <c r="D9" s="63">
        <f>'Tabla mujeres'!O22</f>
        <v>28.2448140837104</v>
      </c>
      <c r="E9" s="63">
        <f>'Tabla ambos sexos'!O22</f>
        <v>26.5929390856472</v>
      </c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29" t="n"/>
      <c r="R9" s="29" t="n"/>
      <c r="S9" s="29" t="n"/>
      <c r="T9" s="29" t="n"/>
    </row>
    <row r="10">
      <c r="A10" s="29" t="n"/>
      <c r="B10" s="41" t="inlineStr">
        <is>
          <t>Esperanza de vida a los 75 años, e75</t>
        </is>
      </c>
      <c r="C10" s="64">
        <f>'Tabla hombres'!O25</f>
        <v>15.4605297506321</v>
      </c>
      <c r="D10" s="64">
        <f>'Tabla mujeres'!O25</f>
        <v>17.5038452955524</v>
      </c>
      <c r="E10" s="64">
        <f>'Tabla ambos sexos'!O25</f>
        <v>16.5436471364185</v>
      </c>
      <c r="F10" s="29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</row>
    <row r="11">
      <c r="A11" s="29" t="n"/>
      <c r="B11" s="38" t="inlineStr">
        <is>
          <t>Mortalidad infantil, q0 por mil</t>
        </is>
      </c>
      <c r="C11" s="63">
        <f>'Tabla hombres'!I9*1000</f>
        <v>9.92937335308912</v>
      </c>
      <c r="D11" s="63">
        <f>'Tabla mujeres'!I9*1000</f>
        <v>7.81956520783196</v>
      </c>
      <c r="E11" s="63">
        <f>'Tabla ambos sexos'!I9*1000</f>
        <v>8.88817142358165</v>
      </c>
      <c r="F11" s="29" t="n"/>
      <c r="G11" s="29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</row>
    <row r="12">
      <c r="A12" s="29" t="n"/>
      <c r="B12" s="41" t="inlineStr">
        <is>
          <t>Mortalidad de menores de 5 años, 5q0 por mil</t>
        </is>
      </c>
      <c r="C12" s="64">
        <f>(1-'Tabla hombres'!J9*'Tabla hombres'!J10)*1000</f>
        <v>11.8567227220026</v>
      </c>
      <c r="D12" s="64">
        <f>(1-'Tabla mujeres'!J9*'Tabla mujeres'!J10)*1000</f>
        <v>9.51130907831044</v>
      </c>
      <c r="E12" s="64">
        <f>(1-'Tabla ambos sexos'!J9*'Tabla ambos sexos'!J10)*1000</f>
        <v>10.6991828338718</v>
      </c>
      <c r="F12" s="29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</row>
    <row r="13">
      <c r="A13" s="29" t="n"/>
      <c r="B13" s="38" t="inlineStr">
        <is>
          <t>Sobrevivientes a los 65 años (de 100,000), l65</t>
        </is>
      </c>
      <c r="C13" s="39">
        <f>'Tabla hombres'!K22</f>
        <v>81385.29846619</v>
      </c>
      <c r="D13" s="39">
        <f>'Tabla mujeres'!K22</f>
        <v>90691.636106611</v>
      </c>
      <c r="E13" s="39">
        <f>'Tabla ambos sexos'!K22</f>
        <v>86143.346064628</v>
      </c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</row>
    <row r="14">
      <c r="A14" s="29" t="n"/>
      <c r="B14" s="41" t="inlineStr">
        <is>
          <t>Sobrevivientes a los 75 años (de 100,000), l75</t>
        </is>
      </c>
      <c r="C14" s="42">
        <f>'Tabla hombres'!K25</f>
        <v>60595.2437917955</v>
      </c>
      <c r="D14" s="42">
        <f>'Tabla mujeres'!K25</f>
        <v>74470.8562173487</v>
      </c>
      <c r="E14" s="42">
        <f>'Tabla ambos sexos'!K25</f>
        <v>67632.6242001765</v>
      </c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</row>
    <row r="15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</row>
    <row r="16">
      <c r="A16" s="29" t="n"/>
      <c r="B16" s="38" t="inlineStr">
        <is>
          <t>e0 de CONAPO, proyecciones 2025 (referencia)</t>
        </is>
      </c>
      <c r="C16" s="65" t="n">
        <v>72.56999999999999</v>
      </c>
      <c r="D16" s="65" t="n">
        <v>79.04000000000001</v>
      </c>
      <c r="E16" s="65" t="n">
        <v>75.67</v>
      </c>
      <c r="F16" s="29" t="n"/>
      <c r="G16" s="29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29" t="n"/>
      <c r="R16" s="29" t="n"/>
      <c r="S16" s="29" t="n"/>
      <c r="T16" s="29" t="n"/>
    </row>
    <row r="17">
      <c r="A17" s="29" t="n"/>
      <c r="B17" s="41" t="inlineStr">
        <is>
          <t>Diferencia: estas tablas − CONAPO (años)</t>
        </is>
      </c>
      <c r="C17" s="64">
        <f>C7-C16</f>
        <v>4.0726449219202</v>
      </c>
      <c r="D17" s="64">
        <f>D7-D16</f>
        <v>4.88453678098223</v>
      </c>
      <c r="E17" s="64">
        <f>E7-E16</f>
        <v>4.63941406149995</v>
      </c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T17" s="29" t="n"/>
    </row>
    <row r="18" ht="30" customHeight="1">
      <c r="A18" s="29" t="n"/>
      <c r="B18" s="35" t="inlineStr">
        <is>
          <t>CONAPO: base de indicadores demográficos del repositorio (EVH, EVM, EV, año 2025, total nacional), capturada a mano.</t>
        </is>
      </c>
      <c r="F18" s="29" t="n"/>
      <c r="G18" s="29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29" t="n"/>
      <c r="R18" s="29" t="n"/>
      <c r="S18" s="29" t="n"/>
      <c r="T18" s="29" t="n"/>
    </row>
    <row r="19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29" t="n"/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</row>
    <row r="21">
      <c r="A21" s="29" t="n"/>
      <c r="B21" s="36" t="inlineStr">
        <is>
          <t>Método, supuestos y alertas</t>
        </is>
      </c>
      <c r="C21" s="31" t="n"/>
      <c r="D21" s="31" t="n"/>
      <c r="E21" s="31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29" t="n"/>
    </row>
    <row r="22" ht="46" customHeight="1">
      <c r="A22" s="29" t="n"/>
      <c r="B22" s="35" t="inlineStr">
        <is>
          <t>1. Tabla transversal (de periodo): las tasas de mortalidad por edad observadas en 2025 se aplican a una cohorte ficticia de 100,000 nacimientos.</t>
        </is>
      </c>
      <c r="F22" s="29" t="n"/>
      <c r="G22" s="29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29" t="n"/>
    </row>
    <row r="23" ht="46" customHeight="1">
      <c r="A23" s="29" t="n"/>
      <c r="B23" s="35" t="inlineStr">
        <is>
          <t>2. Grupos 0, 1-4, 5-9, ..., 70-74 y 75+ (abierto): el máximo detalle que permite la población de la EIC (llega a 75 años y más).</t>
        </is>
      </c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29" t="n"/>
    </row>
    <row r="24" ht="46" customHeight="1">
      <c r="A24" s="29" t="n"/>
      <c r="B24" s="35" t="inlineStr">
        <is>
          <t>3. Las defunciones de sexo no especificado (529) y de edad no especificada (4,016) se reparten en proporción (hoja 'Cohorte ficticio', bloque A).</t>
        </is>
      </c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</row>
    <row r="25" ht="46" customHeight="1">
      <c r="A25" s="29" t="n"/>
      <c r="B25" s="35" t="inlineStr">
        <is>
          <t>4. La EIC junta 0-4 años: el año 0 se separa suponiendo cohortes de nacimiento con crecimiento constante (bloque B). Es un supuesto y afecta sobre todo a q0.</t>
        </is>
      </c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29" t="n"/>
      <c r="R25" s="29" t="n"/>
      <c r="S25" s="29" t="n"/>
      <c r="T25" s="29" t="n"/>
    </row>
    <row r="26" ht="46" customHeight="1">
      <c r="A26" s="29" t="n"/>
      <c r="B26" s="35" t="inlineStr">
        <is>
          <t>5. nqx = n·nMx / (1 + (n − nax)·nMx), con nax = n/2 salvo 0 y 1-4 (Coale-Demeny). En 75+ se usa e75 = 1/M, muy sensible a las defunciones de adultos mayores.</t>
        </is>
      </c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</row>
    <row r="27" ht="118" customHeight="1">
      <c r="A27" s="29" t="n"/>
      <c r="B27" s="35" t="inlineStr">
        <is>
          <t>6. ALERTA: la e0 sale 4 a 5 años por encima de la de CONAPO. En la captura de INEGI de la hoja 'Fuentes de datos' se lee que las cifras de 2025 son preliminares y aún no concluyen los procesos de generación (son defunciones por año de registro). Las 762,494 defunciones del archivo quedan por debajo de las 836,585 que proyecta CONAPO para 2025, y las 12,207 defunciones infantiles son pocas para ~2.0 millones de nacimientos. Con datos definitivos la e0 bajaría.</t>
        </is>
      </c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9" t="n"/>
    </row>
    <row r="28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29" t="n"/>
      <c r="R28" s="29" t="n"/>
      <c r="S28" s="29" t="n"/>
      <c r="T28" s="29" t="n"/>
    </row>
    <row r="29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29" t="n"/>
      <c r="R29" s="29" t="n"/>
      <c r="S29" s="29" t="n"/>
      <c r="T29" s="29" t="n"/>
    </row>
    <row r="30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  <c r="T31" s="29" t="n"/>
    </row>
    <row r="3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  <c r="T33" s="29" t="n"/>
    </row>
    <row r="34">
      <c r="A34" s="29" t="n"/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</row>
    <row r="35">
      <c r="A35" s="29" t="n"/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</row>
    <row r="36">
      <c r="A36" s="29" t="n"/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</row>
    <row r="37">
      <c r="A37" s="29" t="n"/>
      <c r="B37" s="29" t="n"/>
      <c r="C37" s="29" t="n"/>
      <c r="D37" s="29" t="n"/>
      <c r="E37" s="29" t="n"/>
      <c r="F37" s="29" t="n"/>
      <c r="G37" s="29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29" t="n"/>
      <c r="R37" s="29" t="n"/>
      <c r="S37" s="29" t="n"/>
      <c r="T37" s="29" t="n"/>
    </row>
    <row r="38">
      <c r="A38" s="29" t="n"/>
      <c r="B38" s="29" t="n"/>
      <c r="C38" s="29" t="n"/>
      <c r="D38" s="29" t="n"/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29" t="n"/>
    </row>
    <row r="39">
      <c r="A39" s="29" t="n"/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</row>
    <row r="40">
      <c r="A40" s="29" t="n"/>
      <c r="B40" s="29" t="n"/>
      <c r="C40" s="29" t="n"/>
      <c r="D40" s="29" t="n"/>
      <c r="E40" s="29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</row>
    <row r="41">
      <c r="A41" s="29" t="n"/>
      <c r="B41" s="29" t="n"/>
      <c r="C41" s="29" t="n"/>
      <c r="D41" s="29" t="n"/>
      <c r="E41" s="29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29" t="n"/>
      <c r="R41" s="29" t="n"/>
      <c r="S41" s="29" t="n"/>
      <c r="T41" s="29" t="n"/>
    </row>
    <row r="42">
      <c r="A42" s="29" t="n"/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</row>
    <row r="43">
      <c r="A43" s="29" t="n"/>
      <c r="B43" s="29" t="n"/>
      <c r="C43" s="29" t="n"/>
      <c r="D43" s="29" t="n"/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</row>
    <row r="44">
      <c r="A44" s="29" t="n"/>
      <c r="B44" s="29" t="n"/>
      <c r="C44" s="29" t="n"/>
      <c r="D44" s="29" t="n"/>
      <c r="E44" s="29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</row>
    <row r="45">
      <c r="A45" s="29" t="n"/>
      <c r="B45" s="29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29" t="n"/>
      <c r="R45" s="29" t="n"/>
      <c r="S45" s="29" t="n"/>
      <c r="T45" s="29" t="n"/>
    </row>
    <row r="46">
      <c r="A46" s="29" t="n"/>
      <c r="B46" s="29" t="n"/>
      <c r="C46" s="29" t="n"/>
      <c r="D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</row>
    <row r="47">
      <c r="A47" s="29" t="n"/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29" t="n"/>
    </row>
    <row r="48">
      <c r="A48" s="29" t="n"/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  <c r="T48" s="29" t="n"/>
    </row>
    <row r="49">
      <c r="A49" s="29" t="n"/>
      <c r="B49" s="29" t="n"/>
      <c r="C49" s="29" t="n"/>
      <c r="D49" s="29" t="n"/>
      <c r="E49" s="29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29" t="n"/>
      <c r="R49" s="29" t="n"/>
      <c r="S49" s="29" t="n"/>
      <c r="T49" s="29" t="n"/>
    </row>
    <row r="50">
      <c r="A50" s="29" t="n"/>
      <c r="B50" s="29" t="n"/>
      <c r="C50" s="29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</row>
    <row r="51">
      <c r="A51" s="29" t="n"/>
      <c r="B51" s="29" t="n"/>
      <c r="C51" s="29" t="n"/>
      <c r="D51" s="29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29" t="n"/>
      <c r="R51" s="29" t="n"/>
      <c r="S51" s="29" t="n"/>
      <c r="T51" s="29" t="n"/>
    </row>
    <row r="52">
      <c r="A52" s="29" t="n"/>
      <c r="B52" s="29" t="n"/>
      <c r="C52" s="29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29" t="n"/>
      <c r="R52" s="29" t="n"/>
      <c r="S52" s="29" t="n"/>
      <c r="T52" s="29" t="n"/>
    </row>
    <row r="53">
      <c r="A53" s="29" t="n"/>
      <c r="B53" s="29" t="n"/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29" t="n"/>
      <c r="S53" s="29" t="n"/>
      <c r="T53" s="29" t="n"/>
    </row>
    <row r="54">
      <c r="A54" s="29" t="n"/>
      <c r="B54" s="29" t="n"/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29" t="n"/>
      <c r="S54" s="29" t="n"/>
      <c r="T54" s="29" t="n"/>
    </row>
    <row r="55">
      <c r="A55" s="29" t="n"/>
      <c r="B55" s="29" t="n"/>
      <c r="C55" s="29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29" t="n"/>
      <c r="R55" s="29" t="n"/>
      <c r="S55" s="29" t="n"/>
      <c r="T55" s="29" t="n"/>
    </row>
    <row r="56">
      <c r="A56" s="29" t="n"/>
      <c r="B56" s="29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  <c r="T56" s="29" t="n"/>
    </row>
    <row r="57">
      <c r="A57" s="29" t="n"/>
      <c r="B57" s="29" t="n"/>
      <c r="C57" s="29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29" t="n"/>
      <c r="R57" s="29" t="n"/>
      <c r="S57" s="29" t="n"/>
      <c r="T57" s="29" t="n"/>
    </row>
    <row r="58">
      <c r="A58" s="29" t="n"/>
      <c r="B58" s="29" t="n"/>
      <c r="C58" s="29" t="n"/>
      <c r="D58" s="29" t="n"/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29" t="n"/>
    </row>
    <row r="59">
      <c r="A59" s="29" t="n"/>
      <c r="B59" s="29" t="n"/>
      <c r="C59" s="29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29" t="n"/>
      <c r="R59" s="29" t="n"/>
      <c r="S59" s="29" t="n"/>
      <c r="T59" s="29" t="n"/>
    </row>
    <row r="60">
      <c r="A60" s="29" t="n"/>
      <c r="B60" s="29" t="n"/>
      <c r="C60" s="29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  <c r="R60" s="29" t="n"/>
      <c r="S60" s="29" t="n"/>
      <c r="T60" s="29" t="n"/>
    </row>
    <row r="61">
      <c r="A61" s="29" t="n"/>
      <c r="B61" s="29" t="n"/>
      <c r="C61" s="29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  <c r="R61" s="29" t="n"/>
      <c r="S61" s="29" t="n"/>
      <c r="T61" s="29" t="n"/>
    </row>
    <row r="62">
      <c r="A62" s="29" t="n"/>
      <c r="B62" s="29" t="n"/>
      <c r="C62" s="29" t="n"/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  <c r="R62" s="29" t="n"/>
      <c r="S62" s="29" t="n"/>
      <c r="T62" s="29" t="n"/>
    </row>
    <row r="63">
      <c r="A63" s="29" t="n"/>
      <c r="B63" s="29" t="n"/>
      <c r="C63" s="29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  <c r="T63" s="29" t="n"/>
    </row>
    <row r="64">
      <c r="A64" s="29" t="n"/>
      <c r="B64" s="29" t="n"/>
      <c r="C64" s="29" t="n"/>
      <c r="D64" s="29" t="n"/>
      <c r="E64" s="29" t="n"/>
      <c r="F64" s="29" t="n"/>
      <c r="G64" s="29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  <c r="R64" s="29" t="n"/>
      <c r="S64" s="29" t="n"/>
      <c r="T64" s="29" t="n"/>
    </row>
    <row r="65">
      <c r="A65" s="29" t="n"/>
      <c r="B65" s="29" t="n"/>
      <c r="C65" s="29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29" t="n"/>
      <c r="R65" s="29" t="n"/>
      <c r="S65" s="29" t="n"/>
      <c r="T65" s="29" t="n"/>
    </row>
    <row r="66">
      <c r="A66" s="29" t="n"/>
      <c r="B66" s="29" t="n"/>
      <c r="C66" s="29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29" t="n"/>
      <c r="S66" s="29" t="n"/>
      <c r="T66" s="29" t="n"/>
    </row>
    <row r="67">
      <c r="A67" s="29" t="n"/>
      <c r="B67" s="29" t="n"/>
      <c r="C67" s="29" t="n"/>
      <c r="D67" s="29" t="n"/>
      <c r="E67" s="29" t="n"/>
      <c r="F67" s="29" t="n"/>
      <c r="G67" s="29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29" t="n"/>
      <c r="R67" s="29" t="n"/>
      <c r="S67" s="29" t="n"/>
      <c r="T67" s="29" t="n"/>
    </row>
    <row r="68">
      <c r="A68" s="29" t="n"/>
      <c r="B68" s="29" t="n"/>
      <c r="C68" s="29" t="n"/>
      <c r="D68" s="29" t="n"/>
      <c r="E68" s="29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29" t="n"/>
      <c r="R68" s="29" t="n"/>
      <c r="S68" s="29" t="n"/>
      <c r="T68" s="29" t="n"/>
    </row>
    <row r="69">
      <c r="A69" s="29" t="n"/>
      <c r="B69" s="29" t="n"/>
      <c r="C69" s="29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29" t="n"/>
      <c r="R69" s="29" t="n"/>
      <c r="S69" s="29" t="n"/>
      <c r="T69" s="29" t="n"/>
    </row>
    <row r="70">
      <c r="A70" s="29" t="n"/>
      <c r="B70" s="29" t="n"/>
      <c r="C70" s="29" t="n"/>
      <c r="D70" s="29" t="n"/>
      <c r="E70" s="29" t="n"/>
      <c r="F70" s="29" t="n"/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29" t="n"/>
    </row>
    <row r="71">
      <c r="A71" s="29" t="n"/>
      <c r="B71" s="29" t="n"/>
      <c r="C71" s="29" t="n"/>
      <c r="D71" s="29" t="n"/>
      <c r="E71" s="29" t="n"/>
      <c r="F71" s="29" t="n"/>
      <c r="G71" s="29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29" t="n"/>
      <c r="R71" s="29" t="n"/>
      <c r="S71" s="29" t="n"/>
      <c r="T71" s="29" t="n"/>
    </row>
    <row r="72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29" t="n"/>
      <c r="R72" s="29" t="n"/>
      <c r="S72" s="29" t="n"/>
      <c r="T72" s="29" t="n"/>
    </row>
    <row r="73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29" t="n"/>
      <c r="R73" s="29" t="n"/>
      <c r="S73" s="29" t="n"/>
      <c r="T73" s="29" t="n"/>
    </row>
    <row r="74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29" t="n"/>
      <c r="R74" s="29" t="n"/>
      <c r="S74" s="29" t="n"/>
      <c r="T74" s="29" t="n"/>
    </row>
    <row r="75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29" t="n"/>
      <c r="R75" s="29" t="n"/>
      <c r="S75" s="29" t="n"/>
      <c r="T75" s="29" t="n"/>
    </row>
    <row r="76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29" t="n"/>
      <c r="R76" s="29" t="n"/>
      <c r="S76" s="29" t="n"/>
      <c r="T76" s="29" t="n"/>
    </row>
    <row r="77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29" t="n"/>
      <c r="R77" s="29" t="n"/>
      <c r="S77" s="29" t="n"/>
      <c r="T77" s="29" t="n"/>
    </row>
    <row r="78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29" t="n"/>
      <c r="R78" s="29" t="n"/>
      <c r="S78" s="29" t="n"/>
      <c r="T78" s="29" t="n"/>
    </row>
    <row r="79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29" t="n"/>
      <c r="R79" s="29" t="n"/>
      <c r="S79" s="29" t="n"/>
      <c r="T79" s="29" t="n"/>
    </row>
    <row r="80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  <c r="R80" s="29" t="n"/>
      <c r="S80" s="29" t="n"/>
      <c r="T80" s="29" t="n"/>
    </row>
    <row r="81">
      <c r="A81" s="29" t="n"/>
      <c r="B81" s="29" t="n"/>
      <c r="C81" s="29" t="n"/>
      <c r="D81" s="29" t="n"/>
      <c r="E81" s="29" t="n"/>
      <c r="F81" s="29" t="n"/>
      <c r="G81" s="29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29" t="n"/>
      <c r="R81" s="29" t="n"/>
      <c r="S81" s="29" t="n"/>
      <c r="T81" s="29" t="n"/>
    </row>
    <row r="82">
      <c r="A82" s="29" t="n"/>
      <c r="B82" s="29" t="n"/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29" t="n"/>
      <c r="R82" s="29" t="n"/>
      <c r="S82" s="29" t="n"/>
      <c r="T82" s="29" t="n"/>
    </row>
    <row r="83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29" t="n"/>
      <c r="R83" s="29" t="n"/>
      <c r="S83" s="29" t="n"/>
      <c r="T83" s="29" t="n"/>
    </row>
    <row r="84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29" t="n"/>
      <c r="R84" s="29" t="n"/>
      <c r="S84" s="29" t="n"/>
      <c r="T84" s="29" t="n"/>
    </row>
    <row r="85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29" t="n"/>
      <c r="R85" s="29" t="n"/>
      <c r="S85" s="29" t="n"/>
      <c r="T85" s="29" t="n"/>
    </row>
    <row r="86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29" t="n"/>
      <c r="R86" s="29" t="n"/>
      <c r="S86" s="29" t="n"/>
      <c r="T86" s="29" t="n"/>
    </row>
    <row r="87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29" t="n"/>
      <c r="R87" s="29" t="n"/>
      <c r="S87" s="29" t="n"/>
      <c r="T87" s="29" t="n"/>
    </row>
    <row r="88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29" t="n"/>
      <c r="R88" s="29" t="n"/>
      <c r="S88" s="29" t="n"/>
      <c r="T88" s="29" t="n"/>
    </row>
    <row r="89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29" t="n"/>
      <c r="R89" s="29" t="n"/>
      <c r="S89" s="29" t="n"/>
      <c r="T89" s="29" t="n"/>
    </row>
    <row r="90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29" t="n"/>
      <c r="R90" s="29" t="n"/>
      <c r="S90" s="29" t="n"/>
      <c r="T90" s="29" t="n"/>
    </row>
    <row r="9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29" t="n"/>
      <c r="R91" s="29" t="n"/>
      <c r="S91" s="29" t="n"/>
      <c r="T91" s="29" t="n"/>
    </row>
    <row r="92">
      <c r="A92" s="29" t="n"/>
      <c r="B92" s="29" t="n"/>
      <c r="C92" s="29" t="n"/>
      <c r="D92" s="29" t="n"/>
      <c r="E92" s="29" t="n"/>
      <c r="F92" s="29" t="n"/>
      <c r="G92" s="29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29" t="n"/>
      <c r="R92" s="29" t="n"/>
      <c r="S92" s="29" t="n"/>
      <c r="T92" s="29" t="n"/>
    </row>
    <row r="93">
      <c r="A93" s="29" t="n"/>
      <c r="B93" s="29" t="n"/>
      <c r="C93" s="29" t="n"/>
      <c r="D93" s="29" t="n"/>
      <c r="E93" s="29" t="n"/>
      <c r="F93" s="29" t="n"/>
      <c r="G93" s="29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29" t="n"/>
      <c r="R93" s="29" t="n"/>
      <c r="S93" s="29" t="n"/>
      <c r="T93" s="29" t="n"/>
    </row>
    <row r="94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29" t="n"/>
      <c r="R94" s="29" t="n"/>
      <c r="S94" s="29" t="n"/>
      <c r="T94" s="29" t="n"/>
    </row>
    <row r="95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29" t="n"/>
      <c r="R95" s="29" t="n"/>
      <c r="S95" s="29" t="n"/>
      <c r="T95" s="29" t="n"/>
    </row>
    <row r="96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29" t="n"/>
      <c r="R96" s="29" t="n"/>
      <c r="S96" s="29" t="n"/>
      <c r="T96" s="29" t="n"/>
    </row>
    <row r="97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29" t="n"/>
      <c r="R97" s="29" t="n"/>
      <c r="S97" s="29" t="n"/>
      <c r="T97" s="29" t="n"/>
    </row>
    <row r="98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29" t="n"/>
      <c r="R98" s="29" t="n"/>
      <c r="S98" s="29" t="n"/>
      <c r="T98" s="29" t="n"/>
    </row>
    <row r="99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29" t="n"/>
      <c r="R99" s="29" t="n"/>
      <c r="S99" s="29" t="n"/>
      <c r="T99" s="29" t="n"/>
    </row>
    <row r="100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29" t="n"/>
      <c r="R100" s="29" t="n"/>
      <c r="S100" s="29" t="n"/>
      <c r="T100" s="29" t="n"/>
    </row>
  </sheetData>
  <mergeCells count="7">
    <mergeCell ref="B23:E23"/>
    <mergeCell ref="B18:E18"/>
    <mergeCell ref="B26:E26"/>
    <mergeCell ref="B27:E27"/>
    <mergeCell ref="B25:E25"/>
    <mergeCell ref="B24:E24"/>
    <mergeCell ref="B22:E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2026-10-14T13:58:29Z</dcterms:created>
  <dcterms:modified xmlns:dcterms="http://purl.org/dc/terms/" xmlns:xsi="http://www.w3.org/2001/XMLSchema-instance" xsi:type="dcterms:W3CDTF">2026-10-15T01:32:58Z</dcterms:modified>
  <cp:lastModifiedBy>CESAR EMILIO MARTINEZ CANSECO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0x0101009C0B5EB41D98674C8F492B58287E64DE</vt:lpwstr>
  </property>
</Properties>
</file>