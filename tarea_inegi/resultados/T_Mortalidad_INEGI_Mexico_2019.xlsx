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Tabla ambos sexos" sheetId="2" state="visible" r:id="rId4"/>
    <sheet name="Tabla hombres" sheetId="3" state="visible" r:id="rId5"/>
    <sheet name="Tabla mujeres" sheetId="4" state="visible" r:id="rId6"/>
    <sheet name="Indicadores" sheetId="5" state="visible" r:id="rId7"/>
    <sheet name="Graficos" sheetId="6" state="visible" r:id="rId8"/>
    <sheet name="Datos INEGI" sheetId="7" state="visible" r:id="rId9"/>
    <sheet name="Datos graficos" sheetId="8" state="visible" r:id="rId10"/>
  </sheets>
  <definedNames>
    <definedName function="false" hidden="false" name="Radix" vbProcedure="false">Leeme!$B$3</definedName>
    <definedName function="false" hidden="false" name="Suaviza" vbProcedure="false">Leeme!$B$4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<sst xmlns="http://schemas.openxmlformats.org/spreadsheetml/2006/main" count="210" uniqueCount="110">
  <si>
    <t xml:space="preserve">U2_P1: Tabla de mortalidad INEGI - México, 2019</t>
  </si>
  <si>
    <t xml:space="preserve">Radix (l0)</t>
  </si>
  <si>
    <t xml:space="preserve">Población inicial de la tabla (nombre definido 'Radix').</t>
  </si>
  <si>
    <t xml:space="preserve">Suavizado (1 = sí, 0 = no)</t>
  </si>
  <si>
    <t xml:space="preserve">Media móvil de 5 edades en defunciones y población de 10 a 97 años (nombre definido 'Suaviza').</t>
  </si>
  <si>
    <t xml:space="preserve">Qué es</t>
  </si>
  <si>
    <t xml:space="preserve">Tabla de mortalidad de México para 2019 (ambos sexos, hombres y mujeres) con el formato de la plantilla de la profesora (x, qx, lx, dx, Lx, Tx, ex y nota técnica de nacimientos y defunciones), calculada con cifras de INEGI.</t>
  </si>
  <si>
    <t xml:space="preserve">Datos (INEGI)</t>
  </si>
  <si>
    <t xml:space="preserve">Defunciones: Estadísticas de Defunciones Registradas, datos abiertos 2019-2021 (https://www.inegi.org.mx/programas/edr/). Nacimientos: Estadística de Nacimientos Registrados, datos abiertos 2019-2021 (https://www.inegi.org.mx/programas/natalidad/). Población por edad simple: Censo de Población y Vivienda 2020 (https://www.inegi.org.mx/programas/ccpv/2020/). Año de referencia 2019 (último año completo antes de la pandemia).</t>
  </si>
  <si>
    <t xml:space="preserve">Método</t>
  </si>
  <si>
    <t xml:space="preserve">q(0) = defunciones de menores de 1 año / nacimientos.  q(x), x = 1…99 = defunciones / (población + defunciones/2).  q(100) = 1 (grupo abierto).</t>
  </si>
  <si>
    <t xml:space="preserve">lx: l0 = radix; l(x+1) = lx − dx.  dx = lx·qx.  Lx = l(x+1) + dx/2.  Tx = suma de Lx desde x hasta 100.  ex = Tx/lx.</t>
  </si>
  <si>
    <t xml:space="preserve">Defunciones por año de ocurrencia; la edad no especificada se reparte proporcionalmente entre las edades (hoja Datos INEGI).</t>
  </si>
  <si>
    <t xml:space="preserve">Hojas</t>
  </si>
  <si>
    <t xml:space="preserve">Tabla ambos sexos / Tabla hombres / Tabla mujeres: formato de la plantilla.  Indicadores: e0, e65, supervivencia, validación con la ONU y análisis.  Graficos: lx, qx, dx, ex, sobremortalidad masculina y comparación con la ONU.  Datos INEGI y Datos graficos: apoyo.</t>
  </si>
  <si>
    <t xml:space="preserve">Colores</t>
  </si>
  <si>
    <t xml:space="preserve">Azul = dato de INEGI o parámetro.  Negro = fórmula.  Verde = vínculo a otra hoja.  Amarillo = parámetro editable.</t>
  </si>
  <si>
    <t xml:space="preserve">Respecto a la plantilla</t>
  </si>
  <si>
    <t xml:space="preserve">La plantilla (generación francesa de 1899) trae qx escritos a mano y varios Tx fijos; aquí todo se calcula con fórmulas: Tx es la suma de Lx (no de lx) y no se redondea dx ni Lx.</t>
  </si>
  <si>
    <t xml:space="preserve">Tabla de mortalidad</t>
  </si>
  <si>
    <t xml:space="preserve">Cuadro: Tabla de mortalidad de México, 2019, ambos sexos (INEGI)</t>
  </si>
  <si>
    <t xml:space="preserve">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</si>
  <si>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</si>
  <si>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</si>
  <si>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</si>
  <si>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</si>
  <si>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</si>
  <si>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</si>
  <si>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Nota técnica (qx)</t>
  </si>
  <si>
    <t xml:space="preserve">Probabilidad de muerte: defunciones xi / PI</t>
  </si>
  <si>
    <t xml:space="preserve">Supervivientes a una edad exacta</t>
  </si>
  <si>
    <t xml:space="preserve">Defunciones xi</t>
  </si>
  <si>
    <t xml:space="preserve">Años vividos entre aniversarios</t>
  </si>
  <si>
    <t xml:space="preserve">Años vividos acumulados: años que quedan por vivir</t>
  </si>
  <si>
    <t xml:space="preserve">La media de vida de una generación hasta su extinción</t>
  </si>
  <si>
    <t xml:space="preserve">q(x): Probabilidad de muerte</t>
  </si>
  <si>
    <t xml:space="preserve">Nacimientos</t>
  </si>
  <si>
    <t xml:space="preserve">Defunciones (menores de 1 año)</t>
  </si>
  <si>
    <t xml:space="preserve">q(0)</t>
  </si>
  <si>
    <t xml:space="preserve">q(0) = defunciones de menores de 1 año / nacimientos</t>
  </si>
  <si>
    <t xml:space="preserve">q(x), x = 1…99 = defunciones / (población + defunciones/2)</t>
  </si>
  <si>
    <t xml:space="preserve">Años vividos por los sobrevivientes entre la edad x y x+1</t>
  </si>
  <si>
    <t xml:space="preserve">Lx = l(x+1) + (dx/2)</t>
  </si>
  <si>
    <t xml:space="preserve">Tx = Lx + L(x+1) + … + L100 (suma de Lx)</t>
  </si>
  <si>
    <t xml:space="preserve">ex = Tx / lx</t>
  </si>
  <si>
    <t xml:space="preserve">Control: suma de dx − radix</t>
  </si>
  <si>
    <t xml:space="preserve">Edad 100 = grupo abierto (100 y más): qx = 1, L100 = d100/2</t>
  </si>
  <si>
    <t xml:space="preserve">Cuadro: Tabla de mortalidad de México, 2019, hombres (INEGI)</t>
  </si>
  <si>
    <t xml:space="preserve">Cuadro: Tabla de mortalidad de México, 2019, mujeres (INEGI)</t>
  </si>
  <si>
    <t xml:space="preserve">Indicadores de la tabla de mortalidad de México, 2019 (INEGI)</t>
  </si>
  <si>
    <t xml:space="preserve">Indicador</t>
  </si>
  <si>
    <t xml:space="preserve">Hombres</t>
  </si>
  <si>
    <t xml:space="preserve">Mujeres</t>
  </si>
  <si>
    <t xml:space="preserve">Ambos sexos</t>
  </si>
  <si>
    <t xml:space="preserve">Mujeres − Hombres</t>
  </si>
  <si>
    <t xml:space="preserve">e0: esperanza de vida al nacer (años)</t>
  </si>
  <si>
    <t xml:space="preserve">e1: esperanza de vida a los 1 año (años)</t>
  </si>
  <si>
    <t xml:space="preserve">e15: esperanza de vida a los 15 años (años)</t>
  </si>
  <si>
    <t xml:space="preserve">e65: esperanza de vida a los 65 años (años)</t>
  </si>
  <si>
    <t xml:space="preserve">e80: esperanza de vida a los 80 años (años)</t>
  </si>
  <si>
    <t xml:space="preserve">q(0): mortalidad infantil (por mil nacimientos)</t>
  </si>
  <si>
    <t xml:space="preserve">5q0: probabilidad de morir antes de los 5 años (por mil)</t>
  </si>
  <si>
    <t xml:space="preserve">Probabilidad de llegar con vida a los 15 años</t>
  </si>
  <si>
    <t xml:space="preserve">Probabilidad de llegar con vida a los 65 años</t>
  </si>
  <si>
    <t xml:space="preserve">Probabilidad de llegar con vida a los 80 años</t>
  </si>
  <si>
    <t xml:space="preserve">Edad mediana a la muerte (años cumplidos)</t>
  </si>
  <si>
    <t xml:space="preserve">Edad modal de las defunciones adultas (15-99 años)</t>
  </si>
  <si>
    <t xml:space="preserve">Validación: e0 calculada con datos de INEGI vs. e0 de la ONU (2019)</t>
  </si>
  <si>
    <t xml:space="preserve">Concepto</t>
  </si>
  <si>
    <t xml:space="preserve">e0 con datos de INEGI (esta tabla)</t>
  </si>
  <si>
    <t xml:space="preserve">e0 ONU, World Population Prospects 2024</t>
  </si>
  <si>
    <t xml:space="preserve">Diferencia (años)</t>
  </si>
  <si>
    <t xml:space="preserve">Diferencia (%)</t>
  </si>
  <si>
    <t xml:space="preserve">Análisis</t>
  </si>
  <si>
    <t xml:space="preserve">1. Resultado principal</t>
  </si>
  <si>
    <t xml:space="preserve">Con las defunciones y nacimientos de INEGI de 2019 y la población del Censo 2020, la esperanza de vida al nacer en México es de 76.0 años (hombres 72.9; mujeres 79.1). Las mujeres viven en promedio 6.2 años más. De cada 100,000 nacidos vivos, 79,416 llegan a los 65 años y 51,635 a los 80; la mitad ya murió a los 80 años (hombres 77; mujeres 82).</t>
  </si>
  <si>
    <t xml:space="preserve">2. Forma de la mortalidad por edad</t>
  </si>
  <si>
    <t xml:space="preserve">La curva de qx tiene la forma clásica: alta en el primer año (q0 = 12.4 por mil), mínima entre los 8 y los 12 años (el valor más bajo ocurre a los 8 años) y creciente después, casi de forma exponencial. La esperanza de vida a los 1 año (75.9) ya no supera a la del nacimiento (76.0), señal de que la mortalidad infantil es hoy relativamente baja; la probabilidad de morir antes de los 5 años es 14.7 por mil.</t>
  </si>
  <si>
    <t xml:space="preserve">3. Sobremortalidad masculina</t>
  </si>
  <si>
    <t xml:space="preserve">Entre los 15 y los 39 años la probabilidad de morir de los hombres es en promedio 3.4 veces la de las mujeres, con un máximo de 4.0 veces a los 24 años: en esas edades pesan las muertes violentas y accidentales. Esa diferencia explica por qué solo 74 de cada 100 hombres llegan a los 65 años, frente a 85 de cada 100 mujeres.</t>
  </si>
  <si>
    <t xml:space="preserve">4. Comparación con la ONU</t>
  </si>
  <si>
    <t xml:space="preserve">La e0 con cifras registradas de INEGI (76.0) queda 1.5 años por encima de la estimación de la ONU para 2019 (74.5). Las probabilidades de morir de esta tabla son entre 6 % y 13 % menores que las de la ONU de los 20 a los 79 años y entre 19 % y 25 % menores de los 80 años en adelante (promedios por década). Es la dirección esperada si hay subregistro de defunciones y si el Censo exagera la población de edades avanzadas.</t>
  </si>
  <si>
    <t xml:space="preserve">5. Limitaciones</t>
  </si>
  <si>
    <t xml:space="preserve">(i) El Censo tiene atracción de edades redondas; por eso se suavizó con media móvil de 5 edades (interruptor en Leeme). (ii) A partir de los 85-90 años la población censal está sobrestimada: qx se aplana en ~0.17-0.19 y 3.5 % de los nacidos llegaría a los 100 años, lo cual no es creíble; las esperanzas de vida a edades avanzadas son optimistas. (iii) Se usó 2019 por ser el último año completo antes de la pandemia; en 2020-2021 la mortalidad fue mucho mayor. (iv) Es una tabla de periodo (generación ficticia), no el seguimiento de una generación real.</t>
  </si>
  <si>
    <t xml:space="preserve">El texto del análisis está redactado con los parámetros por defecto (radix 100,000; suavizado activado).</t>
  </si>
  <si>
    <t xml:space="preserve">Gráficos de la tabla de mortalidad de México, 2019 (INEGI)</t>
  </si>
  <si>
    <t xml:space="preserve">Se grafican las edades 0-99; la edad 100 es el grupo abierto (qx = 1) y distorsionaría la escala.</t>
  </si>
  <si>
    <t xml:space="preserve">Datos de INEGI para la tabla de mortalidad de México, 2019</t>
  </si>
  <si>
    <t xml:space="preserve">Azul = dato tomado de INEGI (conteos); negro = fórmula. Defunciones y nacimientos por año de OCURRENCIA 2019 (registrados 2019-2021). Población: Censo 2020.</t>
  </si>
  <si>
    <t xml:space="preserve">Nacimientos ocurridos en 2019 (ENR)</t>
  </si>
  <si>
    <t xml:space="preserve">Sexo no esp.</t>
  </si>
  <si>
    <t xml:space="preserve">Total</t>
  </si>
  <si>
    <t xml:space="preserve">Fuente: INEGI, Estadística de Nacimientos Registrados (datos abiertos 2019, 2020 y 2021), ano_nac = 2019.</t>
  </si>
  <si>
    <t xml:space="preserve">e0 de la ONU, 2019 (solo validación)</t>
  </si>
  <si>
    <t xml:space="preserve">e0 (años)</t>
  </si>
  <si>
    <t xml:space="preserve">Fuente: ONU, World Population Prospects 2024 (variante media), LEx 2019. No se usa en la tabla; solo para comparar.</t>
  </si>
  <si>
    <t xml:space="preserve">Defunciones ocurridas en 2019 (EDR)</t>
  </si>
  <si>
    <t xml:space="preserve">Población, Censo 2020</t>
  </si>
  <si>
    <t xml:space="preserve">Defunciones con edad no especificada redistribuida</t>
  </si>
  <si>
    <t xml:space="preserve">Defunciones usadas en qx</t>
  </si>
  <si>
    <t xml:space="preserve">Población usada en qx</t>
  </si>
  <si>
    <t xml:space="preserve">Edad x</t>
  </si>
  <si>
    <t xml:space="preserve">No especificada</t>
  </si>
  <si>
    <t xml:space="preserve">Factor de redistribución</t>
  </si>
  <si>
    <t xml:space="preserve">Edad no especificada: se reparte entre todas las edades en proporción a sus defunciones (factor = total / total con edad). Población con edad no especificada (Censo): no se redistribuye (0.2 % del total).</t>
  </si>
  <si>
    <t xml:space="preserve">Fuente defunciones: INEGI, Estadísticas de Defunciones Registradas, datos abiertos 2019, 2020 y 2021 (anio_ocur = 2019; edad: códigos 1001-3999 = menores de 1 año, 4001-4120 = años cumplidos). Fuente población: INEGI, Censo de Población y Vivienda 2020, tabulado 'Población 3', Estados Unidos Mexicanos.</t>
  </si>
  <si>
    <t xml:space="preserve">Suavizado: media móvil de 5 edades (x-2 … x+2) en defunciones y población, de 10 a 97 años, para quitar la atracción de edades redondas del Censo (p. ej. 30 años: 2.37 millones vs. 31 años: 1.54 millones). Se activa/desactiva en Leeme.</t>
  </si>
  <si>
    <t xml:space="preserve">Datos de los gráficos (vínculos a las tablas)</t>
  </si>
  <si>
    <t xml:space="preserve">Sobremortalidad masculina</t>
  </si>
  <si>
    <t xml:space="preserve">qx H / qx M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</si>
</sst>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00000"/>
    <numFmt numFmtId="167" formatCode="0.00"/>
    <numFmt numFmtId="168" formatCode="0.000;\-0.000;0.000"/>
    <numFmt numFmtId="169" formatCode="0\+"/>
    <numFmt numFmtId="170" formatCode="0.00;\-0.00;0.00"/>
    <numFmt numFmtId="171" formatCode="0.0%"/>
    <numFmt numFmtId="172" formatCode="0.0%;\-0.0%;0.0%"/>
    <numFmt numFmtId="173" formatCode="0"/>
    <numFmt numFmtId="174" formatCode="#,##0.0"/>
    <numFmt numFmtId="175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5F1E6"/>
        <bgColor rgb="FFDCE9F9"/>
      </patternFill>
    </fill>
    <fill>
      <patternFill patternType="solid">
        <fgColor rgb="FFDCE9F9"/>
        <bgColor rgb="FFD5F1E6"/>
      </patternFill>
    </fill>
    <fill>
      <patternFill patternType="solid">
        <fgColor rgb="FFFBE3D8"/>
        <bgColor rgb="FFF2F2F2"/>
      </patternFill>
    </fill>
    <fill>
      <patternFill patternType="solid">
        <fgColor rgb="FFF2F2F2"/>
        <bgColor rgb="FFDCE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78787"/>
      <rgbColor rgb="FF993366"/>
      <rgbColor rgb="FFFBE3D8"/>
      <rgbColor rgb="FFD5F1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9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AA0A6"/>
      <rgbColor rgb="FF1F3864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lx: sobrevivientes de 100,000 nacidos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graficos'!B4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graficos'!$B$5:$B$104</c:f>
              <c:numCache>
                <c:formatCode>#,##0</c:formatCode>
                <c:ptCount val="100"/>
                <c:pt idx="0">
                  <c:v>100000</c:v>
                </c:pt>
                <c:pt idx="1">
                  <c:v>98635.4829864999</c:v>
                </c:pt>
                <c:pt idx="2">
                  <c:v>98520.4321287333</c:v>
                </c:pt>
                <c:pt idx="3">
                  <c:v>98461.8411406845</c:v>
                </c:pt>
                <c:pt idx="4">
                  <c:v>98422.7444998907</c:v>
                </c:pt>
                <c:pt idx="5">
                  <c:v>98392.3989565331</c:v>
                </c:pt>
                <c:pt idx="6">
                  <c:v>98366.6767361797</c:v>
                </c:pt>
                <c:pt idx="7">
                  <c:v>98342.2134695459</c:v>
                </c:pt>
                <c:pt idx="8">
                  <c:v>98319.4214716649</c:v>
                </c:pt>
                <c:pt idx="9">
                  <c:v>98296.8329586752</c:v>
                </c:pt>
                <c:pt idx="10">
                  <c:v>98270.143189096</c:v>
                </c:pt>
                <c:pt idx="11">
                  <c:v>98244.0418796188</c:v>
                </c:pt>
                <c:pt idx="12">
                  <c:v>98215.13137083</c:v>
                </c:pt>
                <c:pt idx="13">
                  <c:v>98181.8800462173</c:v>
                </c:pt>
                <c:pt idx="14">
                  <c:v>98140.1143719905</c:v>
                </c:pt>
                <c:pt idx="15">
                  <c:v>98084.9071648212</c:v>
                </c:pt>
                <c:pt idx="16">
                  <c:v>98012.2463381904</c:v>
                </c:pt>
                <c:pt idx="17">
                  <c:v>97918.5844350989</c:v>
                </c:pt>
                <c:pt idx="18">
                  <c:v>97800.7950300119</c:v>
                </c:pt>
                <c:pt idx="19">
                  <c:v>97659.1695545677</c:v>
                </c:pt>
                <c:pt idx="20">
                  <c:v>97493.0297511958</c:v>
                </c:pt>
                <c:pt idx="21">
                  <c:v>97306.1062785448</c:v>
                </c:pt>
                <c:pt idx="22">
                  <c:v>97096.4212772506</c:v>
                </c:pt>
                <c:pt idx="23">
                  <c:v>96873.0039590768</c:v>
                </c:pt>
                <c:pt idx="24">
                  <c:v>96632.5784253468</c:v>
                </c:pt>
                <c:pt idx="25">
                  <c:v>96383.1390028711</c:v>
                </c:pt>
                <c:pt idx="26">
                  <c:v>96118.4712942271</c:v>
                </c:pt>
                <c:pt idx="27">
                  <c:v>95848.4982175602</c:v>
                </c:pt>
                <c:pt idx="28">
                  <c:v>95567.423640242</c:v>
                </c:pt>
                <c:pt idx="29">
                  <c:v>95289.2406180007</c:v>
                </c:pt>
                <c:pt idx="30">
                  <c:v>94998.2715812273</c:v>
                </c:pt>
                <c:pt idx="31">
                  <c:v>94710.1234346124</c:v>
                </c:pt>
                <c:pt idx="32">
                  <c:v>94414.0845509154</c:v>
                </c:pt>
                <c:pt idx="33">
                  <c:v>94115.2310297021</c:v>
                </c:pt>
                <c:pt idx="34">
                  <c:v>93801.6861530034</c:v>
                </c:pt>
                <c:pt idx="35">
                  <c:v>93496.5982035448</c:v>
                </c:pt>
                <c:pt idx="36">
                  <c:v>93172.0051132925</c:v>
                </c:pt>
                <c:pt idx="37">
                  <c:v>92850.4527545237</c:v>
                </c:pt>
                <c:pt idx="38">
                  <c:v>92520.1122699625</c:v>
                </c:pt>
                <c:pt idx="39">
                  <c:v>92191.2228419741</c:v>
                </c:pt>
                <c:pt idx="40">
                  <c:v>91833.0970493723</c:v>
                </c:pt>
                <c:pt idx="41">
                  <c:v>91481.2070780365</c:v>
                </c:pt>
                <c:pt idx="42">
                  <c:v>91101.3916617462</c:v>
                </c:pt>
                <c:pt idx="43">
                  <c:v>90697.9821706837</c:v>
                </c:pt>
                <c:pt idx="44">
                  <c:v>90265.4941715928</c:v>
                </c:pt>
                <c:pt idx="45">
                  <c:v>89824.0116892303</c:v>
                </c:pt>
                <c:pt idx="46">
                  <c:v>89340.8237414744</c:v>
                </c:pt>
                <c:pt idx="47">
                  <c:v>88845.140675077</c:v>
                </c:pt>
                <c:pt idx="48">
                  <c:v>88340.9094085062</c:v>
                </c:pt>
                <c:pt idx="49">
                  <c:v>87819.568867635</c:v>
                </c:pt>
                <c:pt idx="50">
                  <c:v>87262.3601374221</c:v>
                </c:pt>
                <c:pt idx="51">
                  <c:v>86694.548411728</c:v>
                </c:pt>
                <c:pt idx="52">
                  <c:v>86088.2490634979</c:v>
                </c:pt>
                <c:pt idx="53">
                  <c:v>85443.9467323987</c:v>
                </c:pt>
                <c:pt idx="54">
                  <c:v>84729.5940992394</c:v>
                </c:pt>
                <c:pt idx="55">
                  <c:v>84010.593613035</c:v>
                </c:pt>
                <c:pt idx="56">
                  <c:v>83210.1961988125</c:v>
                </c:pt>
                <c:pt idx="57">
                  <c:v>82358.7148979905</c:v>
                </c:pt>
                <c:pt idx="58">
                  <c:v>81447.0991219433</c:v>
                </c:pt>
                <c:pt idx="59">
                  <c:v>80515.3043331006</c:v>
                </c:pt>
                <c:pt idx="60">
                  <c:v>79476.7654392591</c:v>
                </c:pt>
                <c:pt idx="61">
                  <c:v>78416.1571813125</c:v>
                </c:pt>
                <c:pt idx="62">
                  <c:v>77302.8336517286</c:v>
                </c:pt>
                <c:pt idx="63">
                  <c:v>76137.8968099881</c:v>
                </c:pt>
                <c:pt idx="64">
                  <c:v>74883.3432686734</c:v>
                </c:pt>
                <c:pt idx="65">
                  <c:v>73611.9091849009</c:v>
                </c:pt>
                <c:pt idx="66">
                  <c:v>72269.5511247285</c:v>
                </c:pt>
                <c:pt idx="67">
                  <c:v>70882.2072850864</c:v>
                </c:pt>
                <c:pt idx="68">
                  <c:v>69415.6579392146</c:v>
                </c:pt>
                <c:pt idx="69">
                  <c:v>67851.3075619703</c:v>
                </c:pt>
                <c:pt idx="70">
                  <c:v>66173.4448094122</c:v>
                </c:pt>
                <c:pt idx="71">
                  <c:v>64447.9357949445</c:v>
                </c:pt>
                <c:pt idx="72">
                  <c:v>62585.6840818574</c:v>
                </c:pt>
                <c:pt idx="73">
                  <c:v>60674.6668779127</c:v>
                </c:pt>
                <c:pt idx="74">
                  <c:v>58625.2944666829</c:v>
                </c:pt>
                <c:pt idx="75">
                  <c:v>56604.832022121</c:v>
                </c:pt>
                <c:pt idx="76">
                  <c:v>54408.1002677806</c:v>
                </c:pt>
                <c:pt idx="77">
                  <c:v>52166.7864134638</c:v>
                </c:pt>
                <c:pt idx="78">
                  <c:v>49809.0084944194</c:v>
                </c:pt>
                <c:pt idx="79">
                  <c:v>47370.2185570975</c:v>
                </c:pt>
                <c:pt idx="80">
                  <c:v>44757.2575866947</c:v>
                </c:pt>
                <c:pt idx="81">
                  <c:v>42121.8878708868</c:v>
                </c:pt>
                <c:pt idx="82">
                  <c:v>39319.7564453752</c:v>
                </c:pt>
                <c:pt idx="83">
                  <c:v>36531.5150599342</c:v>
                </c:pt>
                <c:pt idx="84">
                  <c:v>33600.730024794</c:v>
                </c:pt>
                <c:pt idx="85">
                  <c:v>30870.2261957703</c:v>
                </c:pt>
                <c:pt idx="86">
                  <c:v>28168.288681922</c:v>
                </c:pt>
                <c:pt idx="87">
                  <c:v>25486.1812082775</c:v>
                </c:pt>
                <c:pt idx="88">
                  <c:v>22803.3918458274</c:v>
                </c:pt>
                <c:pt idx="89">
                  <c:v>20211.6947779225</c:v>
                </c:pt>
                <c:pt idx="90">
                  <c:v>17615.2402688213</c:v>
                </c:pt>
                <c:pt idx="91">
                  <c:v>15162.2427771451</c:v>
                </c:pt>
                <c:pt idx="92">
                  <c:v>12931.6771624842</c:v>
                </c:pt>
                <c:pt idx="93">
                  <c:v>10930.4741213369</c:v>
                </c:pt>
                <c:pt idx="94">
                  <c:v>8947.78654051786</c:v>
                </c:pt>
                <c:pt idx="95">
                  <c:v>7379.63101516883</c:v>
                </c:pt>
                <c:pt idx="96">
                  <c:v>6039.6071329924</c:v>
                </c:pt>
                <c:pt idx="97">
                  <c:v>4945.24061805459</c:v>
                </c:pt>
                <c:pt idx="98">
                  <c:v>4041.44872773835</c:v>
                </c:pt>
                <c:pt idx="99">
                  <c:v>3346.36879705831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graficos'!C4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graficos'!$C$5:$C$104</c:f>
              <c:numCache>
                <c:formatCode>#,##0</c:formatCode>
                <c:ptCount val="100"/>
                <c:pt idx="0">
                  <c:v>100000</c:v>
                </c:pt>
                <c:pt idx="1">
                  <c:v>98895.8857495363</c:v>
                </c:pt>
                <c:pt idx="2">
                  <c:v>98789.7639871797</c:v>
                </c:pt>
                <c:pt idx="3">
                  <c:v>98740.7804113715</c:v>
                </c:pt>
                <c:pt idx="4">
                  <c:v>98708.607992795</c:v>
                </c:pt>
                <c:pt idx="5">
                  <c:v>98681.453040733</c:v>
                </c:pt>
                <c:pt idx="6">
                  <c:v>98657.2303568505</c:v>
                </c:pt>
                <c:pt idx="7">
                  <c:v>98636.9588078242</c:v>
                </c:pt>
                <c:pt idx="8">
                  <c:v>98614.5860131274</c:v>
                </c:pt>
                <c:pt idx="9">
                  <c:v>98597.7116861916</c:v>
                </c:pt>
                <c:pt idx="10">
                  <c:v>98576.3296617724</c:v>
                </c:pt>
                <c:pt idx="11">
                  <c:v>98556.3940013179</c:v>
                </c:pt>
                <c:pt idx="12">
                  <c:v>98534.4193477935</c:v>
                </c:pt>
                <c:pt idx="13">
                  <c:v>98510.9010280983</c:v>
                </c:pt>
                <c:pt idx="14">
                  <c:v>98483.9638277467</c:v>
                </c:pt>
                <c:pt idx="15">
                  <c:v>98451.7984571651</c:v>
                </c:pt>
                <c:pt idx="16">
                  <c:v>98415.1023032238</c:v>
                </c:pt>
                <c:pt idx="17">
                  <c:v>98374.5117311408</c:v>
                </c:pt>
                <c:pt idx="18">
                  <c:v>98328.2691918535</c:v>
                </c:pt>
                <c:pt idx="19">
                  <c:v>98279.0925905257</c:v>
                </c:pt>
                <c:pt idx="20">
                  <c:v>98226.8943741882</c:v>
                </c:pt>
                <c:pt idx="21">
                  <c:v>98172.8458024653</c:v>
                </c:pt>
                <c:pt idx="22">
                  <c:v>98115.0995771784</c:v>
                </c:pt>
                <c:pt idx="23">
                  <c:v>98055.5032352044</c:v>
                </c:pt>
                <c:pt idx="24">
                  <c:v>97993.1911759385</c:v>
                </c:pt>
                <c:pt idx="25">
                  <c:v>97929.6794421401</c:v>
                </c:pt>
                <c:pt idx="26">
                  <c:v>97861.6207793786</c:v>
                </c:pt>
                <c:pt idx="27">
                  <c:v>97791.4074314096</c:v>
                </c:pt>
                <c:pt idx="28">
                  <c:v>97719.3169996091</c:v>
                </c:pt>
                <c:pt idx="29">
                  <c:v>97646.1576410956</c:v>
                </c:pt>
                <c:pt idx="30">
                  <c:v>97567.4684221513</c:v>
                </c:pt>
                <c:pt idx="31">
                  <c:v>97488.4725542762</c:v>
                </c:pt>
                <c:pt idx="32">
                  <c:v>97404.8054796799</c:v>
                </c:pt>
                <c:pt idx="33">
                  <c:v>97317.3149137198</c:v>
                </c:pt>
                <c:pt idx="34">
                  <c:v>97223.0897327368</c:v>
                </c:pt>
                <c:pt idx="35">
                  <c:v>97127.6233560853</c:v>
                </c:pt>
                <c:pt idx="36">
                  <c:v>97022.9445712778</c:v>
                </c:pt>
                <c:pt idx="37">
                  <c:v>96915.2172151117</c:v>
                </c:pt>
                <c:pt idx="38">
                  <c:v>96798.989723134</c:v>
                </c:pt>
                <c:pt idx="39">
                  <c:v>96678.9591750461</c:v>
                </c:pt>
                <c:pt idx="40">
                  <c:v>96543.9542970032</c:v>
                </c:pt>
                <c:pt idx="41">
                  <c:v>96404.3900224598</c:v>
                </c:pt>
                <c:pt idx="42">
                  <c:v>96251.7621051489</c:v>
                </c:pt>
                <c:pt idx="43">
                  <c:v>96082.8263786466</c:v>
                </c:pt>
                <c:pt idx="44">
                  <c:v>95893.6993229114</c:v>
                </c:pt>
                <c:pt idx="45">
                  <c:v>95692.7992512609</c:v>
                </c:pt>
                <c:pt idx="46">
                  <c:v>95463.1914607825</c:v>
                </c:pt>
                <c:pt idx="47">
                  <c:v>95216.6177865759</c:v>
                </c:pt>
                <c:pt idx="48">
                  <c:v>94955.8838311045</c:v>
                </c:pt>
                <c:pt idx="49">
                  <c:v>94679.8828681082</c:v>
                </c:pt>
                <c:pt idx="50">
                  <c:v>94375.4763971652</c:v>
                </c:pt>
                <c:pt idx="51">
                  <c:v>94057.6211461722</c:v>
                </c:pt>
                <c:pt idx="52">
                  <c:v>93708.4642555757</c:v>
                </c:pt>
                <c:pt idx="53">
                  <c:v>93333.8615437231</c:v>
                </c:pt>
                <c:pt idx="54">
                  <c:v>92906.3770978657</c:v>
                </c:pt>
                <c:pt idx="55">
                  <c:v>92464.7567944383</c:v>
                </c:pt>
                <c:pt idx="56">
                  <c:v>91966.6217477232</c:v>
                </c:pt>
                <c:pt idx="57">
                  <c:v>91424.010278047</c:v>
                </c:pt>
                <c:pt idx="58">
                  <c:v>90819.2348635117</c:v>
                </c:pt>
                <c:pt idx="59">
                  <c:v>90189.2841009044</c:v>
                </c:pt>
                <c:pt idx="60">
                  <c:v>89476.6583368826</c:v>
                </c:pt>
                <c:pt idx="61">
                  <c:v>88727.9267754986</c:v>
                </c:pt>
                <c:pt idx="62">
                  <c:v>87921.9884156051</c:v>
                </c:pt>
                <c:pt idx="63">
                  <c:v>87070.8997693206</c:v>
                </c:pt>
                <c:pt idx="64">
                  <c:v>86131.4365116381</c:v>
                </c:pt>
                <c:pt idx="65">
                  <c:v>85153.1431942513</c:v>
                </c:pt>
                <c:pt idx="66">
                  <c:v>84095.0426716804</c:v>
                </c:pt>
                <c:pt idx="67">
                  <c:v>82981.1635867945</c:v>
                </c:pt>
                <c:pt idx="68">
                  <c:v>81766.156315336</c:v>
                </c:pt>
                <c:pt idx="69">
                  <c:v>80461.2332626533</c:v>
                </c:pt>
                <c:pt idx="70">
                  <c:v>79038.191500527</c:v>
                </c:pt>
                <c:pt idx="71">
                  <c:v>77561.5514215942</c:v>
                </c:pt>
                <c:pt idx="72">
                  <c:v>75942.3213906795</c:v>
                </c:pt>
                <c:pt idx="73">
                  <c:v>74261.7858671849</c:v>
                </c:pt>
                <c:pt idx="74">
                  <c:v>72406.2428915155</c:v>
                </c:pt>
                <c:pt idx="75">
                  <c:v>70546.671956702</c:v>
                </c:pt>
                <c:pt idx="76">
                  <c:v>68489.8911800072</c:v>
                </c:pt>
                <c:pt idx="77">
                  <c:v>66316.4660465462</c:v>
                </c:pt>
                <c:pt idx="78">
                  <c:v>63953.71045783</c:v>
                </c:pt>
                <c:pt idx="79">
                  <c:v>61478.0656330062</c:v>
                </c:pt>
                <c:pt idx="80">
                  <c:v>58736.029219011</c:v>
                </c:pt>
                <c:pt idx="81">
                  <c:v>55895.7430033252</c:v>
                </c:pt>
                <c:pt idx="82">
                  <c:v>52842.1674016825</c:v>
                </c:pt>
                <c:pt idx="83">
                  <c:v>49767.3763622927</c:v>
                </c:pt>
                <c:pt idx="84">
                  <c:v>46426.6711898288</c:v>
                </c:pt>
                <c:pt idx="85">
                  <c:v>43235.6733461132</c:v>
                </c:pt>
                <c:pt idx="86">
                  <c:v>40000.4553137138</c:v>
                </c:pt>
                <c:pt idx="87">
                  <c:v>36656.899508195</c:v>
                </c:pt>
                <c:pt idx="88">
                  <c:v>33184.8407441278</c:v>
                </c:pt>
                <c:pt idx="89">
                  <c:v>29747.6272447295</c:v>
                </c:pt>
                <c:pt idx="90">
                  <c:v>26215.8914709034</c:v>
                </c:pt>
                <c:pt idx="91">
                  <c:v>22803.0179078794</c:v>
                </c:pt>
                <c:pt idx="92">
                  <c:v>19658.9030604548</c:v>
                </c:pt>
                <c:pt idx="93">
                  <c:v>16782.8556882887</c:v>
                </c:pt>
                <c:pt idx="94">
                  <c:v>13922.6298614293</c:v>
                </c:pt>
                <c:pt idx="95">
                  <c:v>11605.8506292285</c:v>
                </c:pt>
                <c:pt idx="96">
                  <c:v>9584.05289503408</c:v>
                </c:pt>
                <c:pt idx="97">
                  <c:v>7924.05751261629</c:v>
                </c:pt>
                <c:pt idx="98">
                  <c:v>6534.14252121322</c:v>
                </c:pt>
                <c:pt idx="99">
                  <c:v>5400.54657301844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graficos'!D4</c:f>
              <c:strCache>
                <c:ptCount val="1"/>
                <c:pt idx="0">
                  <c:v>Ambos sexos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graficos'!$D$5:$D$104</c:f>
              <c:numCache>
                <c:formatCode>#,##0</c:formatCode>
                <c:ptCount val="100"/>
                <c:pt idx="0">
                  <c:v>100000</c:v>
                </c:pt>
                <c:pt idx="1">
                  <c:v>98757.6393620752</c:v>
                </c:pt>
                <c:pt idx="2">
                  <c:v>98646.9128228874</c:v>
                </c:pt>
                <c:pt idx="3">
                  <c:v>98592.9885422485</c:v>
                </c:pt>
                <c:pt idx="4">
                  <c:v>98557.3089486179</c:v>
                </c:pt>
                <c:pt idx="5">
                  <c:v>98528.5172618357</c:v>
                </c:pt>
                <c:pt idx="6">
                  <c:v>98503.5139834648</c:v>
                </c:pt>
                <c:pt idx="7">
                  <c:v>98481.1118575155</c:v>
                </c:pt>
                <c:pt idx="8">
                  <c:v>98458.5083989993</c:v>
                </c:pt>
                <c:pt idx="9">
                  <c:v>98438.7066915641</c:v>
                </c:pt>
                <c:pt idx="10">
                  <c:v>98414.6382203479</c:v>
                </c:pt>
                <c:pt idx="11">
                  <c:v>98391.5548213896</c:v>
                </c:pt>
                <c:pt idx="12">
                  <c:v>98366.0460605901</c:v>
                </c:pt>
                <c:pt idx="13">
                  <c:v>98337.5727573386</c:v>
                </c:pt>
                <c:pt idx="14">
                  <c:v>98303.1033870483</c:v>
                </c:pt>
                <c:pt idx="15">
                  <c:v>98259.2506168735</c:v>
                </c:pt>
                <c:pt idx="16">
                  <c:v>98204.3351937918</c:v>
                </c:pt>
                <c:pt idx="17">
                  <c:v>98136.8361939674</c:v>
                </c:pt>
                <c:pt idx="18">
                  <c:v>98054.3931847322</c:v>
                </c:pt>
                <c:pt idx="19">
                  <c:v>97958.6192771431</c:v>
                </c:pt>
                <c:pt idx="20">
                  <c:v>97849.1007781844</c:v>
                </c:pt>
                <c:pt idx="21">
                  <c:v>97728.4129018533</c:v>
                </c:pt>
                <c:pt idx="22">
                  <c:v>97594.8661285312</c:v>
                </c:pt>
                <c:pt idx="23">
                  <c:v>97453.7472634774</c:v>
                </c:pt>
                <c:pt idx="24">
                  <c:v>97303.0574269301</c:v>
                </c:pt>
                <c:pt idx="25">
                  <c:v>97147.785376213</c:v>
                </c:pt>
                <c:pt idx="26">
                  <c:v>96983.0093285447</c:v>
                </c:pt>
                <c:pt idx="27">
                  <c:v>96814.5825573137</c:v>
                </c:pt>
                <c:pt idx="28">
                  <c:v>96639.9160261437</c:v>
                </c:pt>
                <c:pt idx="29">
                  <c:v>96466.1494741936</c:v>
                </c:pt>
                <c:pt idx="30">
                  <c:v>96283.3595566227</c:v>
                </c:pt>
                <c:pt idx="31">
                  <c:v>96102.0253941462</c:v>
                </c:pt>
                <c:pt idx="32">
                  <c:v>95914.859300673</c:v>
                </c:pt>
                <c:pt idx="33">
                  <c:v>95724.2871099759</c:v>
                </c:pt>
                <c:pt idx="34">
                  <c:v>95523.1465619952</c:v>
                </c:pt>
                <c:pt idx="35">
                  <c:v>95325.3857892443</c:v>
                </c:pt>
                <c:pt idx="36">
                  <c:v>95113.2928574724</c:v>
                </c:pt>
                <c:pt idx="37">
                  <c:v>94900.650457586</c:v>
                </c:pt>
                <c:pt idx="38">
                  <c:v>94679.4104323539</c:v>
                </c:pt>
                <c:pt idx="39">
                  <c:v>94456.8927101233</c:v>
                </c:pt>
                <c:pt idx="40">
                  <c:v>94212.25430737</c:v>
                </c:pt>
                <c:pt idx="41">
                  <c:v>93968.0967437648</c:v>
                </c:pt>
                <c:pt idx="42">
                  <c:v>93703.9175336554</c:v>
                </c:pt>
                <c:pt idx="43">
                  <c:v>93419.7828304098</c:v>
                </c:pt>
                <c:pt idx="44">
                  <c:v>93110.643373609</c:v>
                </c:pt>
                <c:pt idx="45">
                  <c:v>92790.8845851297</c:v>
                </c:pt>
                <c:pt idx="46">
                  <c:v>92435.8757773231</c:v>
                </c:pt>
                <c:pt idx="47">
                  <c:v>92065.6177790615</c:v>
                </c:pt>
                <c:pt idx="48">
                  <c:v>91683.6171774556</c:v>
                </c:pt>
                <c:pt idx="49">
                  <c:v>91285.7141337837</c:v>
                </c:pt>
                <c:pt idx="50">
                  <c:v>90855.5816049676</c:v>
                </c:pt>
                <c:pt idx="51">
                  <c:v>90413.3942578357</c:v>
                </c:pt>
                <c:pt idx="52">
                  <c:v>89936.4535284479</c:v>
                </c:pt>
                <c:pt idx="53">
                  <c:v>89428.2634588554</c:v>
                </c:pt>
                <c:pt idx="54">
                  <c:v>88858.8063388445</c:v>
                </c:pt>
                <c:pt idx="55">
                  <c:v>88279.1949144079</c:v>
                </c:pt>
                <c:pt idx="56">
                  <c:v>87630.8466746721</c:v>
                </c:pt>
                <c:pt idx="57">
                  <c:v>86934.4508299739</c:v>
                </c:pt>
                <c:pt idx="58">
                  <c:v>86175.8704255971</c:v>
                </c:pt>
                <c:pt idx="59">
                  <c:v>85394.3029110285</c:v>
                </c:pt>
                <c:pt idx="60">
                  <c:v>84518.4730423535</c:v>
                </c:pt>
                <c:pt idx="61">
                  <c:v>83613.0340272378</c:v>
                </c:pt>
                <c:pt idx="62">
                  <c:v>82652.1621224784</c:v>
                </c:pt>
                <c:pt idx="63">
                  <c:v>81642.6915729693</c:v>
                </c:pt>
                <c:pt idx="64">
                  <c:v>80543.6077318698</c:v>
                </c:pt>
                <c:pt idx="65">
                  <c:v>79415.9844895443</c:v>
                </c:pt>
                <c:pt idx="66">
                  <c:v>78211.8705577166</c:v>
                </c:pt>
                <c:pt idx="67">
                  <c:v>76957.103071231</c:v>
                </c:pt>
                <c:pt idx="68">
                  <c:v>75611.2184314736</c:v>
                </c:pt>
                <c:pt idx="69">
                  <c:v>74171.1151692663</c:v>
                </c:pt>
                <c:pt idx="70">
                  <c:v>72613.6747475264</c:v>
                </c:pt>
                <c:pt idx="71">
                  <c:v>71005.14929222</c:v>
                </c:pt>
                <c:pt idx="72">
                  <c:v>69255.1915299424</c:v>
                </c:pt>
                <c:pt idx="73">
                  <c:v>67449.6807247396</c:v>
                </c:pt>
                <c:pt idx="74">
                  <c:v>65485.737782827</c:v>
                </c:pt>
                <c:pt idx="75">
                  <c:v>63534.0765209628</c:v>
                </c:pt>
                <c:pt idx="76">
                  <c:v>61394.3587648952</c:v>
                </c:pt>
                <c:pt idx="77">
                  <c:v>59173.14715654</c:v>
                </c:pt>
                <c:pt idx="78">
                  <c:v>56797.7938291791</c:v>
                </c:pt>
                <c:pt idx="79">
                  <c:v>54326.6318795145</c:v>
                </c:pt>
                <c:pt idx="80">
                  <c:v>51635.3069612062</c:v>
                </c:pt>
                <c:pt idx="81">
                  <c:v>48886.0232118929</c:v>
                </c:pt>
                <c:pt idx="82">
                  <c:v>45949.2311455295</c:v>
                </c:pt>
                <c:pt idx="83">
                  <c:v>43011.2796897122</c:v>
                </c:pt>
                <c:pt idx="84">
                  <c:v>39870.449525636</c:v>
                </c:pt>
                <c:pt idx="85">
                  <c:v>36907.1517625873</c:v>
                </c:pt>
                <c:pt idx="86">
                  <c:v>33937.8190672545</c:v>
                </c:pt>
                <c:pt idx="87">
                  <c:v>30926.2582338949</c:v>
                </c:pt>
                <c:pt idx="88">
                  <c:v>27852.7672115957</c:v>
                </c:pt>
                <c:pt idx="89">
                  <c:v>24844.5945065763</c:v>
                </c:pt>
                <c:pt idx="90">
                  <c:v>21789.0711759734</c:v>
                </c:pt>
                <c:pt idx="91">
                  <c:v>18866.3658517706</c:v>
                </c:pt>
                <c:pt idx="92">
                  <c:v>16190.0083644199</c:v>
                </c:pt>
                <c:pt idx="93">
                  <c:v>13762.8580152949</c:v>
                </c:pt>
                <c:pt idx="94">
                  <c:v>11353.9767179994</c:v>
                </c:pt>
                <c:pt idx="95">
                  <c:v>9422.17185734819</c:v>
                </c:pt>
                <c:pt idx="96">
                  <c:v>7751.14960412526</c:v>
                </c:pt>
                <c:pt idx="97">
                  <c:v>6382.57054146005</c:v>
                </c:pt>
                <c:pt idx="98">
                  <c:v>5243.06451365558</c:v>
                </c:pt>
                <c:pt idx="99">
                  <c:v>4334.71378328169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567664"/>
        <c:axId val="23234060"/>
      </c:lineChart>
      <c:catAx>
        <c:axId val="97567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34060"/>
        <c:crosses val="autoZero"/>
        <c:auto val="1"/>
        <c:lblAlgn val="ctr"/>
        <c:lblOffset val="100"/>
        <c:noMultiLvlLbl val="0"/>
      </c:catAx>
      <c:valAx>
        <c:axId val="232340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676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qx: probabilidad de morir (escala logarítmica)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graficos'!E4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graficos'!$E$5:$E$104</c:f>
              <c:numCache>
                <c:formatCode>0.000000</c:formatCode>
                <c:ptCount val="100"/>
                <c:pt idx="0">
                  <c:v>0.0136451701350009</c:v>
                </c:pt>
                <c:pt idx="1">
                  <c:v>0.00116642464033302</c:v>
                </c:pt>
                <c:pt idx="2">
                  <c:v>0.000594709003836512</c:v>
                </c:pt>
                <c:pt idx="3">
                  <c:v>0.000397074037422805</c:v>
                </c:pt>
                <c:pt idx="4">
                  <c:v>0.000308318402537597</c:v>
                </c:pt>
                <c:pt idx="5">
                  <c:v>0.00026142487251237</c:v>
                </c:pt>
                <c:pt idx="6">
                  <c:v>0.000248694653977647</c:v>
                </c:pt>
                <c:pt idx="7">
                  <c:v>0.000231762099680989</c:v>
                </c:pt>
                <c:pt idx="8">
                  <c:v>0.000229746195121359</c:v>
                </c:pt>
                <c:pt idx="9">
                  <c:v>0.000271522171934557</c:v>
                </c:pt>
                <c:pt idx="10">
                  <c:v>0.000265607728147938</c:v>
                </c:pt>
                <c:pt idx="11">
                  <c:v>0.000294272387776476</c:v>
                </c:pt>
                <c:pt idx="12">
                  <c:v>0.000338556026435477</c:v>
                </c:pt>
                <c:pt idx="13">
                  <c:v>0.000425390858345421</c:v>
                </c:pt>
                <c:pt idx="14">
                  <c:v>0.000562534571337266</c:v>
                </c:pt>
                <c:pt idx="15">
                  <c:v>0.000740795181757582</c:v>
                </c:pt>
                <c:pt idx="16">
                  <c:v>0.000955614288936365</c:v>
                </c:pt>
                <c:pt idx="17">
                  <c:v>0.00120293206612946</c:v>
                </c:pt>
                <c:pt idx="18">
                  <c:v>0.00144810147402952</c:v>
                </c:pt>
                <c:pt idx="19">
                  <c:v>0.00170122072642691</c:v>
                </c:pt>
                <c:pt idx="20">
                  <c:v>0.00191730088938739</c:v>
                </c:pt>
                <c:pt idx="21">
                  <c:v>0.00215490074892031</c:v>
                </c:pt>
                <c:pt idx="22">
                  <c:v>0.00230098406547755</c:v>
                </c:pt>
                <c:pt idx="23">
                  <c:v>0.00248186309811934</c:v>
                </c:pt>
                <c:pt idx="24">
                  <c:v>0.00258131808692586</c:v>
                </c:pt>
                <c:pt idx="25">
                  <c:v>0.00274599594267378</c:v>
                </c:pt>
                <c:pt idx="26">
                  <c:v>0.00280875333358597</c:v>
                </c:pt>
                <c:pt idx="27">
                  <c:v>0.00293248806757778</c:v>
                </c:pt>
                <c:pt idx="28">
                  <c:v>0.00291085614370532</c:v>
                </c:pt>
                <c:pt idx="29">
                  <c:v>0.00305353505691056</c:v>
                </c:pt>
                <c:pt idx="30">
                  <c:v>0.00303319357098512</c:v>
                </c:pt>
                <c:pt idx="31">
                  <c:v>0.00312573643620411</c:v>
                </c:pt>
                <c:pt idx="32">
                  <c:v>0.00316534892685622</c:v>
                </c:pt>
                <c:pt idx="33">
                  <c:v>0.00333149983555474</c:v>
                </c:pt>
                <c:pt idx="34">
                  <c:v>0.00325247830791616</c:v>
                </c:pt>
                <c:pt idx="35">
                  <c:v>0.00347171016367551</c:v>
                </c:pt>
                <c:pt idx="36">
                  <c:v>0.00345116924743446</c:v>
                </c:pt>
                <c:pt idx="37">
                  <c:v>0.00355776923818056</c:v>
                </c:pt>
                <c:pt idx="38">
                  <c:v>0.0035547884661962</c:v>
                </c:pt>
                <c:pt idx="39">
                  <c:v>0.00388459748728604</c:v>
                </c:pt>
                <c:pt idx="40">
                  <c:v>0.003831842577918</c:v>
                </c:pt>
                <c:pt idx="41">
                  <c:v>0.00415184089084255</c:v>
                </c:pt>
                <c:pt idx="42">
                  <c:v>0.00442813752571784</c:v>
                </c:pt>
                <c:pt idx="43">
                  <c:v>0.00476844124577124</c:v>
                </c:pt>
                <c:pt idx="44">
                  <c:v>0.00489093297958651</c:v>
                </c:pt>
                <c:pt idx="45">
                  <c:v>0.00537927374506102</c:v>
                </c:pt>
                <c:pt idx="46">
                  <c:v>0.00554822583494178</c:v>
                </c:pt>
                <c:pt idx="47">
                  <c:v>0.00567539499334933</c:v>
                </c:pt>
                <c:pt idx="48">
                  <c:v>0.0059014622371664</c:v>
                </c:pt>
                <c:pt idx="49">
                  <c:v>0.00634492673327474</c:v>
                </c:pt>
                <c:pt idx="50">
                  <c:v>0.00650694898464634</c:v>
                </c:pt>
                <c:pt idx="51">
                  <c:v>0.00699351181057803</c:v>
                </c:pt>
                <c:pt idx="52">
                  <c:v>0.00748420763702568</c:v>
                </c:pt>
                <c:pt idx="53">
                  <c:v>0.00836048263777522</c:v>
                </c:pt>
                <c:pt idx="54">
                  <c:v>0.00848582474456672</c:v>
                </c:pt>
                <c:pt idx="55">
                  <c:v>0.00952733911046093</c:v>
                </c:pt>
                <c:pt idx="56">
                  <c:v>0.0102328962040611</c:v>
                </c:pt>
                <c:pt idx="57">
                  <c:v>0.0110688441068599</c:v>
                </c:pt>
                <c:pt idx="58">
                  <c:v>0.0114404908079982</c:v>
                </c:pt>
                <c:pt idx="59">
                  <c:v>0.0128986520319784</c:v>
                </c:pt>
                <c:pt idx="60">
                  <c:v>0.0133448845343011</c:v>
                </c:pt>
                <c:pt idx="61">
                  <c:v>0.0141976292846086</c:v>
                </c:pt>
                <c:pt idx="62">
                  <c:v>0.015069781878746</c:v>
                </c:pt>
                <c:pt idx="63">
                  <c:v>0.01647738634606</c:v>
                </c:pt>
                <c:pt idx="64">
                  <c:v>0.0169788637669497</c:v>
                </c:pt>
                <c:pt idx="65">
                  <c:v>0.0182356099038348</c:v>
                </c:pt>
                <c:pt idx="66">
                  <c:v>0.01919679613407</c:v>
                </c:pt>
                <c:pt idx="67">
                  <c:v>0.020689950299846</c:v>
                </c:pt>
                <c:pt idx="68">
                  <c:v>0.0225359871776208</c:v>
                </c:pt>
                <c:pt idx="69">
                  <c:v>0.0247285249591644</c:v>
                </c:pt>
                <c:pt idx="70">
                  <c:v>0.0260755506901203</c:v>
                </c:pt>
                <c:pt idx="71">
                  <c:v>0.0288954438977257</c:v>
                </c:pt>
                <c:pt idx="72">
                  <c:v>0.0305344142511128</c:v>
                </c:pt>
                <c:pt idx="73">
                  <c:v>0.0337764097717009</c:v>
                </c:pt>
                <c:pt idx="74">
                  <c:v>0.0344640050500752</c:v>
                </c:pt>
                <c:pt idx="75">
                  <c:v>0.0388082019832139</c:v>
                </c:pt>
                <c:pt idx="76">
                  <c:v>0.0411944883810639</c:v>
                </c:pt>
                <c:pt idx="77">
                  <c:v>0.0451969170643769</c:v>
                </c:pt>
                <c:pt idx="78">
                  <c:v>0.0489628284328364</c:v>
                </c:pt>
                <c:pt idx="79">
                  <c:v>0.0551604161853976</c:v>
                </c:pt>
                <c:pt idx="80">
                  <c:v>0.0588813939438355</c:v>
                </c:pt>
                <c:pt idx="81">
                  <c:v>0.0665243550835337</c:v>
                </c:pt>
                <c:pt idx="82">
                  <c:v>0.0709119698977418</c:v>
                </c:pt>
                <c:pt idx="83">
                  <c:v>0.0802262109943116</c:v>
                </c:pt>
                <c:pt idx="84">
                  <c:v>0.0812632293110557</c:v>
                </c:pt>
                <c:pt idx="85">
                  <c:v>0.0875256791677976</c:v>
                </c:pt>
                <c:pt idx="86">
                  <c:v>0.0952172673296204</c:v>
                </c:pt>
                <c:pt idx="87">
                  <c:v>0.105264470205478</c:v>
                </c:pt>
                <c:pt idx="88">
                  <c:v>0.113654016272105</c:v>
                </c:pt>
                <c:pt idx="89">
                  <c:v>0.128462978371183</c:v>
                </c:pt>
                <c:pt idx="90">
                  <c:v>0.139254273812996</c:v>
                </c:pt>
                <c:pt idx="91">
                  <c:v>0.147113171016046</c:v>
                </c:pt>
                <c:pt idx="92">
                  <c:v>0.154752010586298</c:v>
                </c:pt>
                <c:pt idx="93">
                  <c:v>0.181390812402976</c:v>
                </c:pt>
                <c:pt idx="94">
                  <c:v>0.175256251168713</c:v>
                </c:pt>
                <c:pt idx="95">
                  <c:v>0.181584130618728</c:v>
                </c:pt>
                <c:pt idx="96">
                  <c:v>0.181198294994991</c:v>
                </c:pt>
                <c:pt idx="97">
                  <c:v>0.182759942360859</c:v>
                </c:pt>
                <c:pt idx="98">
                  <c:v>0.171987813654392</c:v>
                </c:pt>
                <c:pt idx="99">
                  <c:v>0.191959475141091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graficos'!F4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graficos'!$F$5:$F$104</c:f>
              <c:numCache>
                <c:formatCode>0.000000</c:formatCode>
                <c:ptCount val="100"/>
                <c:pt idx="0">
                  <c:v>0.0110411425046369</c:v>
                </c:pt>
                <c:pt idx="1">
                  <c:v>0.00107306549258667</c:v>
                </c:pt>
                <c:pt idx="2">
                  <c:v>0.000495836550581336</c:v>
                </c:pt>
                <c:pt idx="3">
                  <c:v>0.000325827063979955</c:v>
                </c:pt>
                <c:pt idx="4">
                  <c:v>0.000275102168030036</c:v>
                </c:pt>
                <c:pt idx="5">
                  <c:v>0.000245463388874404</c:v>
                </c:pt>
                <c:pt idx="6">
                  <c:v>0.000205474540011107</c:v>
                </c:pt>
                <c:pt idx="7">
                  <c:v>0.000226819591431342</c:v>
                </c:pt>
                <c:pt idx="8">
                  <c:v>0.000171113905335754</c:v>
                </c:pt>
                <c:pt idx="9">
                  <c:v>0.000216861264359608</c:v>
                </c:pt>
                <c:pt idx="10">
                  <c:v>0.000202235775290499</c:v>
                </c:pt>
                <c:pt idx="11">
                  <c:v>0.000222965275334081</c:v>
                </c:pt>
                <c:pt idx="12">
                  <c:v>0.000238681263368131</c:v>
                </c:pt>
                <c:pt idx="13">
                  <c:v>0.000273443853121673</c:v>
                </c:pt>
                <c:pt idx="14">
                  <c:v>0.000326605158153897</c:v>
                </c:pt>
                <c:pt idx="15">
                  <c:v>0.000372732184850099</c:v>
                </c:pt>
                <c:pt idx="16">
                  <c:v>0.00041244251271385</c:v>
                </c:pt>
                <c:pt idx="17">
                  <c:v>0.000470066264864047</c:v>
                </c:pt>
                <c:pt idx="18">
                  <c:v>0.000500126786853741</c:v>
                </c:pt>
                <c:pt idx="19">
                  <c:v>0.000531122286150868</c:v>
                </c:pt>
                <c:pt idx="20">
                  <c:v>0.000550242090694731</c:v>
                </c:pt>
                <c:pt idx="21">
                  <c:v>0.000588209752044424</c:v>
                </c:pt>
                <c:pt idx="22">
                  <c:v>0.000607412541298637</c:v>
                </c:pt>
                <c:pt idx="23">
                  <c:v>0.000635477430740671</c:v>
                </c:pt>
                <c:pt idx="24">
                  <c:v>0.000648123946534627</c:v>
                </c:pt>
                <c:pt idx="25">
                  <c:v>0.000694974834484513</c:v>
                </c:pt>
                <c:pt idx="26">
                  <c:v>0.000717475833834112</c:v>
                </c:pt>
                <c:pt idx="27">
                  <c:v>0.00073718574764411</c:v>
                </c:pt>
                <c:pt idx="28">
                  <c:v>0.00074866833661789</c:v>
                </c:pt>
                <c:pt idx="29">
                  <c:v>0.000805860884290956</c:v>
                </c:pt>
                <c:pt idx="30">
                  <c:v>0.000809653762187137</c:v>
                </c:pt>
                <c:pt idx="31">
                  <c:v>0.000858225310174571</c:v>
                </c:pt>
                <c:pt idx="32">
                  <c:v>0.000898216114997984</c:v>
                </c:pt>
                <c:pt idx="33">
                  <c:v>0.000968226271620257</c:v>
                </c:pt>
                <c:pt idx="34">
                  <c:v>0.000981931112392762</c:v>
                </c:pt>
                <c:pt idx="35">
                  <c:v>0.00107774473615685</c:v>
                </c:pt>
                <c:pt idx="36">
                  <c:v>0.00111032866135041</c:v>
                </c:pt>
                <c:pt idx="37">
                  <c:v>0.00119926978773346</c:v>
                </c:pt>
                <c:pt idx="38">
                  <c:v>0.00123999794244944</c:v>
                </c:pt>
                <c:pt idx="39">
                  <c:v>0.00139642461188012</c:v>
                </c:pt>
                <c:pt idx="40">
                  <c:v>0.00144560346175557</c:v>
                </c:pt>
                <c:pt idx="41">
                  <c:v>0.001583205051921</c:v>
                </c:pt>
                <c:pt idx="42">
                  <c:v>0.00175514424679035</c:v>
                </c:pt>
                <c:pt idx="43">
                  <c:v>0.00196837523273821</c:v>
                </c:pt>
                <c:pt idx="44">
                  <c:v>0.00209502890251431</c:v>
                </c:pt>
                <c:pt idx="45">
                  <c:v>0.0023994259993959</c:v>
                </c:pt>
                <c:pt idx="46">
                  <c:v>0.00258291882382596</c:v>
                </c:pt>
                <c:pt idx="47">
                  <c:v>0.00273832406078293</c:v>
                </c:pt>
                <c:pt idx="48">
                  <c:v>0.00290662307442943</c:v>
                </c:pt>
                <c:pt idx="49">
                  <c:v>0.00321511245812439</c:v>
                </c:pt>
                <c:pt idx="50">
                  <c:v>0.00336798565821649</c:v>
                </c:pt>
                <c:pt idx="51">
                  <c:v>0.00371215948629914</c:v>
                </c:pt>
                <c:pt idx="52">
                  <c:v>0.00399753335868273</c:v>
                </c:pt>
                <c:pt idx="53">
                  <c:v>0.00458016457035933</c:v>
                </c:pt>
                <c:pt idx="54">
                  <c:v>0.0047533906414439</c:v>
                </c:pt>
                <c:pt idx="55">
                  <c:v>0.00538729634927302</c:v>
                </c:pt>
                <c:pt idx="56">
                  <c:v>0.00590009135232427</c:v>
                </c:pt>
                <c:pt idx="57">
                  <c:v>0.00661506110589564</c:v>
                </c:pt>
                <c:pt idx="58">
                  <c:v>0.0069363143562482</c:v>
                </c:pt>
                <c:pt idx="59">
                  <c:v>0.00790144606563768</c:v>
                </c:pt>
                <c:pt idx="60">
                  <c:v>0.00836789812338597</c:v>
                </c:pt>
                <c:pt idx="61">
                  <c:v>0.00908325472241293</c:v>
                </c:pt>
                <c:pt idx="62">
                  <c:v>0.00968004320217864</c:v>
                </c:pt>
                <c:pt idx="63">
                  <c:v>0.0107896353451203</c:v>
                </c:pt>
                <c:pt idx="64">
                  <c:v>0.0113581446799003</c:v>
                </c:pt>
                <c:pt idx="65">
                  <c:v>0.0124258539717927</c:v>
                </c:pt>
                <c:pt idx="66">
                  <c:v>0.0132454785620913</c:v>
                </c:pt>
                <c:pt idx="67">
                  <c:v>0.0146419647416449</c:v>
                </c:pt>
                <c:pt idx="68">
                  <c:v>0.0159592074702665</c:v>
                </c:pt>
                <c:pt idx="69">
                  <c:v>0.0176860545684273</c:v>
                </c:pt>
                <c:pt idx="70">
                  <c:v>0.0186826147068789</c:v>
                </c:pt>
                <c:pt idx="71">
                  <c:v>0.0208767101899906</c:v>
                </c:pt>
                <c:pt idx="72">
                  <c:v>0.0221291039399388</c:v>
                </c:pt>
                <c:pt idx="73">
                  <c:v>0.0249865116223841</c:v>
                </c:pt>
                <c:pt idx="74">
                  <c:v>0.0256824668778864</c:v>
                </c:pt>
                <c:pt idx="75">
                  <c:v>0.0291548944783257</c:v>
                </c:pt>
                <c:pt idx="76">
                  <c:v>0.0317335171076379</c:v>
                </c:pt>
                <c:pt idx="77">
                  <c:v>0.0356284906233976</c:v>
                </c:pt>
                <c:pt idx="78">
                  <c:v>0.038709948290744</c:v>
                </c:pt>
                <c:pt idx="79">
                  <c:v>0.0446018654907551</c:v>
                </c:pt>
                <c:pt idx="80">
                  <c:v>0.0483567965599985</c:v>
                </c:pt>
                <c:pt idx="81">
                  <c:v>0.0546298418729502</c:v>
                </c:pt>
                <c:pt idx="82">
                  <c:v>0.0581882082166801</c:v>
                </c:pt>
                <c:pt idx="83">
                  <c:v>0.0671264072300001</c:v>
                </c:pt>
                <c:pt idx="84">
                  <c:v>0.0687319974044274</c:v>
                </c:pt>
                <c:pt idx="85">
                  <c:v>0.0748275158455537</c:v>
                </c:pt>
                <c:pt idx="86">
                  <c:v>0.0835879436695441</c:v>
                </c:pt>
                <c:pt idx="87">
                  <c:v>0.0947177423800112</c:v>
                </c:pt>
                <c:pt idx="88">
                  <c:v>0.10357782114734</c:v>
                </c:pt>
                <c:pt idx="89">
                  <c:v>0.118723276474155</c:v>
                </c:pt>
                <c:pt idx="90">
                  <c:v>0.130183387691084</c:v>
                </c:pt>
                <c:pt idx="91">
                  <c:v>0.1378815234074</c:v>
                </c:pt>
                <c:pt idx="92">
                  <c:v>0.146297449217879</c:v>
                </c:pt>
                <c:pt idx="93">
                  <c:v>0.170425455594858</c:v>
                </c:pt>
                <c:pt idx="94">
                  <c:v>0.166403851517961</c:v>
                </c:pt>
                <c:pt idx="95">
                  <c:v>0.174205045264211</c:v>
                </c:pt>
                <c:pt idx="96">
                  <c:v>0.173203904506611</c:v>
                </c:pt>
                <c:pt idx="97">
                  <c:v>0.175404455254156</c:v>
                </c:pt>
                <c:pt idx="98">
                  <c:v>0.173488096489256</c:v>
                </c:pt>
                <c:pt idx="99">
                  <c:v>0.179187912329517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graficos'!G4</c:f>
              <c:strCache>
                <c:ptCount val="1"/>
                <c:pt idx="0">
                  <c:v>Ambos sexos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graficos'!$G$5:$G$104</c:f>
              <c:numCache>
                <c:formatCode>0.000000</c:formatCode>
                <c:ptCount val="100"/>
                <c:pt idx="0">
                  <c:v>0.012423606379248</c:v>
                </c:pt>
                <c:pt idx="1">
                  <c:v>0.00112119467317172</c:v>
                </c:pt>
                <c:pt idx="2">
                  <c:v>0.000546639312836013</c:v>
                </c:pt>
                <c:pt idx="3">
                  <c:v>0.000361887738247588</c:v>
                </c:pt>
                <c:pt idx="4">
                  <c:v>0.000292131421701076</c:v>
                </c:pt>
                <c:pt idx="5">
                  <c:v>0.000253766920133824</c:v>
                </c:pt>
                <c:pt idx="6">
                  <c:v>0.000227424637389945</c:v>
                </c:pt>
                <c:pt idx="7">
                  <c:v>0.000229520748597036</c:v>
                </c:pt>
                <c:pt idx="8">
                  <c:v>0.000201117280336122</c:v>
                </c:pt>
                <c:pt idx="9">
                  <c:v>0.000244502107201248</c:v>
                </c:pt>
                <c:pt idx="10">
                  <c:v>0.00023455249519469</c:v>
                </c:pt>
                <c:pt idx="11">
                  <c:v>0.000259257624761094</c:v>
                </c:pt>
                <c:pt idx="12">
                  <c:v>0.000289462720031504</c:v>
                </c:pt>
                <c:pt idx="13">
                  <c:v>0.000350520857123599</c:v>
                </c:pt>
                <c:pt idx="14">
                  <c:v>0.000446097515377046</c:v>
                </c:pt>
                <c:pt idx="15">
                  <c:v>0.000558882982893938</c:v>
                </c:pt>
                <c:pt idx="16">
                  <c:v>0.000687332180307395</c:v>
                </c:pt>
                <c:pt idx="17">
                  <c:v>0.000840082199840163</c:v>
                </c:pt>
                <c:pt idx="18">
                  <c:v>0.000976742647406302</c:v>
                </c:pt>
                <c:pt idx="19">
                  <c:v>0.00111800778499004</c:v>
                </c:pt>
                <c:pt idx="20">
                  <c:v>0.00123340812916362</c:v>
                </c:pt>
                <c:pt idx="21">
                  <c:v>0.0013665091794352</c:v>
                </c:pt>
                <c:pt idx="22">
                  <c:v>0.00144596607026434</c:v>
                </c:pt>
                <c:pt idx="23">
                  <c:v>0.0015462703157002</c:v>
                </c:pt>
                <c:pt idx="24">
                  <c:v>0.00159575716142076</c:v>
                </c:pt>
                <c:pt idx="25">
                  <c:v>0.00169613797195842</c:v>
                </c:pt>
                <c:pt idx="26">
                  <c:v>0.0017366626628428</c:v>
                </c:pt>
                <c:pt idx="27">
                  <c:v>0.0018041345276326</c:v>
                </c:pt>
                <c:pt idx="28">
                  <c:v>0.00179808260494662</c:v>
                </c:pt>
                <c:pt idx="29">
                  <c:v>0.0018948607212704</c:v>
                </c:pt>
                <c:pt idx="30">
                  <c:v>0.00188333854688405</c:v>
                </c:pt>
                <c:pt idx="31">
                  <c:v>0.00194757699128177</c:v>
                </c:pt>
                <c:pt idx="32">
                  <c:v>0.00198688912319311</c:v>
                </c:pt>
                <c:pt idx="33">
                  <c:v>0.00210124884763712</c:v>
                </c:pt>
                <c:pt idx="34">
                  <c:v>0.00207029165043894</c:v>
                </c:pt>
                <c:pt idx="35">
                  <c:v>0.00222493651628972</c:v>
                </c:pt>
                <c:pt idx="36">
                  <c:v>0.00223567488305793</c:v>
                </c:pt>
                <c:pt idx="37">
                  <c:v>0.00233128038812478</c:v>
                </c:pt>
                <c:pt idx="38">
                  <c:v>0.00235022293880435</c:v>
                </c:pt>
                <c:pt idx="39">
                  <c:v>0.00258994760185563</c:v>
                </c:pt>
                <c:pt idx="40">
                  <c:v>0.00259156906285866</c:v>
                </c:pt>
                <c:pt idx="41">
                  <c:v>0.0028113712979607</c:v>
                </c:pt>
                <c:pt idx="42">
                  <c:v>0.00303226066448639</c:v>
                </c:pt>
                <c:pt idx="43">
                  <c:v>0.00330914338949011</c:v>
                </c:pt>
                <c:pt idx="44">
                  <c:v>0.00343418085080008</c:v>
                </c:pt>
                <c:pt idx="45">
                  <c:v>0.00382590175095083</c:v>
                </c:pt>
                <c:pt idx="46">
                  <c:v>0.00400556596827881</c:v>
                </c:pt>
                <c:pt idx="47">
                  <c:v>0.00414922107536996</c:v>
                </c:pt>
                <c:pt idx="48">
                  <c:v>0.00433995795455797</c:v>
                </c:pt>
                <c:pt idx="49">
                  <c:v>0.00471193694323006</c:v>
                </c:pt>
                <c:pt idx="50">
                  <c:v>0.00486692550221601</c:v>
                </c:pt>
                <c:pt idx="51">
                  <c:v>0.00527511142903945</c:v>
                </c:pt>
                <c:pt idx="52">
                  <c:v>0.00565054602060502</c:v>
                </c:pt>
                <c:pt idx="53">
                  <c:v>0.00636775330288002</c:v>
                </c:pt>
                <c:pt idx="54">
                  <c:v>0.00652283603975463</c:v>
                </c:pt>
                <c:pt idx="55">
                  <c:v>0.00734429262029827</c:v>
                </c:pt>
                <c:pt idx="56">
                  <c:v>0.00794692589566734</c:v>
                </c:pt>
                <c:pt idx="57">
                  <c:v>0.00872588941592833</c:v>
                </c:pt>
                <c:pt idx="58">
                  <c:v>0.00906944729085572</c:v>
                </c:pt>
                <c:pt idx="59">
                  <c:v>0.0102563032757296</c:v>
                </c:pt>
                <c:pt idx="60">
                  <c:v>0.0107129126038746</c:v>
                </c:pt>
                <c:pt idx="61">
                  <c:v>0.0114918913772032</c:v>
                </c:pt>
                <c:pt idx="62">
                  <c:v>0.0122134802476577</c:v>
                </c:pt>
                <c:pt idx="63">
                  <c:v>0.0134621215925646</c:v>
                </c:pt>
                <c:pt idx="64">
                  <c:v>0.0140001581016754</c:v>
                </c:pt>
                <c:pt idx="65">
                  <c:v>0.0151621104940929</c:v>
                </c:pt>
                <c:pt idx="66">
                  <c:v>0.0160431847178447</c:v>
                </c:pt>
                <c:pt idx="67">
                  <c:v>0.0174887643381229</c:v>
                </c:pt>
                <c:pt idx="68">
                  <c:v>0.0190461586531959</c:v>
                </c:pt>
                <c:pt idx="69">
                  <c:v>0.0209979372453241</c:v>
                </c:pt>
                <c:pt idx="70">
                  <c:v>0.0221518255466221</c:v>
                </c:pt>
                <c:pt idx="71">
                  <c:v>0.024645505005217</c:v>
                </c:pt>
                <c:pt idx="72">
                  <c:v>0.0260704037533739</c:v>
                </c:pt>
                <c:pt idx="73">
                  <c:v>0.0291171569799918</c:v>
                </c:pt>
                <c:pt idx="74">
                  <c:v>0.0298028445267967</c:v>
                </c:pt>
                <c:pt idx="75">
                  <c:v>0.033678269571789</c:v>
                </c:pt>
                <c:pt idx="76">
                  <c:v>0.0361794088747008</c:v>
                </c:pt>
                <c:pt idx="77">
                  <c:v>0.0401424200250326</c:v>
                </c:pt>
                <c:pt idx="78">
                  <c:v>0.0435080622514439</c:v>
                </c:pt>
                <c:pt idx="79">
                  <c:v>0.0495396976620443</c:v>
                </c:pt>
                <c:pt idx="80">
                  <c:v>0.0532442607802998</c:v>
                </c:pt>
                <c:pt idx="81">
                  <c:v>0.0600742681325097</c:v>
                </c:pt>
                <c:pt idx="82">
                  <c:v>0.0639390775987579</c:v>
                </c:pt>
                <c:pt idx="83">
                  <c:v>0.073023406574614</c:v>
                </c:pt>
                <c:pt idx="84">
                  <c:v>0.074323159089123</c:v>
                </c:pt>
                <c:pt idx="85">
                  <c:v>0.0804541275477878</c:v>
                </c:pt>
                <c:pt idx="86">
                  <c:v>0.0887376064853089</c:v>
                </c:pt>
                <c:pt idx="87">
                  <c:v>0.0993812765532262</c:v>
                </c:pt>
                <c:pt idx="88">
                  <c:v>0.108002651304501</c:v>
                </c:pt>
                <c:pt idx="89">
                  <c:v>0.122985437729487</c:v>
                </c:pt>
                <c:pt idx="90">
                  <c:v>0.134136297072892</c:v>
                </c:pt>
                <c:pt idx="91">
                  <c:v>0.141858665753561</c:v>
                </c:pt>
                <c:pt idx="92">
                  <c:v>0.149916559305741</c:v>
                </c:pt>
                <c:pt idx="93">
                  <c:v>0.175027693711468</c:v>
                </c:pt>
                <c:pt idx="94">
                  <c:v>0.170143457982326</c:v>
                </c:pt>
                <c:pt idx="95">
                  <c:v>0.177350007888015</c:v>
                </c:pt>
                <c:pt idx="96">
                  <c:v>0.17656465589786</c:v>
                </c:pt>
                <c:pt idx="97">
                  <c:v>0.17853402800681</c:v>
                </c:pt>
                <c:pt idx="98">
                  <c:v>0.173248055218107</c:v>
                </c:pt>
                <c:pt idx="99">
                  <c:v>0.184348360686721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498625"/>
        <c:axId val="99232553"/>
      </c:lineChart>
      <c:catAx>
        <c:axId val="784986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32553"/>
        <c:crosses val="autoZero"/>
        <c:auto val="1"/>
        <c:lblAlgn val="ctr"/>
        <c:lblOffset val="100"/>
        <c:noMultiLvlLbl val="0"/>
      </c:catAx>
      <c:valAx>
        <c:axId val="992325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qx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986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dx: defunciones de la tabla por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graficos'!H4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graficos'!$H$5:$H$104</c:f>
              <c:numCache>
                <c:formatCode>#,##0</c:formatCode>
                <c:ptCount val="100"/>
                <c:pt idx="0">
                  <c:v>1364.51701350009</c:v>
                </c:pt>
                <c:pt idx="1">
                  <c:v>115.050857766602</c:v>
                </c:pt>
                <c:pt idx="2">
                  <c:v>58.5909880488217</c:v>
                </c:pt>
                <c:pt idx="3">
                  <c:v>39.0966407938144</c:v>
                </c:pt>
                <c:pt idx="4">
                  <c:v>30.3455433575724</c:v>
                </c:pt>
                <c:pt idx="5">
                  <c:v>25.7222203533979</c:v>
                </c:pt>
                <c:pt idx="6">
                  <c:v>24.4632666338353</c:v>
                </c:pt>
                <c:pt idx="7">
                  <c:v>22.791997880978</c:v>
                </c:pt>
                <c:pt idx="8">
                  <c:v>22.5885129896483</c:v>
                </c:pt>
                <c:pt idx="9">
                  <c:v>26.6897695792278</c:v>
                </c:pt>
                <c:pt idx="10">
                  <c:v>26.1013094772284</c:v>
                </c:pt>
                <c:pt idx="11">
                  <c:v>28.9105087887275</c:v>
                </c:pt>
                <c:pt idx="12">
                  <c:v>33.2513246127466</c:v>
                </c:pt>
                <c:pt idx="13">
                  <c:v>41.7656742268275</c:v>
                </c:pt>
                <c:pt idx="14">
                  <c:v>55.207207169238</c:v>
                </c:pt>
                <c:pt idx="15">
                  <c:v>72.6608266308393</c:v>
                </c:pt>
                <c:pt idx="16">
                  <c:v>93.6619030915257</c:v>
                </c:pt>
                <c:pt idx="17">
                  <c:v>117.789405086986</c:v>
                </c:pt>
                <c:pt idx="18">
                  <c:v>141.625475444219</c:v>
                </c:pt>
                <c:pt idx="19">
                  <c:v>166.139803371871</c:v>
                </c:pt>
                <c:pt idx="20">
                  <c:v>186.923472651039</c:v>
                </c:pt>
                <c:pt idx="21">
                  <c:v>209.685001294155</c:v>
                </c:pt>
                <c:pt idx="22">
                  <c:v>223.417318173849</c:v>
                </c:pt>
                <c:pt idx="23">
                  <c:v>240.425533730002</c:v>
                </c:pt>
                <c:pt idx="24">
                  <c:v>249.439422475629</c:v>
                </c:pt>
                <c:pt idx="25">
                  <c:v>264.667708644047</c:v>
                </c:pt>
                <c:pt idx="26">
                  <c:v>269.973076666848</c:v>
                </c:pt>
                <c:pt idx="27">
                  <c:v>281.074577318245</c:v>
                </c:pt>
                <c:pt idx="28">
                  <c:v>278.183022241287</c:v>
                </c:pt>
                <c:pt idx="29">
                  <c:v>290.96903677345</c:v>
                </c:pt>
                <c:pt idx="30">
                  <c:v>288.148146614877</c:v>
                </c:pt>
                <c:pt idx="31">
                  <c:v>296.038883696957</c:v>
                </c:pt>
                <c:pt idx="32">
                  <c:v>298.853521213353</c:v>
                </c:pt>
                <c:pt idx="33">
                  <c:v>313.544876698649</c:v>
                </c:pt>
                <c:pt idx="34">
                  <c:v>305.087949458603</c:v>
                </c:pt>
                <c:pt idx="35">
                  <c:v>324.593090252332</c:v>
                </c:pt>
                <c:pt idx="36">
                  <c:v>321.552358768801</c:v>
                </c:pt>
                <c:pt idx="37">
                  <c:v>330.340484561182</c:v>
                </c:pt>
                <c:pt idx="38">
                  <c:v>328.88942798844</c:v>
                </c:pt>
                <c:pt idx="39">
                  <c:v>358.12579260176</c:v>
                </c:pt>
                <c:pt idx="40">
                  <c:v>351.889971335861</c:v>
                </c:pt>
                <c:pt idx="41">
                  <c:v>379.815416290226</c:v>
                </c:pt>
                <c:pt idx="42">
                  <c:v>403.409491062497</c:v>
                </c:pt>
                <c:pt idx="43">
                  <c:v>432.487999090913</c:v>
                </c:pt>
                <c:pt idx="44">
                  <c:v>441.482482362518</c:v>
                </c:pt>
                <c:pt idx="45">
                  <c:v>483.187947755931</c:v>
                </c:pt>
                <c:pt idx="46">
                  <c:v>495.683066397428</c:v>
                </c:pt>
                <c:pt idx="47">
                  <c:v>504.231266570749</c:v>
                </c:pt>
                <c:pt idx="48">
                  <c:v>521.340540871238</c:v>
                </c:pt>
                <c:pt idx="49">
                  <c:v>557.208730212919</c:v>
                </c:pt>
                <c:pt idx="50">
                  <c:v>567.811725694042</c:v>
                </c:pt>
                <c:pt idx="51">
                  <c:v>606.299348230149</c:v>
                </c:pt>
                <c:pt idx="52">
                  <c:v>644.3023310992</c:v>
                </c:pt>
                <c:pt idx="53">
                  <c:v>714.352633159209</c:v>
                </c:pt>
                <c:pt idx="54">
                  <c:v>719.000486204421</c:v>
                </c:pt>
                <c:pt idx="55">
                  <c:v>800.397414222508</c:v>
                </c:pt>
                <c:pt idx="56">
                  <c:v>851.481300822004</c:v>
                </c:pt>
                <c:pt idx="57">
                  <c:v>911.615776047177</c:v>
                </c:pt>
                <c:pt idx="58">
                  <c:v>931.794788842713</c:v>
                </c:pt>
                <c:pt idx="59">
                  <c:v>1038.53889384151</c:v>
                </c:pt>
                <c:pt idx="60">
                  <c:v>1060.60825794664</c:v>
                </c:pt>
                <c:pt idx="61">
                  <c:v>1113.32352958387</c:v>
                </c:pt>
                <c:pt idx="62">
                  <c:v>1164.93684174054</c:v>
                </c:pt>
                <c:pt idx="63">
                  <c:v>1254.55354131462</c:v>
                </c:pt>
                <c:pt idx="64">
                  <c:v>1271.43408377254</c:v>
                </c:pt>
                <c:pt idx="65">
                  <c:v>1342.35806017237</c:v>
                </c:pt>
                <c:pt idx="66">
                  <c:v>1387.34383964216</c:v>
                </c:pt>
                <c:pt idx="67">
                  <c:v>1466.54934587182</c:v>
                </c:pt>
                <c:pt idx="68">
                  <c:v>1564.35037724425</c:v>
                </c:pt>
                <c:pt idx="69">
                  <c:v>1677.86275255812</c:v>
                </c:pt>
                <c:pt idx="70">
                  <c:v>1725.50901446771</c:v>
                </c:pt>
                <c:pt idx="71">
                  <c:v>1862.25171308705</c:v>
                </c:pt>
                <c:pt idx="72">
                  <c:v>1911.01720394471</c:v>
                </c:pt>
                <c:pt idx="73">
                  <c:v>2049.37241122983</c:v>
                </c:pt>
                <c:pt idx="74">
                  <c:v>2020.4624445619</c:v>
                </c:pt>
                <c:pt idx="75">
                  <c:v>2196.73175434036</c:v>
                </c:pt>
                <c:pt idx="76">
                  <c:v>2241.31385431685</c:v>
                </c:pt>
                <c:pt idx="77">
                  <c:v>2357.77791904439</c:v>
                </c:pt>
                <c:pt idx="78">
                  <c:v>2438.78993732195</c:v>
                </c:pt>
                <c:pt idx="79">
                  <c:v>2612.96097040274</c:v>
                </c:pt>
                <c:pt idx="80">
                  <c:v>2635.36971580789</c:v>
                </c:pt>
                <c:pt idx="81">
                  <c:v>2802.13142551166</c:v>
                </c:pt>
                <c:pt idx="82">
                  <c:v>2788.24138544098</c:v>
                </c:pt>
                <c:pt idx="83">
                  <c:v>2930.78503514015</c:v>
                </c:pt>
                <c:pt idx="84">
                  <c:v>2730.50382902371</c:v>
                </c:pt>
                <c:pt idx="85">
                  <c:v>2701.93751384833</c:v>
                </c:pt>
                <c:pt idx="86">
                  <c:v>2682.10747364448</c:v>
                </c:pt>
                <c:pt idx="87">
                  <c:v>2682.78936245014</c:v>
                </c:pt>
                <c:pt idx="88">
                  <c:v>2591.69706790484</c:v>
                </c:pt>
                <c:pt idx="89">
                  <c:v>2596.45450910122</c:v>
                </c:pt>
                <c:pt idx="90">
                  <c:v>2452.99749167615</c:v>
                </c:pt>
                <c:pt idx="91">
                  <c:v>2230.56561466096</c:v>
                </c:pt>
                <c:pt idx="92">
                  <c:v>2001.20304114734</c:v>
                </c:pt>
                <c:pt idx="93">
                  <c:v>1982.687580819</c:v>
                </c:pt>
                <c:pt idx="94">
                  <c:v>1568.15552534902</c:v>
                </c:pt>
                <c:pt idx="95">
                  <c:v>1340.02388217643</c:v>
                </c:pt>
                <c:pt idx="96">
                  <c:v>1094.36651493781</c:v>
                </c:pt>
                <c:pt idx="97">
                  <c:v>903.791890316237</c:v>
                </c:pt>
                <c:pt idx="98">
                  <c:v>695.079930680045</c:v>
                </c:pt>
                <c:pt idx="99">
                  <c:v>642.367197911838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graficos'!I4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graficos'!$I$5:$I$104</c:f>
              <c:numCache>
                <c:formatCode>#,##0</c:formatCode>
                <c:ptCount val="100"/>
                <c:pt idx="0">
                  <c:v>1104.11425046369</c:v>
                </c:pt>
                <c:pt idx="1">
                  <c:v>106.121762356621</c:v>
                </c:pt>
                <c:pt idx="2">
                  <c:v>48.9835758081474</c:v>
                </c:pt>
                <c:pt idx="3">
                  <c:v>32.1724185765266</c:v>
                </c:pt>
                <c:pt idx="4">
                  <c:v>27.1549520620449</c:v>
                </c:pt>
                <c:pt idx="5">
                  <c:v>24.2226838824287</c:v>
                </c:pt>
                <c:pt idx="6">
                  <c:v>20.2715490263437</c:v>
                </c:pt>
                <c:pt idx="7">
                  <c:v>22.3727946968208</c:v>
                </c:pt>
                <c:pt idx="8">
                  <c:v>16.8743269357749</c:v>
                </c:pt>
                <c:pt idx="9">
                  <c:v>21.3820244192316</c:v>
                </c:pt>
                <c:pt idx="10">
                  <c:v>19.9356604544404</c:v>
                </c:pt>
                <c:pt idx="11">
                  <c:v>21.9746535244381</c:v>
                </c:pt>
                <c:pt idx="12">
                  <c:v>23.5183196951765</c:v>
                </c:pt>
                <c:pt idx="13">
                  <c:v>26.937200351611</c:v>
                </c:pt>
                <c:pt idx="14">
                  <c:v>32.1653705815838</c:v>
                </c:pt>
                <c:pt idx="15">
                  <c:v>36.6961539413607</c:v>
                </c:pt>
                <c:pt idx="16">
                  <c:v>40.5905720829322</c:v>
                </c:pt>
                <c:pt idx="17">
                  <c:v>46.2425392872817</c:v>
                </c:pt>
                <c:pt idx="18">
                  <c:v>49.1766013278114</c:v>
                </c:pt>
                <c:pt idx="19">
                  <c:v>52.1982163375128</c:v>
                </c:pt>
                <c:pt idx="20">
                  <c:v>54.0485717229038</c:v>
                </c:pt>
                <c:pt idx="21">
                  <c:v>57.7462252869636</c:v>
                </c:pt>
                <c:pt idx="22">
                  <c:v>59.5963419739427</c:v>
                </c:pt>
                <c:pt idx="23">
                  <c:v>62.3120592658912</c:v>
                </c:pt>
                <c:pt idx="24">
                  <c:v>63.5117337984715</c:v>
                </c:pt>
                <c:pt idx="25">
                  <c:v>68.0586627614227</c:v>
                </c:pt>
                <c:pt idx="26">
                  <c:v>70.2133479690423</c:v>
                </c:pt>
                <c:pt idx="27">
                  <c:v>72.0904318004935</c:v>
                </c:pt>
                <c:pt idx="28">
                  <c:v>73.1593585135337</c:v>
                </c:pt>
                <c:pt idx="29">
                  <c:v>78.6892189442673</c:v>
                </c:pt>
                <c:pt idx="30">
                  <c:v>78.9958678750695</c:v>
                </c:pt>
                <c:pt idx="31">
                  <c:v>83.6670745963389</c:v>
                </c:pt>
                <c:pt idx="32">
                  <c:v>87.4905659600924</c:v>
                </c:pt>
                <c:pt idx="33">
                  <c:v>94.2251809830054</c:v>
                </c:pt>
                <c:pt idx="34">
                  <c:v>95.4663766515276</c:v>
                </c:pt>
                <c:pt idx="35">
                  <c:v>104.678784807446</c:v>
                </c:pt>
                <c:pt idx="36">
                  <c:v>107.727356166102</c:v>
                </c:pt>
                <c:pt idx="37">
                  <c:v>116.227491977709</c:v>
                </c:pt>
                <c:pt idx="38">
                  <c:v>120.030548087871</c:v>
                </c:pt>
                <c:pt idx="39">
                  <c:v>135.004878042988</c:v>
                </c:pt>
                <c:pt idx="40">
                  <c:v>139.56427454332</c:v>
                </c:pt>
                <c:pt idx="41">
                  <c:v>152.627917310921</c:v>
                </c:pt>
                <c:pt idx="42">
                  <c:v>168.935726502286</c:v>
                </c:pt>
                <c:pt idx="43">
                  <c:v>189.127055735213</c:v>
                </c:pt>
                <c:pt idx="44">
                  <c:v>200.900071650516</c:v>
                </c:pt>
                <c:pt idx="45">
                  <c:v>229.607790478448</c:v>
                </c:pt>
                <c:pt idx="46">
                  <c:v>246.573674206557</c:v>
                </c:pt>
                <c:pt idx="47">
                  <c:v>260.733955471353</c:v>
                </c:pt>
                <c:pt idx="48">
                  <c:v>276.000962996328</c:v>
                </c:pt>
                <c:pt idx="49">
                  <c:v>304.406470943013</c:v>
                </c:pt>
                <c:pt idx="50">
                  <c:v>317.855250993001</c:v>
                </c:pt>
                <c:pt idx="51">
                  <c:v>349.156890596494</c:v>
                </c:pt>
                <c:pt idx="52">
                  <c:v>374.602711852592</c:v>
                </c:pt>
                <c:pt idx="53">
                  <c:v>427.484445857384</c:v>
                </c:pt>
                <c:pt idx="54">
                  <c:v>441.620303427453</c:v>
                </c:pt>
                <c:pt idx="55">
                  <c:v>498.135046715095</c:v>
                </c:pt>
                <c:pt idx="56">
                  <c:v>542.611469676219</c:v>
                </c:pt>
                <c:pt idx="57">
                  <c:v>604.775414535312</c:v>
                </c:pt>
                <c:pt idx="58">
                  <c:v>629.950762607252</c:v>
                </c:pt>
                <c:pt idx="59">
                  <c:v>712.62576402177</c:v>
                </c:pt>
                <c:pt idx="60">
                  <c:v>748.731561384048</c:v>
                </c:pt>
                <c:pt idx="61">
                  <c:v>805.938359893456</c:v>
                </c:pt>
                <c:pt idx="62">
                  <c:v>851.088646284508</c:v>
                </c:pt>
                <c:pt idx="63">
                  <c:v>939.463257682489</c:v>
                </c:pt>
                <c:pt idx="64">
                  <c:v>978.293317386837</c:v>
                </c:pt>
                <c:pt idx="65">
                  <c:v>1058.10052257092</c:v>
                </c:pt>
                <c:pt idx="66">
                  <c:v>1113.87908488589</c:v>
                </c:pt>
                <c:pt idx="67">
                  <c:v>1215.00727145851</c:v>
                </c:pt>
                <c:pt idx="68">
                  <c:v>1304.92305268269</c:v>
                </c:pt>
                <c:pt idx="69">
                  <c:v>1423.04176212625</c:v>
                </c:pt>
                <c:pt idx="70">
                  <c:v>1476.64007893286</c:v>
                </c:pt>
                <c:pt idx="71">
                  <c:v>1619.23003091468</c:v>
                </c:pt>
                <c:pt idx="72">
                  <c:v>1680.53552349458</c:v>
                </c:pt>
                <c:pt idx="73">
                  <c:v>1855.54297566942</c:v>
                </c:pt>
                <c:pt idx="74">
                  <c:v>1859.57093481354</c:v>
                </c:pt>
                <c:pt idx="75">
                  <c:v>2056.7807766947</c:v>
                </c:pt>
                <c:pt idx="76">
                  <c:v>2173.42513346102</c:v>
                </c:pt>
                <c:pt idx="77">
                  <c:v>2362.75558871624</c:v>
                </c:pt>
                <c:pt idx="78">
                  <c:v>2475.64482482382</c:v>
                </c:pt>
                <c:pt idx="79">
                  <c:v>2742.03641399516</c:v>
                </c:pt>
                <c:pt idx="80">
                  <c:v>2840.28621568584</c:v>
                </c:pt>
                <c:pt idx="81">
                  <c:v>3053.57560164271</c:v>
                </c:pt>
                <c:pt idx="82">
                  <c:v>3074.79103938977</c:v>
                </c:pt>
                <c:pt idx="83">
                  <c:v>3340.70517246394</c:v>
                </c:pt>
                <c:pt idx="84">
                  <c:v>3190.99784371551</c:v>
                </c:pt>
                <c:pt idx="85">
                  <c:v>3235.21803239947</c:v>
                </c:pt>
                <c:pt idx="86">
                  <c:v>3343.55580551882</c:v>
                </c:pt>
                <c:pt idx="87">
                  <c:v>3472.05876406717</c:v>
                </c:pt>
                <c:pt idx="88">
                  <c:v>3437.21349939824</c:v>
                </c:pt>
                <c:pt idx="89">
                  <c:v>3531.73577382613</c:v>
                </c:pt>
                <c:pt idx="90">
                  <c:v>3412.873563024</c:v>
                </c:pt>
                <c:pt idx="91">
                  <c:v>3144.11484742465</c:v>
                </c:pt>
                <c:pt idx="92">
                  <c:v>2876.04737216609</c:v>
                </c:pt>
                <c:pt idx="93">
                  <c:v>2860.22582685935</c:v>
                </c:pt>
                <c:pt idx="94">
                  <c:v>2316.77923220082</c:v>
                </c:pt>
                <c:pt idx="95">
                  <c:v>2021.79773419443</c:v>
                </c:pt>
                <c:pt idx="96">
                  <c:v>1659.9953824178</c:v>
                </c:pt>
                <c:pt idx="97">
                  <c:v>1389.91499140306</c:v>
                </c:pt>
                <c:pt idx="98">
                  <c:v>1133.59594819479</c:v>
                </c:pt>
                <c:pt idx="99">
                  <c:v>967.712665857501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graficos'!J4</c:f>
              <c:strCache>
                <c:ptCount val="1"/>
                <c:pt idx="0">
                  <c:v>Ambos sexos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graficos'!$J$5:$J$104</c:f>
              <c:numCache>
                <c:formatCode>#,##0</c:formatCode>
                <c:ptCount val="100"/>
                <c:pt idx="0">
                  <c:v>1242.3606379248</c:v>
                </c:pt>
                <c:pt idx="1">
                  <c:v>110.726539187772</c:v>
                </c:pt>
                <c:pt idx="2">
                  <c:v>53.9242806388973</c:v>
                </c:pt>
                <c:pt idx="3">
                  <c:v>35.6795936306247</c:v>
                </c:pt>
                <c:pt idx="4">
                  <c:v>28.7916867821919</c:v>
                </c:pt>
                <c:pt idx="5">
                  <c:v>25.0032783708884</c:v>
                </c:pt>
                <c:pt idx="6">
                  <c:v>22.4021259493249</c:v>
                </c:pt>
                <c:pt idx="7">
                  <c:v>22.6034585162054</c:v>
                </c:pt>
                <c:pt idx="8">
                  <c:v>19.801707435158</c:v>
                </c:pt>
                <c:pt idx="9">
                  <c:v>24.068471216253</c:v>
                </c:pt>
                <c:pt idx="10">
                  <c:v>23.0833989582653</c:v>
                </c:pt>
                <c:pt idx="11">
                  <c:v>25.5087607995444</c:v>
                </c:pt>
                <c:pt idx="12">
                  <c:v>28.4733032514426</c:v>
                </c:pt>
                <c:pt idx="13">
                  <c:v>34.4693702903567</c:v>
                </c:pt>
                <c:pt idx="14">
                  <c:v>43.8527701748151</c:v>
                </c:pt>
                <c:pt idx="15">
                  <c:v>54.9154230816812</c:v>
                </c:pt>
                <c:pt idx="16">
                  <c:v>67.4989998243872</c:v>
                </c:pt>
                <c:pt idx="17">
                  <c:v>82.4430092351818</c:v>
                </c:pt>
                <c:pt idx="18">
                  <c:v>95.7739075890738</c:v>
                </c:pt>
                <c:pt idx="19">
                  <c:v>109.518498958721</c:v>
                </c:pt>
                <c:pt idx="20">
                  <c:v>120.687876331163</c:v>
                </c:pt>
                <c:pt idx="21">
                  <c:v>133.546773322016</c:v>
                </c:pt>
                <c:pt idx="22">
                  <c:v>141.118865053847</c:v>
                </c:pt>
                <c:pt idx="23">
                  <c:v>150.689836547265</c:v>
                </c:pt>
                <c:pt idx="24">
                  <c:v>155.27205071716</c:v>
                </c:pt>
                <c:pt idx="25">
                  <c:v>164.776047668261</c:v>
                </c:pt>
                <c:pt idx="26">
                  <c:v>168.426771231019</c:v>
                </c:pt>
                <c:pt idx="27">
                  <c:v>174.666531169986</c:v>
                </c:pt>
                <c:pt idx="28">
                  <c:v>173.766551950111</c:v>
                </c:pt>
                <c:pt idx="29">
                  <c:v>182.789917570849</c:v>
                </c:pt>
                <c:pt idx="30">
                  <c:v>181.334162476485</c:v>
                </c:pt>
                <c:pt idx="31">
                  <c:v>187.166093473215</c:v>
                </c:pt>
                <c:pt idx="32">
                  <c:v>190.572190697104</c:v>
                </c:pt>
                <c:pt idx="33">
                  <c:v>201.140547980721</c:v>
                </c:pt>
                <c:pt idx="34">
                  <c:v>197.760772750954</c:v>
                </c:pt>
                <c:pt idx="35">
                  <c:v>212.092931771895</c:v>
                </c:pt>
                <c:pt idx="36">
                  <c:v>212.642399886384</c:v>
                </c:pt>
                <c:pt idx="37">
                  <c:v>221.240025232055</c:v>
                </c:pt>
                <c:pt idx="38">
                  <c:v>222.51772223059</c:v>
                </c:pt>
                <c:pt idx="39">
                  <c:v>244.638402753319</c:v>
                </c:pt>
                <c:pt idx="40">
                  <c:v>244.157563605153</c:v>
                </c:pt>
                <c:pt idx="41">
                  <c:v>264.179210109415</c:v>
                </c:pt>
                <c:pt idx="42">
                  <c:v>284.13470324558</c:v>
                </c:pt>
                <c:pt idx="43">
                  <c:v>309.139456800853</c:v>
                </c:pt>
                <c:pt idx="44">
                  <c:v>319.758788479324</c:v>
                </c:pt>
                <c:pt idx="45">
                  <c:v>355.008807806524</c:v>
                </c:pt>
                <c:pt idx="46">
                  <c:v>370.257998261693</c:v>
                </c:pt>
                <c:pt idx="47">
                  <c:v>382.000601605837</c:v>
                </c:pt>
                <c:pt idx="48">
                  <c:v>397.903043671947</c:v>
                </c:pt>
                <c:pt idx="49">
                  <c:v>430.132528816113</c:v>
                </c:pt>
                <c:pt idx="50">
                  <c:v>442.187347131884</c:v>
                </c:pt>
                <c:pt idx="51">
                  <c:v>476.940729387759</c:v>
                </c:pt>
                <c:pt idx="52">
                  <c:v>508.1900695925</c:v>
                </c:pt>
                <c:pt idx="53">
                  <c:v>569.457120010951</c:v>
                </c:pt>
                <c:pt idx="54">
                  <c:v>579.611424436592</c:v>
                </c:pt>
                <c:pt idx="55">
                  <c:v>648.348239735758</c:v>
                </c:pt>
                <c:pt idx="56">
                  <c:v>696.395844698206</c:v>
                </c:pt>
                <c:pt idx="57">
                  <c:v>758.580404376811</c:v>
                </c:pt>
                <c:pt idx="58">
                  <c:v>781.567514568565</c:v>
                </c:pt>
                <c:pt idx="59">
                  <c:v>875.829868675025</c:v>
                </c:pt>
                <c:pt idx="60">
                  <c:v>905.439015115663</c:v>
                </c:pt>
                <c:pt idx="61">
                  <c:v>960.871904759414</c:v>
                </c:pt>
                <c:pt idx="62">
                  <c:v>1009.47054950909</c:v>
                </c:pt>
                <c:pt idx="63">
                  <c:v>1099.08384109956</c:v>
                </c:pt>
                <c:pt idx="64">
                  <c:v>1127.6232423255</c:v>
                </c:pt>
                <c:pt idx="65">
                  <c:v>1204.11393182764</c:v>
                </c:pt>
                <c:pt idx="66">
                  <c:v>1254.7674864856</c:v>
                </c:pt>
                <c:pt idx="67">
                  <c:v>1345.88463975739</c:v>
                </c:pt>
                <c:pt idx="68">
                  <c:v>1440.1032622073</c:v>
                </c:pt>
                <c:pt idx="69">
                  <c:v>1557.44042173996</c:v>
                </c:pt>
                <c:pt idx="70">
                  <c:v>1608.52545530636</c:v>
                </c:pt>
                <c:pt idx="71">
                  <c:v>1749.95776227759</c:v>
                </c:pt>
                <c:pt idx="72">
                  <c:v>1805.51080520284</c:v>
                </c:pt>
                <c:pt idx="73">
                  <c:v>1963.94294191257</c:v>
                </c:pt>
                <c:pt idx="74">
                  <c:v>1951.66126186417</c:v>
                </c:pt>
                <c:pt idx="75">
                  <c:v>2139.71775606766</c:v>
                </c:pt>
                <c:pt idx="76">
                  <c:v>2221.21160835521</c:v>
                </c:pt>
                <c:pt idx="77">
                  <c:v>2375.35332736089</c:v>
                </c:pt>
                <c:pt idx="78">
                  <c:v>2471.1619496646</c:v>
                </c:pt>
                <c:pt idx="79">
                  <c:v>2691.32491830832</c:v>
                </c:pt>
                <c:pt idx="80">
                  <c:v>2749.28374931329</c:v>
                </c:pt>
                <c:pt idx="81">
                  <c:v>2936.79206636334</c:v>
                </c:pt>
                <c:pt idx="82">
                  <c:v>2937.95145581727</c:v>
                </c:pt>
                <c:pt idx="83">
                  <c:v>3140.83016407629</c:v>
                </c:pt>
                <c:pt idx="84">
                  <c:v>2963.29776304869</c:v>
                </c:pt>
                <c:pt idx="85">
                  <c:v>2969.33269533276</c:v>
                </c:pt>
                <c:pt idx="86">
                  <c:v>3011.56083335964</c:v>
                </c:pt>
                <c:pt idx="87">
                  <c:v>3073.49102229919</c:v>
                </c:pt>
                <c:pt idx="88">
                  <c:v>3008.1727050194</c:v>
                </c:pt>
                <c:pt idx="89">
                  <c:v>3055.52333060289</c:v>
                </c:pt>
                <c:pt idx="90">
                  <c:v>2922.70532420276</c:v>
                </c:pt>
                <c:pt idx="91">
                  <c:v>2676.35748735073</c:v>
                </c:pt>
                <c:pt idx="92">
                  <c:v>2427.15034912499</c:v>
                </c:pt>
                <c:pt idx="93">
                  <c:v>2408.88129729546</c:v>
                </c:pt>
                <c:pt idx="94">
                  <c:v>1931.80486065125</c:v>
                </c:pt>
                <c:pt idx="95">
                  <c:v>1671.02225322293</c:v>
                </c:pt>
                <c:pt idx="96">
                  <c:v>1368.57906266521</c:v>
                </c:pt>
                <c:pt idx="97">
                  <c:v>1139.50602780447</c:v>
                </c:pt>
                <c:pt idx="98">
                  <c:v>908.350730373898</c:v>
                </c:pt>
                <c:pt idx="99">
                  <c:v>799.097379994112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244223"/>
        <c:axId val="21399283"/>
      </c:lineChart>
      <c:catAx>
        <c:axId val="88244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99283"/>
        <c:crosses val="autoZero"/>
        <c:auto val="1"/>
        <c:lblAlgn val="ctr"/>
        <c:lblOffset val="100"/>
        <c:noMultiLvlLbl val="0"/>
      </c:catAx>
      <c:valAx>
        <c:axId val="21399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442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ex: esperanza de vida por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graficos'!K4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graficos'!$K$5:$K$104</c:f>
              <c:numCache>
                <c:formatCode>0.00</c:formatCode>
                <c:ptCount val="100"/>
                <c:pt idx="0">
                  <c:v>72.8950124093887</c:v>
                </c:pt>
                <c:pt idx="1">
                  <c:v>72.8965204178067</c:v>
                </c:pt>
                <c:pt idx="2">
                  <c:v>71.9810641169503</c:v>
                </c:pt>
                <c:pt idx="3">
                  <c:v>71.0235998457654</c:v>
                </c:pt>
                <c:pt idx="4">
                  <c:v>70.0516140600069</c:v>
                </c:pt>
                <c:pt idx="5">
                  <c:v>69.0730647161798</c:v>
                </c:pt>
                <c:pt idx="6">
                  <c:v>68.090996108593</c:v>
                </c:pt>
                <c:pt idx="7">
                  <c:v>67.1078098094598</c:v>
                </c:pt>
                <c:pt idx="8">
                  <c:v>66.1232505538957</c:v>
                </c:pt>
                <c:pt idx="9">
                  <c:v>65.1383307106306</c:v>
                </c:pt>
                <c:pt idx="10">
                  <c:v>64.1558862172847</c:v>
                </c:pt>
                <c:pt idx="11">
                  <c:v>63.1727982045606</c:v>
                </c:pt>
                <c:pt idx="12">
                  <c:v>62.191246507363</c:v>
                </c:pt>
                <c:pt idx="13">
                  <c:v>61.2121395241031</c:v>
                </c:pt>
                <c:pt idx="14">
                  <c:v>60.2379769042326</c:v>
                </c:pt>
                <c:pt idx="15">
                  <c:v>59.2716004958957</c:v>
                </c:pt>
                <c:pt idx="16">
                  <c:v>58.3151704908095</c:v>
                </c:pt>
                <c:pt idx="17">
                  <c:v>57.3704723410861</c:v>
                </c:pt>
                <c:pt idx="18">
                  <c:v>56.4389660491589</c:v>
                </c:pt>
                <c:pt idx="19">
                  <c:v>55.5200888223579</c:v>
                </c:pt>
                <c:pt idx="20">
                  <c:v>54.6138496456883</c:v>
                </c:pt>
                <c:pt idx="21">
                  <c:v>53.7178014846955</c:v>
                </c:pt>
                <c:pt idx="22">
                  <c:v>52.8327282206802</c:v>
                </c:pt>
                <c:pt idx="23">
                  <c:v>51.9534227105169</c:v>
                </c:pt>
                <c:pt idx="24">
                  <c:v>51.0814407849489</c:v>
                </c:pt>
                <c:pt idx="25">
                  <c:v>50.2123454795657</c:v>
                </c:pt>
                <c:pt idx="26">
                  <c:v>49.3492312663686</c:v>
                </c:pt>
                <c:pt idx="27">
                  <c:v>48.486823169247</c:v>
                </c:pt>
                <c:pt idx="28">
                  <c:v>47.6279578313041</c:v>
                </c:pt>
                <c:pt idx="29">
                  <c:v>46.7655410217729</c:v>
                </c:pt>
                <c:pt idx="30">
                  <c:v>45.9072471779254</c:v>
                </c:pt>
                <c:pt idx="31">
                  <c:v>45.0453951777666</c:v>
                </c:pt>
                <c:pt idx="32">
                  <c:v>44.1850689258625</c:v>
                </c:pt>
                <c:pt idx="33">
                  <c:v>43.3237865014356</c:v>
                </c:pt>
                <c:pt idx="34">
                  <c:v>42.4669308244114</c:v>
                </c:pt>
                <c:pt idx="35">
                  <c:v>41.6038727572336</c:v>
                </c:pt>
                <c:pt idx="36">
                  <c:v>40.747070631567</c:v>
                </c:pt>
                <c:pt idx="37">
                  <c:v>39.8864511096497</c:v>
                </c:pt>
                <c:pt idx="38">
                  <c:v>39.0270793365885</c:v>
                </c:pt>
                <c:pt idx="39">
                  <c:v>38.1645235389156</c:v>
                </c:pt>
                <c:pt idx="40">
                  <c:v>37.3114056302175</c:v>
                </c:pt>
                <c:pt idx="41">
                  <c:v>36.4530037232663</c:v>
                </c:pt>
                <c:pt idx="42">
                  <c:v>35.602897208173</c:v>
                </c:pt>
                <c:pt idx="43">
                  <c:v>34.7590290377756</c:v>
                </c:pt>
                <c:pt idx="44">
                  <c:v>33.9231739201066</c:v>
                </c:pt>
                <c:pt idx="45">
                  <c:v>33.0874478766265</c:v>
                </c:pt>
                <c:pt idx="46">
                  <c:v>32.2636927488215</c:v>
                </c:pt>
                <c:pt idx="47">
                  <c:v>31.4409081204469</c:v>
                </c:pt>
                <c:pt idx="48">
                  <c:v>30.6175122939253</c:v>
                </c:pt>
                <c:pt idx="49">
                  <c:v>29.7963047925844</c:v>
                </c:pt>
                <c:pt idx="50">
                  <c:v>28.9833746445538</c:v>
                </c:pt>
                <c:pt idx="51">
                  <c:v>28.1699284060857</c:v>
                </c:pt>
                <c:pt idx="52">
                  <c:v>27.3648012225349</c:v>
                </c:pt>
                <c:pt idx="53">
                  <c:v>26.567379107969</c:v>
                </c:pt>
                <c:pt idx="54">
                  <c:v>25.7871523891147</c:v>
                </c:pt>
                <c:pt idx="55">
                  <c:v>25.0035712248897</c:v>
                </c:pt>
                <c:pt idx="56">
                  <c:v>24.2392706456766</c:v>
                </c:pt>
                <c:pt idx="57">
                  <c:v>23.4847036283911</c:v>
                </c:pt>
                <c:pt idx="58">
                  <c:v>22.7419653192468</c:v>
                </c:pt>
                <c:pt idx="59">
                  <c:v>21.9993691451376</c:v>
                </c:pt>
                <c:pt idx="60">
                  <c:v>21.2803057298976</c:v>
                </c:pt>
                <c:pt idx="61">
                  <c:v>20.561367243902</c:v>
                </c:pt>
                <c:pt idx="62">
                  <c:v>19.8502931620499</c:v>
                </c:pt>
                <c:pt idx="63">
                  <c:v>19.146359514647</c:v>
                </c:pt>
                <c:pt idx="64">
                  <c:v>18.4587501657668</c:v>
                </c:pt>
                <c:pt idx="65">
                  <c:v>17.7689359402637</c:v>
                </c:pt>
                <c:pt idx="66">
                  <c:v>17.0896947520903</c:v>
                </c:pt>
                <c:pt idx="67">
                  <c:v>16.4143969826979</c:v>
                </c:pt>
                <c:pt idx="68">
                  <c:v>15.7506215345902</c:v>
                </c:pt>
                <c:pt idx="69">
                  <c:v>15.1022332633554</c:v>
                </c:pt>
                <c:pt idx="70">
                  <c:v>14.4724806241708</c:v>
                </c:pt>
                <c:pt idx="71">
                  <c:v>13.846575480338</c:v>
                </c:pt>
                <c:pt idx="72">
                  <c:v>13.2437059649964</c:v>
                </c:pt>
                <c:pt idx="73">
                  <c:v>12.6450833864847</c:v>
                </c:pt>
                <c:pt idx="74">
                  <c:v>12.0696407222009</c:v>
                </c:pt>
                <c:pt idx="75">
                  <c:v>11.4826094342561</c:v>
                </c:pt>
                <c:pt idx="76">
                  <c:v>10.9260332401051</c:v>
                </c:pt>
                <c:pt idx="77">
                  <c:v>10.3739813379887</c:v>
                </c:pt>
                <c:pt idx="78">
                  <c:v>9.84137982423595</c:v>
                </c:pt>
                <c:pt idx="79">
                  <c:v>9.32230779564881</c:v>
                </c:pt>
                <c:pt idx="80">
                  <c:v>8.83736048613723</c:v>
                </c:pt>
                <c:pt idx="81">
                  <c:v>8.35899017667457</c:v>
                </c:pt>
                <c:pt idx="82">
                  <c:v>7.91906290696834</c:v>
                </c:pt>
                <c:pt idx="83">
                  <c:v>7.4853175012402</c:v>
                </c:pt>
                <c:pt idx="84">
                  <c:v>7.09460378708073</c:v>
                </c:pt>
                <c:pt idx="85">
                  <c:v>6.67790339678639</c:v>
                </c:pt>
                <c:pt idx="86">
                  <c:v>6.27049562463519</c:v>
                </c:pt>
                <c:pt idx="87">
                  <c:v>5.87776939841029</c:v>
                </c:pt>
                <c:pt idx="88">
                  <c:v>5.51045696670312</c:v>
                </c:pt>
                <c:pt idx="89">
                  <c:v>5.15293582719196</c:v>
                </c:pt>
                <c:pt idx="90">
                  <c:v>4.83877014024726</c:v>
                </c:pt>
                <c:pt idx="91">
                  <c:v>4.54071063990927</c:v>
                </c:pt>
                <c:pt idx="92">
                  <c:v>4.23768676287682</c:v>
                </c:pt>
                <c:pt idx="93">
                  <c:v>3.92200018182762</c:v>
                </c:pt>
                <c:pt idx="94">
                  <c:v>3.68026114741356</c:v>
                </c:pt>
                <c:pt idx="95">
                  <c:v>3.35605971784592</c:v>
                </c:pt>
                <c:pt idx="96">
                  <c:v>2.98974137073506</c:v>
                </c:pt>
                <c:pt idx="97">
                  <c:v>2.54071346641838</c:v>
                </c:pt>
                <c:pt idx="98">
                  <c:v>1.99707958798988</c:v>
                </c:pt>
                <c:pt idx="99">
                  <c:v>1.30804052485891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graficos'!L4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graficos'!$L$5:$L$104</c:f>
              <c:numCache>
                <c:formatCode>0.00</c:formatCode>
                <c:ptCount val="100"/>
                <c:pt idx="0">
                  <c:v>79.114598898827</c:v>
                </c:pt>
                <c:pt idx="1">
                  <c:v>78.9922845404574</c:v>
                </c:pt>
                <c:pt idx="2">
                  <c:v>78.0766023809971</c:v>
                </c:pt>
                <c:pt idx="3">
                  <c:v>77.1150867778981</c:v>
                </c:pt>
                <c:pt idx="4">
                  <c:v>76.1400581830392</c:v>
                </c:pt>
                <c:pt idx="5">
                  <c:v>75.1608726531411</c:v>
                </c:pt>
                <c:pt idx="6">
                  <c:v>74.1792036635508</c:v>
                </c:pt>
                <c:pt idx="7">
                  <c:v>73.1943459753915</c:v>
                </c:pt>
                <c:pt idx="8">
                  <c:v>72.2108382180087</c:v>
                </c:pt>
                <c:pt idx="9">
                  <c:v>71.2231110396416</c:v>
                </c:pt>
                <c:pt idx="10">
                  <c:v>70.2384514696661</c:v>
                </c:pt>
                <c:pt idx="11">
                  <c:v>69.2525579322981</c:v>
                </c:pt>
                <c:pt idx="12">
                  <c:v>68.2678907840008</c:v>
                </c:pt>
                <c:pt idx="13">
                  <c:v>67.2840695713624</c:v>
                </c:pt>
                <c:pt idx="14">
                  <c:v>66.3023362595867</c:v>
                </c:pt>
                <c:pt idx="15">
                  <c:v>65.3238346635173</c:v>
                </c:pt>
                <c:pt idx="16">
                  <c:v>64.3480056023286</c:v>
                </c:pt>
                <c:pt idx="17">
                  <c:v>63.3743500997817</c:v>
                </c:pt>
                <c:pt idx="18">
                  <c:v>62.4039191100831</c:v>
                </c:pt>
                <c:pt idx="19">
                  <c:v>61.4348944098184</c:v>
                </c:pt>
                <c:pt idx="20">
                  <c:v>60.4672754885563</c:v>
                </c:pt>
                <c:pt idx="21">
                  <c:v>59.5002901736638</c:v>
                </c:pt>
                <c:pt idx="22">
                  <c:v>58.5350151452843</c:v>
                </c:pt>
                <c:pt idx="23">
                  <c:v>57.5702877663504</c:v>
                </c:pt>
                <c:pt idx="24">
                  <c:v>56.6065777076304</c:v>
                </c:pt>
                <c:pt idx="25">
                  <c:v>55.6429653078759</c:v>
                </c:pt>
                <c:pt idx="26">
                  <c:v>54.6813149330882</c:v>
                </c:pt>
                <c:pt idx="27">
                  <c:v>53.7202166282242</c:v>
                </c:pt>
                <c:pt idx="28">
                  <c:v>52.7594787568907</c:v>
                </c:pt>
                <c:pt idx="29">
                  <c:v>51.7986330875318</c:v>
                </c:pt>
                <c:pt idx="30">
                  <c:v>50.8400059901585</c:v>
                </c:pt>
                <c:pt idx="31">
                  <c:v>49.880796991985</c:v>
                </c:pt>
                <c:pt idx="32">
                  <c:v>48.9232132445016</c:v>
                </c:pt>
                <c:pt idx="33">
                  <c:v>47.9667468575706</c:v>
                </c:pt>
                <c:pt idx="34">
                  <c:v>47.0127499503094</c:v>
                </c:pt>
                <c:pt idx="35">
                  <c:v>46.058467157757</c:v>
                </c:pt>
                <c:pt idx="36">
                  <c:v>45.1076205307126</c:v>
                </c:pt>
                <c:pt idx="37">
                  <c:v>44.1572047050324</c:v>
                </c:pt>
                <c:pt idx="38">
                  <c:v>43.2096243369328</c:v>
                </c:pt>
                <c:pt idx="39">
                  <c:v>42.2626499348657</c:v>
                </c:pt>
                <c:pt idx="40">
                  <c:v>41.3210498782103</c:v>
                </c:pt>
                <c:pt idx="41">
                  <c:v>40.3801463593044</c:v>
                </c:pt>
                <c:pt idx="42">
                  <c:v>39.4433849281134</c:v>
                </c:pt>
                <c:pt idx="43">
                  <c:v>38.5118563633662</c:v>
                </c:pt>
                <c:pt idx="44">
                  <c:v>37.586825527428</c:v>
                </c:pt>
                <c:pt idx="45">
                  <c:v>36.6646866200499</c:v>
                </c:pt>
                <c:pt idx="46">
                  <c:v>35.7516698191355</c:v>
                </c:pt>
                <c:pt idx="47">
                  <c:v>34.842957810153</c:v>
                </c:pt>
                <c:pt idx="48">
                  <c:v>33.9372581828224</c:v>
                </c:pt>
                <c:pt idx="49">
                  <c:v>33.0347310057585</c:v>
                </c:pt>
                <c:pt idx="50">
                  <c:v>32.1396712193249</c:v>
                </c:pt>
                <c:pt idx="51">
                  <c:v>31.2465932902236</c:v>
                </c:pt>
                <c:pt idx="52">
                  <c:v>30.3611548188425</c:v>
                </c:pt>
                <c:pt idx="53">
                  <c:v>29.4810048860011</c:v>
                </c:pt>
                <c:pt idx="54">
                  <c:v>28.614353416006</c:v>
                </c:pt>
                <c:pt idx="55">
                  <c:v>27.7486301903866</c:v>
                </c:pt>
                <c:pt idx="56">
                  <c:v>26.8962217558357</c:v>
                </c:pt>
                <c:pt idx="57">
                  <c:v>26.0528862101434</c:v>
                </c:pt>
                <c:pt idx="58">
                  <c:v>25.2230457294736</c:v>
                </c:pt>
                <c:pt idx="59">
                  <c:v>24.3957303412489</c:v>
                </c:pt>
                <c:pt idx="60">
                  <c:v>23.5860449261676</c:v>
                </c:pt>
                <c:pt idx="61">
                  <c:v>22.7808567637921</c:v>
                </c:pt>
                <c:pt idx="62">
                  <c:v>21.9850946055519</c:v>
                </c:pt>
                <c:pt idx="63">
                  <c:v>21.1951041510094</c:v>
                </c:pt>
                <c:pt idx="64">
                  <c:v>20.4208323026717</c:v>
                </c:pt>
                <c:pt idx="65">
                  <c:v>19.6496954589504</c:v>
                </c:pt>
                <c:pt idx="66">
                  <c:v>18.8906407290693</c:v>
                </c:pt>
                <c:pt idx="67">
                  <c:v>18.1375033805472</c:v>
                </c:pt>
                <c:pt idx="68">
                  <c:v>17.3995885246146</c:v>
                </c:pt>
                <c:pt idx="69">
                  <c:v>16.6736666334429</c:v>
                </c:pt>
                <c:pt idx="70">
                  <c:v>15.9648651367126</c:v>
                </c:pt>
                <c:pt idx="71">
                  <c:v>15.2592898775488</c:v>
                </c:pt>
                <c:pt idx="72">
                  <c:v>14.5739850958021</c:v>
                </c:pt>
                <c:pt idx="73">
                  <c:v>13.8924777314752</c:v>
                </c:pt>
                <c:pt idx="74">
                  <c:v>13.2356845737178</c:v>
                </c:pt>
                <c:pt idx="75">
                  <c:v>12.5713901174573</c:v>
                </c:pt>
                <c:pt idx="76">
                  <c:v>11.9338991346832</c:v>
                </c:pt>
                <c:pt idx="77">
                  <c:v>11.3086284475409</c:v>
                </c:pt>
                <c:pt idx="78">
                  <c:v>10.7079508181738</c:v>
                </c:pt>
                <c:pt idx="79">
                  <c:v>10.1190122325963</c:v>
                </c:pt>
                <c:pt idx="80">
                  <c:v>9.56806679347065</c:v>
                </c:pt>
                <c:pt idx="81">
                  <c:v>9.02885152827381</c:v>
                </c:pt>
                <c:pt idx="82">
                  <c:v>8.52170589472701</c:v>
                </c:pt>
                <c:pt idx="83">
                  <c:v>8.01731308177605</c:v>
                </c:pt>
                <c:pt idx="84">
                  <c:v>7.5582333341163</c:v>
                </c:pt>
                <c:pt idx="85">
                  <c:v>7.07916444508351</c:v>
                </c:pt>
                <c:pt idx="86">
                  <c:v>6.61128417431965</c:v>
                </c:pt>
                <c:pt idx="87">
                  <c:v>6.16870774135247</c:v>
                </c:pt>
                <c:pt idx="88">
                  <c:v>5.76181248294389</c:v>
                </c:pt>
                <c:pt idx="89">
                  <c:v>5.36979283542331</c:v>
                </c:pt>
                <c:pt idx="90">
                  <c:v>5.02583848571429</c:v>
                </c:pt>
                <c:pt idx="91">
                  <c:v>4.70320998894297</c:v>
                </c:pt>
                <c:pt idx="92">
                  <c:v>4.37544357656683</c:v>
                </c:pt>
                <c:pt idx="93">
                  <c:v>4.03957127458075</c:v>
                </c:pt>
                <c:pt idx="94">
                  <c:v>3.76673081816758</c:v>
                </c:pt>
                <c:pt idx="95">
                  <c:v>3.41884106484445</c:v>
                </c:pt>
                <c:pt idx="96">
                  <c:v>3.03458331042762</c:v>
                </c:pt>
                <c:pt idx="97">
                  <c:v>2.56554823401181</c:v>
                </c:pt>
                <c:pt idx="98">
                  <c:v>2.0049228645159</c:v>
                </c:pt>
                <c:pt idx="99">
                  <c:v>1.32081208767048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graficos'!M4</c:f>
              <c:strCache>
                <c:ptCount val="1"/>
                <c:pt idx="0">
                  <c:v>Ambos sexos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graficos'!$M$5:$M$104</c:f>
              <c:numCache>
                <c:formatCode>0.00</c:formatCode>
                <c:ptCount val="100"/>
                <c:pt idx="0">
                  <c:v>75.9880421478919</c:v>
                </c:pt>
                <c:pt idx="1">
                  <c:v>75.9376737187187</c:v>
                </c:pt>
                <c:pt idx="2">
                  <c:v>75.0223489740938</c:v>
                </c:pt>
                <c:pt idx="3">
                  <c:v>74.0631081002687</c:v>
                </c:pt>
                <c:pt idx="4">
                  <c:v>73.0897393245911</c:v>
                </c:pt>
                <c:pt idx="5">
                  <c:v>72.1109512650152</c:v>
                </c:pt>
                <c:pt idx="6">
                  <c:v>71.1291283683131</c:v>
                </c:pt>
                <c:pt idx="7">
                  <c:v>70.1451948261298</c:v>
                </c:pt>
                <c:pt idx="8">
                  <c:v>69.1611835131179</c:v>
                </c:pt>
                <c:pt idx="9">
                  <c:v>68.1749952413879</c:v>
                </c:pt>
                <c:pt idx="10">
                  <c:v>67.1915459670166</c:v>
                </c:pt>
                <c:pt idx="11">
                  <c:v>66.2071923054192</c:v>
                </c:pt>
                <c:pt idx="12">
                  <c:v>65.2242318136485</c:v>
                </c:pt>
                <c:pt idx="13">
                  <c:v>64.2429724905685</c:v>
                </c:pt>
                <c:pt idx="14">
                  <c:v>63.2653235664398</c:v>
                </c:pt>
                <c:pt idx="15">
                  <c:v>62.2933355173963</c:v>
                </c:pt>
                <c:pt idx="16">
                  <c:v>61.3278900730264</c:v>
                </c:pt>
                <c:pt idx="17">
                  <c:v>60.369727795747</c:v>
                </c:pt>
                <c:pt idx="18">
                  <c:v>59.4200655762508</c:v>
                </c:pt>
                <c:pt idx="19">
                  <c:v>58.477671583331</c:v>
                </c:pt>
                <c:pt idx="20">
                  <c:v>57.5425636213204</c:v>
                </c:pt>
                <c:pt idx="21">
                  <c:v>56.6130072687667</c:v>
                </c:pt>
                <c:pt idx="22">
                  <c:v>55.689791134142</c:v>
                </c:pt>
                <c:pt idx="23">
                  <c:v>54.7697092584431</c:v>
                </c:pt>
                <c:pt idx="24">
                  <c:v>53.853754856124</c:v>
                </c:pt>
                <c:pt idx="25">
                  <c:v>52.9390305718584</c:v>
                </c:pt>
                <c:pt idx="26">
                  <c:v>52.0281255201489</c:v>
                </c:pt>
                <c:pt idx="27">
                  <c:v>51.1177681708706</c:v>
                </c:pt>
                <c:pt idx="28">
                  <c:v>50.2092544877624</c:v>
                </c:pt>
                <c:pt idx="29">
                  <c:v>49.2987968381043</c:v>
                </c:pt>
                <c:pt idx="30">
                  <c:v>48.3914393060517</c:v>
                </c:pt>
                <c:pt idx="31">
                  <c:v>47.4818052895025</c:v>
                </c:pt>
                <c:pt idx="32">
                  <c:v>46.5734845248626</c:v>
                </c:pt>
                <c:pt idx="33">
                  <c:v>45.6652096778414</c:v>
                </c:pt>
                <c:pt idx="34">
                  <c:v>44.7603128580782</c:v>
                </c:pt>
                <c:pt idx="35">
                  <c:v>43.8521347122521</c:v>
                </c:pt>
                <c:pt idx="36">
                  <c:v>42.9488055463012</c:v>
                </c:pt>
                <c:pt idx="37">
                  <c:v>42.0439199194921</c:v>
                </c:pt>
                <c:pt idx="38">
                  <c:v>41.1409967585773</c:v>
                </c:pt>
                <c:pt idx="39">
                  <c:v>40.2367371727327</c:v>
                </c:pt>
                <c:pt idx="40">
                  <c:v>39.339920479236</c:v>
                </c:pt>
                <c:pt idx="41">
                  <c:v>38.4408383511888</c:v>
                </c:pt>
                <c:pt idx="42">
                  <c:v>37.5478048577161</c:v>
                </c:pt>
                <c:pt idx="43">
                  <c:v>36.6604851350644</c:v>
                </c:pt>
                <c:pt idx="44">
                  <c:v>35.7805426529516</c:v>
                </c:pt>
                <c:pt idx="45">
                  <c:v>34.9021199353111</c:v>
                </c:pt>
                <c:pt idx="46">
                  <c:v>34.0342445620488</c:v>
                </c:pt>
                <c:pt idx="47">
                  <c:v>33.1691083968255</c:v>
                </c:pt>
                <c:pt idx="48">
                  <c:v>32.3052245258102</c:v>
                </c:pt>
                <c:pt idx="49">
                  <c:v>31.4438595330901</c:v>
                </c:pt>
                <c:pt idx="50">
                  <c:v>30.5903553269332</c:v>
                </c:pt>
                <c:pt idx="51">
                  <c:v>29.7375190796658</c:v>
                </c:pt>
                <c:pt idx="52">
                  <c:v>28.8925681518525</c:v>
                </c:pt>
                <c:pt idx="53">
                  <c:v>28.0539133533238</c:v>
                </c:pt>
                <c:pt idx="54">
                  <c:v>27.2304942999931</c:v>
                </c:pt>
                <c:pt idx="55">
                  <c:v>26.4059977115515</c:v>
                </c:pt>
                <c:pt idx="56">
                  <c:v>25.597666611856</c:v>
                </c:pt>
                <c:pt idx="57">
                  <c:v>24.7987136142038</c:v>
                </c:pt>
                <c:pt idx="58">
                  <c:v>24.0126079202115</c:v>
                </c:pt>
                <c:pt idx="59">
                  <c:v>23.2278060061116</c:v>
                </c:pt>
                <c:pt idx="60">
                  <c:v>22.463324829785</c:v>
                </c:pt>
                <c:pt idx="61">
                  <c:v>21.7011639589819</c:v>
                </c:pt>
                <c:pt idx="62">
                  <c:v>20.9476378838405</c:v>
                </c:pt>
                <c:pt idx="63">
                  <c:v>20.200462574613</c:v>
                </c:pt>
                <c:pt idx="64">
                  <c:v>19.4692916063348</c:v>
                </c:pt>
                <c:pt idx="65">
                  <c:v>18.7386355456342</c:v>
                </c:pt>
                <c:pt idx="66">
                  <c:v>18.019429177105</c:v>
                </c:pt>
                <c:pt idx="67">
                  <c:v>17.3050793540987</c:v>
                </c:pt>
                <c:pt idx="68">
                  <c:v>16.6042108671437</c:v>
                </c:pt>
                <c:pt idx="69">
                  <c:v>15.9168895501071</c:v>
                </c:pt>
                <c:pt idx="70">
                  <c:v>15.247555737245</c:v>
                </c:pt>
                <c:pt idx="71">
                  <c:v>14.5816416316254</c:v>
                </c:pt>
                <c:pt idx="72">
                  <c:v>13.9374601274593</c:v>
                </c:pt>
                <c:pt idx="73">
                  <c:v>13.297157596653</c:v>
                </c:pt>
                <c:pt idx="74">
                  <c:v>12.6809493685628</c:v>
                </c:pt>
                <c:pt idx="75">
                  <c:v>12.0551278931772</c:v>
                </c:pt>
                <c:pt idx="76">
                  <c:v>11.4578475049471</c:v>
                </c:pt>
                <c:pt idx="77">
                  <c:v>10.8691776310292</c:v>
                </c:pt>
                <c:pt idx="78">
                  <c:v>10.3028293440155</c:v>
                </c:pt>
                <c:pt idx="79">
                  <c:v>9.74873180540329</c:v>
                </c:pt>
                <c:pt idx="80">
                  <c:v>9.23079231468493</c:v>
                </c:pt>
                <c:pt idx="81">
                  <c:v>8.7218002521756</c:v>
                </c:pt>
                <c:pt idx="82">
                  <c:v>8.24728712431367</c:v>
                </c:pt>
                <c:pt idx="83">
                  <c:v>7.776477458796</c:v>
                </c:pt>
                <c:pt idx="84">
                  <c:v>7.34968844996159</c:v>
                </c:pt>
                <c:pt idx="85">
                  <c:v>6.89965412035308</c:v>
                </c:pt>
                <c:pt idx="86">
                  <c:v>6.45958114986336</c:v>
                </c:pt>
                <c:pt idx="87">
                  <c:v>6.03991780224527</c:v>
                </c:pt>
                <c:pt idx="88">
                  <c:v>5.65123543184107</c:v>
                </c:pt>
                <c:pt idx="89">
                  <c:v>5.27494477912349</c:v>
                </c:pt>
                <c:pt idx="90">
                  <c:v>4.94454446316328</c:v>
                </c:pt>
                <c:pt idx="91">
                  <c:v>4.63307631228589</c:v>
                </c:pt>
                <c:pt idx="92">
                  <c:v>4.31631189099553</c:v>
                </c:pt>
                <c:pt idx="93">
                  <c:v>3.98933799707798</c:v>
                </c:pt>
                <c:pt idx="94">
                  <c:v>3.7296425837325</c:v>
                </c:pt>
                <c:pt idx="95">
                  <c:v>3.39180830686723</c:v>
                </c:pt>
                <c:pt idx="96">
                  <c:v>3.01523531829509</c:v>
                </c:pt>
                <c:pt idx="97">
                  <c:v>2.55456322261424</c:v>
                </c:pt>
                <c:pt idx="98">
                  <c:v>2.00109352384869</c:v>
                </c:pt>
                <c:pt idx="99">
                  <c:v>1.31565163931328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444513"/>
        <c:axId val="59613361"/>
      </c:lineChart>
      <c:catAx>
        <c:axId val="49444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13361"/>
        <c:crosses val="autoZero"/>
        <c:auto val="1"/>
        <c:lblAlgn val="ctr"/>
        <c:lblOffset val="100"/>
        <c:noMultiLvlLbl val="0"/>
      </c:catAx>
      <c:valAx>
        <c:axId val="59613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445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Sobremortalidad masculina: qx hombres / qx mujeres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graficos'!N4</c:f>
              <c:strCache>
                <c:ptCount val="1"/>
                <c:pt idx="0">
                  <c:v>qx H / qx M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graficos'!$A$5:$A$104</c:f>
              <c:strCach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strCache>
            </c:strRef>
          </c:cat>
          <c:val>
            <c:numRef>
              <c:f>'Datos graficos'!$N$5:$N$104</c:f>
              <c:numCache>
                <c:formatCode>0.00</c:formatCode>
                <c:ptCount val="100"/>
                <c:pt idx="0">
                  <c:v>1.23584766062664</c:v>
                </c:pt>
                <c:pt idx="1">
                  <c:v>1.08700228307715</c:v>
                </c:pt>
                <c:pt idx="2">
                  <c:v>1.19940533455885</c:v>
                </c:pt>
                <c:pt idx="3">
                  <c:v>1.21866499538919</c:v>
                </c:pt>
                <c:pt idx="4">
                  <c:v>1.12074144942374</c:v>
                </c:pt>
                <c:pt idx="5">
                  <c:v>1.0650259238706</c:v>
                </c:pt>
                <c:pt idx="6">
                  <c:v>1.21034291627665</c:v>
                </c:pt>
                <c:pt idx="7">
                  <c:v>1.02179048211161</c:v>
                </c:pt>
                <c:pt idx="8">
                  <c:v>1.34265064356143</c:v>
                </c:pt>
                <c:pt idx="9">
                  <c:v>1.25205473064248</c:v>
                </c:pt>
                <c:pt idx="10">
                  <c:v>1.31335678747446</c:v>
                </c:pt>
                <c:pt idx="11">
                  <c:v>1.31981263600599</c:v>
                </c:pt>
                <c:pt idx="12">
                  <c:v>1.41844408588245</c:v>
                </c:pt>
                <c:pt idx="13">
                  <c:v>1.55567899402053</c:v>
                </c:pt>
                <c:pt idx="14">
                  <c:v>1.72236891332929</c:v>
                </c:pt>
                <c:pt idx="15">
                  <c:v>1.98747307548852</c:v>
                </c:pt>
                <c:pt idx="16">
                  <c:v>2.31696359972321</c:v>
                </c:pt>
                <c:pt idx="17">
                  <c:v>2.55906912715248</c:v>
                </c:pt>
                <c:pt idx="18">
                  <c:v>2.89546873331744</c:v>
                </c:pt>
                <c:pt idx="19">
                  <c:v>3.20306786362881</c:v>
                </c:pt>
                <c:pt idx="20">
                  <c:v>3.48446787661522</c:v>
                </c:pt>
                <c:pt idx="21">
                  <c:v>3.66349034750033</c:v>
                </c:pt>
                <c:pt idx="22">
                  <c:v>3.78817345548725</c:v>
                </c:pt>
                <c:pt idx="23">
                  <c:v>3.9055094297002</c:v>
                </c:pt>
                <c:pt idx="24">
                  <c:v>3.98275376296091</c:v>
                </c:pt>
                <c:pt idx="25">
                  <c:v>3.95121636988566</c:v>
                </c:pt>
                <c:pt idx="26">
                  <c:v>3.91477064610846</c:v>
                </c:pt>
                <c:pt idx="27">
                  <c:v>3.97795003084282</c:v>
                </c:pt>
                <c:pt idx="28">
                  <c:v>3.88804494772026</c:v>
                </c:pt>
                <c:pt idx="29">
                  <c:v>3.7891590427512</c:v>
                </c:pt>
                <c:pt idx="30">
                  <c:v>3.74628478572307</c:v>
                </c:pt>
                <c:pt idx="31">
                  <c:v>3.64209304846569</c:v>
                </c:pt>
                <c:pt idx="32">
                  <c:v>3.52403934198322</c:v>
                </c:pt>
                <c:pt idx="33">
                  <c:v>3.44082776227474</c:v>
                </c:pt>
                <c:pt idx="34">
                  <c:v>3.3123283974479</c:v>
                </c:pt>
                <c:pt idx="35">
                  <c:v>3.22127313379914</c:v>
                </c:pt>
                <c:pt idx="36">
                  <c:v>3.10824116098837</c:v>
                </c:pt>
                <c:pt idx="37">
                  <c:v>2.96661291276629</c:v>
                </c:pt>
                <c:pt idx="38">
                  <c:v>2.86676964896749</c:v>
                </c:pt>
                <c:pt idx="39">
                  <c:v>2.78181683009431</c:v>
                </c:pt>
                <c:pt idx="40">
                  <c:v>2.65068719001581</c:v>
                </c:pt>
                <c:pt idx="41">
                  <c:v>2.62242776815603</c:v>
                </c:pt>
                <c:pt idx="42">
                  <c:v>2.5229479194178</c:v>
                </c:pt>
                <c:pt idx="43">
                  <c:v>2.42252654192253</c:v>
                </c:pt>
                <c:pt idx="44">
                  <c:v>2.33454200737601</c:v>
                </c:pt>
                <c:pt idx="45">
                  <c:v>2.24190024881591</c:v>
                </c:pt>
                <c:pt idx="46">
                  <c:v>2.14804498839164</c:v>
                </c:pt>
                <c:pt idx="47">
                  <c:v>2.07257974855125</c:v>
                </c:pt>
                <c:pt idx="48">
                  <c:v>2.03035002683479</c:v>
                </c:pt>
                <c:pt idx="49">
                  <c:v>1.97346961137906</c:v>
                </c:pt>
                <c:pt idx="50">
                  <c:v>1.93200020575268</c:v>
                </c:pt>
                <c:pt idx="51">
                  <c:v>1.88394702231672</c:v>
                </c:pt>
                <c:pt idx="52">
                  <c:v>1.87220642468682</c:v>
                </c:pt>
                <c:pt idx="53">
                  <c:v>1.82536730052896</c:v>
                </c:pt>
                <c:pt idx="54">
                  <c:v>1.78521509900332</c:v>
                </c:pt>
                <c:pt idx="55">
                  <c:v>1.76848246184686</c:v>
                </c:pt>
                <c:pt idx="56">
                  <c:v>1.73436233322556</c:v>
                </c:pt>
                <c:pt idx="57">
                  <c:v>1.67327919268877</c:v>
                </c:pt>
                <c:pt idx="58">
                  <c:v>1.64936163795585</c:v>
                </c:pt>
                <c:pt idx="59">
                  <c:v>1.63244195110979</c:v>
                </c:pt>
                <c:pt idx="60">
                  <c:v>1.59477139151656</c:v>
                </c:pt>
                <c:pt idx="61">
                  <c:v>1.56305528343006</c:v>
                </c:pt>
                <c:pt idx="62">
                  <c:v>1.55678870062836</c:v>
                </c:pt>
                <c:pt idx="63">
                  <c:v>1.52714951145333</c:v>
                </c:pt>
                <c:pt idx="64">
                  <c:v>1.49486243092113</c:v>
                </c:pt>
                <c:pt idx="65">
                  <c:v>1.46755385547188</c:v>
                </c:pt>
                <c:pt idx="66">
                  <c:v>1.44930936576436</c:v>
                </c:pt>
                <c:pt idx="67">
                  <c:v>1.41305833369475</c:v>
                </c:pt>
                <c:pt idx="68">
                  <c:v>1.4120993927554</c:v>
                </c:pt>
                <c:pt idx="69">
                  <c:v>1.39819341071745</c:v>
                </c:pt>
                <c:pt idx="70">
                  <c:v>1.39571206168049</c:v>
                </c:pt>
                <c:pt idx="71">
                  <c:v>1.38409948860524</c:v>
                </c:pt>
                <c:pt idx="72">
                  <c:v>1.37983057669154</c:v>
                </c:pt>
                <c:pt idx="73">
                  <c:v>1.35178572672155</c:v>
                </c:pt>
                <c:pt idx="74">
                  <c:v>1.3419273628948</c:v>
                </c:pt>
                <c:pt idx="75">
                  <c:v>1.33110418259496</c:v>
                </c:pt>
                <c:pt idx="76">
                  <c:v>1.29813812447372</c:v>
                </c:pt>
                <c:pt idx="77">
                  <c:v>1.268561094606</c:v>
                </c:pt>
                <c:pt idx="78">
                  <c:v>1.26486421694714</c:v>
                </c:pt>
                <c:pt idx="79">
                  <c:v>1.23672890311799</c:v>
                </c:pt>
                <c:pt idx="80">
                  <c:v>1.21764463596712</c:v>
                </c:pt>
                <c:pt idx="81">
                  <c:v>1.21772922642255</c:v>
                </c:pt>
                <c:pt idx="82">
                  <c:v>1.21866563812519</c:v>
                </c:pt>
                <c:pt idx="83">
                  <c:v>1.19515127212792</c:v>
                </c:pt>
                <c:pt idx="84">
                  <c:v>1.18232020572446</c:v>
                </c:pt>
                <c:pt idx="85">
                  <c:v>1.16969911641131</c:v>
                </c:pt>
                <c:pt idx="86">
                  <c:v>1.13912680644534</c:v>
                </c:pt>
                <c:pt idx="87">
                  <c:v>1.11134902036783</c:v>
                </c:pt>
                <c:pt idx="88">
                  <c:v>1.09728139685841</c:v>
                </c:pt>
                <c:pt idx="89">
                  <c:v>1.08203700391598</c:v>
                </c:pt>
                <c:pt idx="90">
                  <c:v>1.06967775445694</c:v>
                </c:pt>
                <c:pt idx="91">
                  <c:v>1.06695347846838</c:v>
                </c:pt>
                <c:pt idx="92">
                  <c:v>1.0577902172158</c:v>
                </c:pt>
                <c:pt idx="93">
                  <c:v>1.06434107375477</c:v>
                </c:pt>
                <c:pt idx="94">
                  <c:v>1.05319828579686</c:v>
                </c:pt>
                <c:pt idx="95">
                  <c:v>1.04235862023011</c:v>
                </c:pt>
                <c:pt idx="96">
                  <c:v>1.04615594845366</c:v>
                </c:pt>
                <c:pt idx="97">
                  <c:v>1.0419344371615</c:v>
                </c:pt>
                <c:pt idx="98">
                  <c:v>0.991352243380249</c:v>
                </c:pt>
                <c:pt idx="99">
                  <c:v>1.07127468948959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4638793"/>
        <c:axId val="26508161"/>
      </c:lineChart>
      <c:catAx>
        <c:axId val="44638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 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08161"/>
        <c:crosses val="autoZero"/>
        <c:auto val="1"/>
        <c:lblAlgn val="ctr"/>
        <c:lblOffset val="100"/>
        <c:noMultiLvlLbl val="0"/>
      </c:catAx>
      <c:valAx>
        <c:axId val="26508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razón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38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e0 2019: tabla con datos de INEGI vs. ONU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"Esta tabla (INEGI)"</c:f>
              <c:strCache>
                <c:ptCount val="1"/>
                <c:pt idx="0">
                  <c:v>Esta tabla (INEGI)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Indicadores!$B$19:$D$19</c:f>
              <c:multiLvlStrCache>
                <c:ptCount val="1"/>
                <c:lvl>
                  <c:pt idx="0">
                    <c:v>Ambos sexos</c:v>
                  </c:pt>
                </c:lvl>
                <c:lvl>
                  <c:pt idx="0">
                    <c:v>Mujeres</c:v>
                  </c:pt>
                </c:lvl>
                <c:lvl>
                  <c:pt idx="0">
                    <c:v>Hombres</c:v>
                  </c:pt>
                </c:lvl>
              </c:multiLvlStrCache>
            </c:multiLvlStrRef>
          </c:cat>
          <c:val>
            <c:numRef>
              <c:f>Indicadores!$B$20:$D$20</c:f>
              <c:numCache>
                <c:formatCode>0.00</c:formatCode>
                <c:ptCount val="3"/>
                <c:pt idx="0">
                  <c:v>72.8950124093887</c:v>
                </c:pt>
                <c:pt idx="1">
                  <c:v>79.114598898827</c:v>
                </c:pt>
                <c:pt idx="2">
                  <c:v>75.9880421478919</c:v>
                </c:pt>
              </c:numCache>
            </c:numRef>
          </c:val>
        </c:ser>
        <c:ser>
          <c:idx val="1"/>
          <c:order val="1"/>
          <c:tx>
            <c:strRef>
              <c:f>"ONU (WPP 2024)"</c:f>
              <c:strCache>
                <c:ptCount val="1"/>
                <c:pt idx="0">
                  <c:v>ONU (WPP 2024)</c:v>
                </c:pt>
              </c:strCache>
            </c:strRef>
          </c:tx>
          <c:spPr>
            <a:solidFill>
              <a:srgbClr val="9aa0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Indicadores!$B$19:$D$19</c:f>
              <c:multiLvlStrCache>
                <c:ptCount val="1"/>
                <c:lvl>
                  <c:pt idx="0">
                    <c:v>Ambos sexos</c:v>
                  </c:pt>
                </c:lvl>
                <c:lvl>
                  <c:pt idx="0">
                    <c:v>Mujeres</c:v>
                  </c:pt>
                </c:lvl>
                <c:lvl>
                  <c:pt idx="0">
                    <c:v>Hombres</c:v>
                  </c:pt>
                </c:lvl>
              </c:multiLvlStrCache>
            </c:multiLvlStrRef>
          </c:cat>
          <c:val>
            <c:numRef>
              <c:f>Indicadores!$B$21:$D$21</c:f>
              <c:numCache>
                <c:formatCode>0.00</c:formatCode>
                <c:ptCount val="3"/>
                <c:pt idx="0">
                  <c:v>71.5867</c:v>
                </c:pt>
                <c:pt idx="1">
                  <c:v>77.4224</c:v>
                </c:pt>
                <c:pt idx="2">
                  <c:v>74.5302</c:v>
                </c:pt>
              </c:numCache>
            </c:numRef>
          </c:val>
        </c:ser>
        <c:gapWidth val="150"/>
        <c:overlap val="0"/>
        <c:axId val="3189948"/>
        <c:axId val="54685306"/>
      </c:barChart>
      <c:catAx>
        <c:axId val="3189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85306"/>
        <c:crosses val="autoZero"/>
        <c:auto val="1"/>
        <c:lblAlgn val="ctr"/>
        <c:lblOffset val="100"/>
        <c:noMultiLvlLbl val="0"/>
      </c:catAx>
      <c:valAx>
        <c:axId val="54685306"/>
        <c:scaling>
          <c:orientation val="minMax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99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75960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0" y="380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19</xdr:col>
      <xdr:colOff>75960</xdr:colOff>
      <xdr:row>17</xdr:row>
      <xdr:rowOff>172080</xdr:rowOff>
    </xdr:to>
    <xdr:graphicFrame>
      <xdr:nvGraphicFramePr>
        <xdr:cNvPr id="1" name="Chart 2"/>
        <xdr:cNvGraphicFramePr/>
      </xdr:nvGraphicFramePr>
      <xdr:xfrm>
        <a:off x="6114960" y="380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75960</xdr:colOff>
      <xdr:row>35</xdr:row>
      <xdr:rowOff>172080</xdr:rowOff>
    </xdr:to>
    <xdr:graphicFrame>
      <xdr:nvGraphicFramePr>
        <xdr:cNvPr id="2" name="Chart 3"/>
        <xdr:cNvGraphicFramePr/>
      </xdr:nvGraphicFramePr>
      <xdr:xfrm>
        <a:off x="0" y="3809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75960</xdr:colOff>
      <xdr:row>35</xdr:row>
      <xdr:rowOff>172080</xdr:rowOff>
    </xdr:to>
    <xdr:graphicFrame>
      <xdr:nvGraphicFramePr>
        <xdr:cNvPr id="3" name="Chart 4"/>
        <xdr:cNvGraphicFramePr/>
      </xdr:nvGraphicFramePr>
      <xdr:xfrm>
        <a:off x="6114960" y="3809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9</xdr:col>
      <xdr:colOff>75960</xdr:colOff>
      <xdr:row>53</xdr:row>
      <xdr:rowOff>172080</xdr:rowOff>
    </xdr:to>
    <xdr:graphicFrame>
      <xdr:nvGraphicFramePr>
        <xdr:cNvPr id="4" name="Chart 5"/>
        <xdr:cNvGraphicFramePr/>
      </xdr:nvGraphicFramePr>
      <xdr:xfrm>
        <a:off x="0" y="7238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19</xdr:col>
      <xdr:colOff>75960</xdr:colOff>
      <xdr:row>53</xdr:row>
      <xdr:rowOff>172080</xdr:rowOff>
    </xdr:to>
    <xdr:graphicFrame>
      <xdr:nvGraphicFramePr>
        <xdr:cNvPr id="5" name="Chart 6"/>
        <xdr:cNvGraphicFramePr/>
      </xdr:nvGraphicFramePr>
      <xdr:xfrm>
        <a:off x="6114960" y="72388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L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100000</v>
      </c>
      <c r="C3" s="3" t="s">
        <v>2</v>
      </c>
    </row>
    <row r="4" customFormat="false" ht="15" hidden="false" customHeight="false" outlineLevel="0" collapsed="false">
      <c r="A4" s="0" t="s">
        <v>3</v>
      </c>
      <c r="B4" s="4" t="n">
        <v>1</v>
      </c>
      <c r="C4" s="3" t="s">
        <v>4</v>
      </c>
    </row>
    <row r="6" customFormat="false" ht="33.7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63.7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33.75" hidden="false" customHeight="true" outlineLevel="0" collapsed="false">
      <c r="A8" s="5" t="s">
        <v>9</v>
      </c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8.75" hidden="false" customHeight="true" outlineLevel="0" collapsed="false">
      <c r="A9" s="5"/>
      <c r="B9" s="6" t="s">
        <v>11</v>
      </c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33.75" hidden="false" customHeight="true" outlineLevel="0" collapsed="false">
      <c r="A10" s="5"/>
      <c r="B10" s="6" t="s">
        <v>12</v>
      </c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48.75" hidden="false" customHeight="true" outlineLevel="0" collapsed="false">
      <c r="A11" s="5" t="s">
        <v>13</v>
      </c>
      <c r="B11" s="6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18.75" hidden="false" customHeight="true" outlineLevel="0" collapsed="false">
      <c r="A12" s="5" t="s">
        <v>15</v>
      </c>
      <c r="B12" s="6" t="s">
        <v>16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33.75" hidden="false" customHeight="true" outlineLevel="0" collapsed="false">
      <c r="A13" s="5" t="s">
        <v>17</v>
      </c>
      <c r="B13" s="6" t="s">
        <v>18</v>
      </c>
      <c r="C13" s="6"/>
      <c r="D13" s="6"/>
      <c r="E13" s="6"/>
      <c r="F13" s="6"/>
      <c r="G13" s="6"/>
      <c r="H13" s="6"/>
      <c r="I13" s="6"/>
      <c r="J13" s="6"/>
      <c r="K13" s="6"/>
      <c r="L13" s="6"/>
    </row>
  </sheetData>
  <mergeCells count="8">
    <mergeCell ref="B6:L6"/>
    <mergeCell ref="B7:L7"/>
    <mergeCell ref="B8:L8"/>
    <mergeCell ref="B9:L9"/>
    <mergeCell ref="B10:L10"/>
    <mergeCell ref="B11:L11"/>
    <mergeCell ref="B12:L12"/>
    <mergeCell ref="B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8" min="3" style="0" width="21"/>
    <col collapsed="false" customWidth="true" hidden="false" outlineLevel="0" max="10" min="9" style="0" width="3"/>
    <col collapsed="false" customWidth="true" hidden="false" outlineLevel="0" max="11" min="11" style="0" width="30"/>
    <col collapsed="false" customWidth="true" hidden="false" outlineLevel="0" max="12" min="12" style="0" width="20"/>
  </cols>
  <sheetData>
    <row r="1" customFormat="false" ht="17.35" hidden="false" customHeight="false" outlineLevel="0" collapsed="false">
      <c r="B1" s="7" t="s">
        <v>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B2" s="8" t="s">
        <v>20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K3" s="10" t="s">
        <v>28</v>
      </c>
    </row>
    <row r="4" customFormat="false" ht="51.75" hidden="false" customHeight="true" outlineLevel="0" collapsed="false">
      <c r="B4" s="11"/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K4" s="10" t="s">
        <v>35</v>
      </c>
    </row>
    <row r="5" customFormat="false" ht="15" hidden="false" customHeight="false" outlineLevel="0" collapsed="false">
      <c r="B5" s="12" t="n">
        <v>0</v>
      </c>
      <c r="C5" s="13" t="n">
        <f aca="false">L9</f>
        <v>0.012423606379248</v>
      </c>
      <c r="D5" s="14" t="n">
        <f aca="false">Radix</f>
        <v>100000</v>
      </c>
      <c r="E5" s="14" t="n">
        <f aca="false">D5*C5</f>
        <v>1242.3606379248</v>
      </c>
      <c r="F5" s="14" t="n">
        <f aca="false">D6+(E5/2)</f>
        <v>99378.8196810376</v>
      </c>
      <c r="G5" s="14" t="n">
        <f aca="false">SUM(F5:F$105)</f>
        <v>7598804.21478919</v>
      </c>
      <c r="H5" s="15" t="n">
        <f aca="false">G5/D5</f>
        <v>75.9880421478919</v>
      </c>
    </row>
    <row r="6" customFormat="false" ht="15" hidden="false" customHeight="false" outlineLevel="0" collapsed="false">
      <c r="B6" s="12" t="n">
        <v>1</v>
      </c>
      <c r="C6" s="16" t="n">
        <f aca="false">'Datos INEGI'!N14/('Datos INEGI'!Q14+'Datos INEGI'!N14/2)</f>
        <v>0.00112119467317172</v>
      </c>
      <c r="D6" s="14" t="n">
        <f aca="false">D5-E5</f>
        <v>98757.6393620752</v>
      </c>
      <c r="E6" s="14" t="n">
        <f aca="false">D6*C6</f>
        <v>110.726539187772</v>
      </c>
      <c r="F6" s="14" t="n">
        <f aca="false">D7+(E6/2)</f>
        <v>98702.2760924813</v>
      </c>
      <c r="G6" s="14" t="n">
        <f aca="false">SUM(F6:F$105)</f>
        <v>7499425.39510815</v>
      </c>
      <c r="H6" s="15" t="n">
        <f aca="false">G6/D6</f>
        <v>75.9376737187187</v>
      </c>
      <c r="K6" s="10" t="s">
        <v>36</v>
      </c>
      <c r="L6" s="17" t="n">
        <f aca="false">'Datos INEGI'!E4</f>
        <v>1844913</v>
      </c>
    </row>
    <row r="7" customFormat="false" ht="15" hidden="false" customHeight="false" outlineLevel="0" collapsed="false">
      <c r="B7" s="12" t="n">
        <v>2</v>
      </c>
      <c r="C7" s="16" t="n">
        <f aca="false">'Datos INEGI'!N15/('Datos INEGI'!Q15+'Datos INEGI'!N15/2)</f>
        <v>0.000546639312836013</v>
      </c>
      <c r="D7" s="14" t="n">
        <f aca="false">D6-E6</f>
        <v>98646.9128228874</v>
      </c>
      <c r="E7" s="14" t="n">
        <f aca="false">D7*C7</f>
        <v>53.9242806388973</v>
      </c>
      <c r="F7" s="14" t="n">
        <f aca="false">D8+(E7/2)</f>
        <v>98619.950682568</v>
      </c>
      <c r="G7" s="14" t="n">
        <f aca="false">SUM(F7:F$105)</f>
        <v>7400723.11901567</v>
      </c>
      <c r="H7" s="15" t="n">
        <f aca="false">G7/D7</f>
        <v>75.0223489740938</v>
      </c>
      <c r="K7" s="10" t="s">
        <v>37</v>
      </c>
      <c r="L7" s="17" t="n">
        <f aca="false">'Datos INEGI'!N13</f>
        <v>22920.4729159576</v>
      </c>
    </row>
    <row r="8" customFormat="false" ht="15" hidden="false" customHeight="false" outlineLevel="0" collapsed="false">
      <c r="B8" s="12" t="n">
        <v>3</v>
      </c>
      <c r="C8" s="16" t="n">
        <f aca="false">'Datos INEGI'!N16/('Datos INEGI'!Q16+'Datos INEGI'!N16/2)</f>
        <v>0.000361887738247588</v>
      </c>
      <c r="D8" s="14" t="n">
        <f aca="false">D7-E7</f>
        <v>98592.9885422485</v>
      </c>
      <c r="E8" s="14" t="n">
        <f aca="false">D8*C8</f>
        <v>35.6795936306247</v>
      </c>
      <c r="F8" s="14" t="n">
        <f aca="false">D9+(E8/2)</f>
        <v>98575.1487454332</v>
      </c>
      <c r="G8" s="14" t="n">
        <f aca="false">SUM(F8:F$105)</f>
        <v>7302103.16833311</v>
      </c>
      <c r="H8" s="15" t="n">
        <f aca="false">G8/D8</f>
        <v>74.0631081002687</v>
      </c>
    </row>
    <row r="9" customFormat="false" ht="15" hidden="false" customHeight="false" outlineLevel="0" collapsed="false">
      <c r="B9" s="12" t="n">
        <v>4</v>
      </c>
      <c r="C9" s="16" t="n">
        <f aca="false">'Datos INEGI'!N17/('Datos INEGI'!Q17+'Datos INEGI'!N17/2)</f>
        <v>0.000292131421701076</v>
      </c>
      <c r="D9" s="14" t="n">
        <f aca="false">D8-E8</f>
        <v>98557.3089486179</v>
      </c>
      <c r="E9" s="14" t="n">
        <f aca="false">D9*C9</f>
        <v>28.7916867821919</v>
      </c>
      <c r="F9" s="14" t="n">
        <f aca="false">D10+(E9/2)</f>
        <v>98542.9131052268</v>
      </c>
      <c r="G9" s="14" t="n">
        <f aca="false">SUM(F9:F$105)</f>
        <v>7203528.01958767</v>
      </c>
      <c r="H9" s="15" t="n">
        <f aca="false">G9/D9</f>
        <v>73.0897393245911</v>
      </c>
      <c r="K9" s="10" t="s">
        <v>38</v>
      </c>
      <c r="L9" s="18" t="n">
        <f aca="false">L7/L6</f>
        <v>0.012423606379248</v>
      </c>
    </row>
    <row r="10" customFormat="false" ht="15" hidden="false" customHeight="false" outlineLevel="0" collapsed="false">
      <c r="B10" s="12" t="n">
        <v>5</v>
      </c>
      <c r="C10" s="16" t="n">
        <f aca="false">'Datos INEGI'!N18/('Datos INEGI'!Q18+'Datos INEGI'!N18/2)</f>
        <v>0.000253766920133824</v>
      </c>
      <c r="D10" s="14" t="n">
        <f aca="false">D9-E9</f>
        <v>98528.5172618357</v>
      </c>
      <c r="E10" s="14" t="n">
        <f aca="false">D10*C10</f>
        <v>25.0032783708884</v>
      </c>
      <c r="F10" s="14" t="n">
        <f aca="false">D11+(E10/2)</f>
        <v>98516.0156226503</v>
      </c>
      <c r="G10" s="14" t="n">
        <f aca="false">SUM(F10:F$105)</f>
        <v>7104985.10648244</v>
      </c>
      <c r="H10" s="15" t="n">
        <f aca="false">G10/D10</f>
        <v>72.1109512650152</v>
      </c>
      <c r="K10" s="3" t="s">
        <v>39</v>
      </c>
    </row>
    <row r="11" customFormat="false" ht="15" hidden="false" customHeight="false" outlineLevel="0" collapsed="false">
      <c r="B11" s="12" t="n">
        <v>6</v>
      </c>
      <c r="C11" s="16" t="n">
        <f aca="false">'Datos INEGI'!N19/('Datos INEGI'!Q19+'Datos INEGI'!N19/2)</f>
        <v>0.000227424637389945</v>
      </c>
      <c r="D11" s="14" t="n">
        <f aca="false">D10-E10</f>
        <v>98503.5139834648</v>
      </c>
      <c r="E11" s="14" t="n">
        <f aca="false">D11*C11</f>
        <v>22.4021259493249</v>
      </c>
      <c r="F11" s="14" t="n">
        <f aca="false">D12+(E11/2)</f>
        <v>98492.3129204902</v>
      </c>
      <c r="G11" s="14" t="n">
        <f aca="false">SUM(F11:F$105)</f>
        <v>7006469.09085979</v>
      </c>
      <c r="H11" s="15" t="n">
        <f aca="false">G11/D11</f>
        <v>71.1291283683131</v>
      </c>
      <c r="K11" s="3" t="s">
        <v>40</v>
      </c>
    </row>
    <row r="12" customFormat="false" ht="15" hidden="false" customHeight="false" outlineLevel="0" collapsed="false">
      <c r="B12" s="12" t="n">
        <v>7</v>
      </c>
      <c r="C12" s="16" t="n">
        <f aca="false">'Datos INEGI'!N20/('Datos INEGI'!Q20+'Datos INEGI'!N20/2)</f>
        <v>0.000229520748597036</v>
      </c>
      <c r="D12" s="14" t="n">
        <f aca="false">D11-E11</f>
        <v>98481.1118575155</v>
      </c>
      <c r="E12" s="14" t="n">
        <f aca="false">D12*C12</f>
        <v>22.6034585162054</v>
      </c>
      <c r="F12" s="14" t="n">
        <f aca="false">D13+(E12/2)</f>
        <v>98469.8101282574</v>
      </c>
      <c r="G12" s="14" t="n">
        <f aca="false">SUM(F12:F$105)</f>
        <v>6907976.7779393</v>
      </c>
      <c r="H12" s="15" t="n">
        <f aca="false">G12/D12</f>
        <v>70.1451948261298</v>
      </c>
      <c r="K12" s="10" t="s">
        <v>25</v>
      </c>
      <c r="L12" s="3" t="s">
        <v>41</v>
      </c>
    </row>
    <row r="13" customFormat="false" ht="15" hidden="false" customHeight="false" outlineLevel="0" collapsed="false">
      <c r="B13" s="12" t="n">
        <v>8</v>
      </c>
      <c r="C13" s="16" t="n">
        <f aca="false">'Datos INEGI'!N21/('Datos INEGI'!Q21+'Datos INEGI'!N21/2)</f>
        <v>0.000201117280336122</v>
      </c>
      <c r="D13" s="14" t="n">
        <f aca="false">D12-E12</f>
        <v>98458.5083989993</v>
      </c>
      <c r="E13" s="14" t="n">
        <f aca="false">D13*C13</f>
        <v>19.801707435158</v>
      </c>
      <c r="F13" s="14" t="n">
        <f aca="false">D14+(E13/2)</f>
        <v>98448.6075452817</v>
      </c>
      <c r="G13" s="14" t="n">
        <f aca="false">SUM(F13:F$105)</f>
        <v>6809506.96781105</v>
      </c>
      <c r="H13" s="15" t="n">
        <f aca="false">G13/D13</f>
        <v>69.1611835131179</v>
      </c>
    </row>
    <row r="14" customFormat="false" ht="15" hidden="false" customHeight="false" outlineLevel="0" collapsed="false">
      <c r="B14" s="12" t="n">
        <v>9</v>
      </c>
      <c r="C14" s="16" t="n">
        <f aca="false">'Datos INEGI'!N22/('Datos INEGI'!Q22+'Datos INEGI'!N22/2)</f>
        <v>0.000244502107201248</v>
      </c>
      <c r="D14" s="14" t="n">
        <f aca="false">D13-E13</f>
        <v>98438.7066915641</v>
      </c>
      <c r="E14" s="14" t="n">
        <f aca="false">D14*C14</f>
        <v>24.068471216253</v>
      </c>
      <c r="F14" s="14" t="n">
        <f aca="false">D15+(E14/2)</f>
        <v>98426.672455956</v>
      </c>
      <c r="G14" s="14" t="n">
        <f aca="false">SUM(F14:F$105)</f>
        <v>6711058.36026577</v>
      </c>
      <c r="H14" s="15" t="n">
        <f aca="false">G14/D14</f>
        <v>68.1749952413879</v>
      </c>
      <c r="K14" s="3" t="s">
        <v>42</v>
      </c>
    </row>
    <row r="15" customFormat="false" ht="15" hidden="false" customHeight="false" outlineLevel="0" collapsed="false">
      <c r="B15" s="12" t="n">
        <v>10</v>
      </c>
      <c r="C15" s="16" t="n">
        <f aca="false">'Datos INEGI'!N23/('Datos INEGI'!Q23+'Datos INEGI'!N23/2)</f>
        <v>0.00023455249519469</v>
      </c>
      <c r="D15" s="14" t="n">
        <f aca="false">D14-E14</f>
        <v>98414.6382203479</v>
      </c>
      <c r="E15" s="14" t="n">
        <f aca="false">D15*C15</f>
        <v>23.0833989582653</v>
      </c>
      <c r="F15" s="14" t="n">
        <f aca="false">D16+(E15/2)</f>
        <v>98403.0965208687</v>
      </c>
      <c r="G15" s="14" t="n">
        <f aca="false">SUM(F15:F$105)</f>
        <v>6612631.68780981</v>
      </c>
      <c r="H15" s="15" t="n">
        <f aca="false">G15/D15</f>
        <v>67.1915459670166</v>
      </c>
    </row>
    <row r="16" customFormat="false" ht="15" hidden="false" customHeight="false" outlineLevel="0" collapsed="false">
      <c r="B16" s="12" t="n">
        <v>11</v>
      </c>
      <c r="C16" s="16" t="n">
        <f aca="false">'Datos INEGI'!N24/('Datos INEGI'!Q24+'Datos INEGI'!N24/2)</f>
        <v>0.000259257624761094</v>
      </c>
      <c r="D16" s="14" t="n">
        <f aca="false">D15-E15</f>
        <v>98391.5548213896</v>
      </c>
      <c r="E16" s="14" t="n">
        <f aca="false">D16*C16</f>
        <v>25.5087607995444</v>
      </c>
      <c r="F16" s="14" t="n">
        <f aca="false">D17+(E16/2)</f>
        <v>98378.8004409898</v>
      </c>
      <c r="G16" s="14" t="n">
        <f aca="false">SUM(F16:F$105)</f>
        <v>6514228.59128894</v>
      </c>
      <c r="H16" s="15" t="n">
        <f aca="false">G16/D16</f>
        <v>66.2071923054192</v>
      </c>
      <c r="K16" s="3" t="s">
        <v>43</v>
      </c>
    </row>
    <row r="17" customFormat="false" ht="15" hidden="false" customHeight="false" outlineLevel="0" collapsed="false">
      <c r="B17" s="12" t="n">
        <v>12</v>
      </c>
      <c r="C17" s="16" t="n">
        <f aca="false">'Datos INEGI'!N25/('Datos INEGI'!Q25+'Datos INEGI'!N25/2)</f>
        <v>0.000289462720031504</v>
      </c>
      <c r="D17" s="14" t="n">
        <f aca="false">D16-E16</f>
        <v>98366.0460605901</v>
      </c>
      <c r="E17" s="14" t="n">
        <f aca="false">D17*C17</f>
        <v>28.4733032514426</v>
      </c>
      <c r="F17" s="14" t="n">
        <f aca="false">D18+(E17/2)</f>
        <v>98351.8094089643</v>
      </c>
      <c r="G17" s="14" t="n">
        <f aca="false">SUM(F17:F$105)</f>
        <v>6415849.79084795</v>
      </c>
      <c r="H17" s="15" t="n">
        <f aca="false">G17/D17</f>
        <v>65.2242318136485</v>
      </c>
      <c r="K17" s="3" t="s">
        <v>44</v>
      </c>
    </row>
    <row r="18" customFormat="false" ht="15" hidden="false" customHeight="false" outlineLevel="0" collapsed="false">
      <c r="B18" s="12" t="n">
        <v>13</v>
      </c>
      <c r="C18" s="16" t="n">
        <f aca="false">'Datos INEGI'!N26/('Datos INEGI'!Q26+'Datos INEGI'!N26/2)</f>
        <v>0.000350520857123599</v>
      </c>
      <c r="D18" s="14" t="n">
        <f aca="false">D17-E17</f>
        <v>98337.5727573386</v>
      </c>
      <c r="E18" s="14" t="n">
        <f aca="false">D18*C18</f>
        <v>34.4693702903567</v>
      </c>
      <c r="F18" s="14" t="n">
        <f aca="false">D19+(E18/2)</f>
        <v>98320.3380721934</v>
      </c>
      <c r="G18" s="14" t="n">
        <f aca="false">SUM(F18:F$105)</f>
        <v>6317497.98143899</v>
      </c>
      <c r="H18" s="15" t="n">
        <f aca="false">G18/D18</f>
        <v>64.2429724905685</v>
      </c>
    </row>
    <row r="19" customFormat="false" ht="15" hidden="false" customHeight="false" outlineLevel="0" collapsed="false">
      <c r="B19" s="12" t="n">
        <v>14</v>
      </c>
      <c r="C19" s="16" t="n">
        <f aca="false">'Datos INEGI'!N27/('Datos INEGI'!Q27+'Datos INEGI'!N27/2)</f>
        <v>0.000446097515377046</v>
      </c>
      <c r="D19" s="14" t="n">
        <f aca="false">D18-E18</f>
        <v>98303.1033870483</v>
      </c>
      <c r="E19" s="14" t="n">
        <f aca="false">D19*C19</f>
        <v>43.8527701748151</v>
      </c>
      <c r="F19" s="14" t="n">
        <f aca="false">D20+(E19/2)</f>
        <v>98281.1770019609</v>
      </c>
      <c r="G19" s="14" t="n">
        <f aca="false">SUM(F19:F$105)</f>
        <v>6219177.64336679</v>
      </c>
      <c r="H19" s="15" t="n">
        <f aca="false">G19/D19</f>
        <v>63.2653235664398</v>
      </c>
      <c r="K19" s="10" t="s">
        <v>45</v>
      </c>
      <c r="L19" s="19" t="n">
        <f aca="false">SUM(E5:E105)-Radix</f>
        <v>0</v>
      </c>
    </row>
    <row r="20" customFormat="false" ht="15" hidden="false" customHeight="false" outlineLevel="0" collapsed="false">
      <c r="B20" s="12" t="n">
        <v>15</v>
      </c>
      <c r="C20" s="16" t="n">
        <f aca="false">'Datos INEGI'!N28/('Datos INEGI'!Q28+'Datos INEGI'!N28/2)</f>
        <v>0.000558882982893938</v>
      </c>
      <c r="D20" s="14" t="n">
        <f aca="false">D19-E19</f>
        <v>98259.2506168735</v>
      </c>
      <c r="E20" s="14" t="n">
        <f aca="false">D20*C20</f>
        <v>54.9154230816812</v>
      </c>
      <c r="F20" s="14" t="n">
        <f aca="false">D21+(E20/2)</f>
        <v>98231.7929053326</v>
      </c>
      <c r="G20" s="14" t="n">
        <f aca="false">SUM(F20:F$105)</f>
        <v>6120896.46636483</v>
      </c>
      <c r="H20" s="15" t="n">
        <f aca="false">G20/D20</f>
        <v>62.2933355173963</v>
      </c>
    </row>
    <row r="21" customFormat="false" ht="15" hidden="false" customHeight="false" outlineLevel="0" collapsed="false">
      <c r="B21" s="12" t="n">
        <v>16</v>
      </c>
      <c r="C21" s="16" t="n">
        <f aca="false">'Datos INEGI'!N29/('Datos INEGI'!Q29+'Datos INEGI'!N29/2)</f>
        <v>0.000687332180307395</v>
      </c>
      <c r="D21" s="14" t="n">
        <f aca="false">D20-E20</f>
        <v>98204.3351937918</v>
      </c>
      <c r="E21" s="14" t="n">
        <f aca="false">D21*C21</f>
        <v>67.4989998243872</v>
      </c>
      <c r="F21" s="14" t="n">
        <f aca="false">D22+(E21/2)</f>
        <v>98170.5856938796</v>
      </c>
      <c r="G21" s="14" t="n">
        <f aca="false">SUM(F21:F$105)</f>
        <v>6022664.6734595</v>
      </c>
      <c r="H21" s="15" t="n">
        <f aca="false">G21/D21</f>
        <v>61.3278900730264</v>
      </c>
      <c r="K21" s="3" t="s">
        <v>46</v>
      </c>
    </row>
    <row r="22" customFormat="false" ht="15" hidden="false" customHeight="false" outlineLevel="0" collapsed="false">
      <c r="B22" s="12" t="n">
        <v>17</v>
      </c>
      <c r="C22" s="16" t="n">
        <f aca="false">'Datos INEGI'!N30/('Datos INEGI'!Q30+'Datos INEGI'!N30/2)</f>
        <v>0.000840082199840163</v>
      </c>
      <c r="D22" s="14" t="n">
        <f aca="false">D21-E21</f>
        <v>98136.8361939674</v>
      </c>
      <c r="E22" s="14" t="n">
        <f aca="false">D22*C22</f>
        <v>82.4430092351818</v>
      </c>
      <c r="F22" s="14" t="n">
        <f aca="false">D23+(E22/2)</f>
        <v>98095.6146893498</v>
      </c>
      <c r="G22" s="14" t="n">
        <f aca="false">SUM(F22:F$105)</f>
        <v>5924494.08776562</v>
      </c>
      <c r="H22" s="15" t="n">
        <f aca="false">G22/D22</f>
        <v>60.369727795747</v>
      </c>
    </row>
    <row r="23" customFormat="false" ht="15" hidden="false" customHeight="false" outlineLevel="0" collapsed="false">
      <c r="B23" s="12" t="n">
        <v>18</v>
      </c>
      <c r="C23" s="16" t="n">
        <f aca="false">'Datos INEGI'!N31/('Datos INEGI'!Q31+'Datos INEGI'!N31/2)</f>
        <v>0.000976742647406302</v>
      </c>
      <c r="D23" s="14" t="n">
        <f aca="false">D22-E22</f>
        <v>98054.3931847322</v>
      </c>
      <c r="E23" s="14" t="n">
        <f aca="false">D23*C23</f>
        <v>95.7739075890738</v>
      </c>
      <c r="F23" s="14" t="n">
        <f aca="false">D24+(E23/2)</f>
        <v>98006.5062309377</v>
      </c>
      <c r="G23" s="14" t="n">
        <f aca="false">SUM(F23:F$105)</f>
        <v>5826398.47307627</v>
      </c>
      <c r="H23" s="15" t="n">
        <f aca="false">G23/D23</f>
        <v>59.4200655762508</v>
      </c>
    </row>
    <row r="24" customFormat="false" ht="15" hidden="false" customHeight="false" outlineLevel="0" collapsed="false">
      <c r="B24" s="12" t="n">
        <v>19</v>
      </c>
      <c r="C24" s="16" t="n">
        <f aca="false">'Datos INEGI'!N32/('Datos INEGI'!Q32+'Datos INEGI'!N32/2)</f>
        <v>0.00111800778499004</v>
      </c>
      <c r="D24" s="14" t="n">
        <f aca="false">D23-E23</f>
        <v>97958.6192771431</v>
      </c>
      <c r="E24" s="14" t="n">
        <f aca="false">D24*C24</f>
        <v>109.518498958721</v>
      </c>
      <c r="F24" s="14" t="n">
        <f aca="false">D25+(E24/2)</f>
        <v>97903.8600276638</v>
      </c>
      <c r="G24" s="14" t="n">
        <f aca="false">SUM(F24:F$105)</f>
        <v>5728391.96684533</v>
      </c>
      <c r="H24" s="15" t="n">
        <f aca="false">G24/D24</f>
        <v>58.477671583331</v>
      </c>
    </row>
    <row r="25" customFormat="false" ht="15" hidden="false" customHeight="false" outlineLevel="0" collapsed="false">
      <c r="B25" s="12" t="n">
        <v>20</v>
      </c>
      <c r="C25" s="16" t="n">
        <f aca="false">'Datos INEGI'!N33/('Datos INEGI'!Q33+'Datos INEGI'!N33/2)</f>
        <v>0.00123340812916362</v>
      </c>
      <c r="D25" s="14" t="n">
        <f aca="false">D24-E24</f>
        <v>97849.1007781844</v>
      </c>
      <c r="E25" s="14" t="n">
        <f aca="false">D25*C25</f>
        <v>120.687876331163</v>
      </c>
      <c r="F25" s="14" t="n">
        <f aca="false">D26+(E25/2)</f>
        <v>97788.7568400188</v>
      </c>
      <c r="G25" s="14" t="n">
        <f aca="false">SUM(F25:F$105)</f>
        <v>5630488.10681767</v>
      </c>
      <c r="H25" s="15" t="n">
        <f aca="false">G25/D25</f>
        <v>57.5425636213204</v>
      </c>
    </row>
    <row r="26" customFormat="false" ht="15" hidden="false" customHeight="false" outlineLevel="0" collapsed="false">
      <c r="B26" s="12" t="n">
        <v>21</v>
      </c>
      <c r="C26" s="16" t="n">
        <f aca="false">'Datos INEGI'!N34/('Datos INEGI'!Q34+'Datos INEGI'!N34/2)</f>
        <v>0.0013665091794352</v>
      </c>
      <c r="D26" s="14" t="n">
        <f aca="false">D25-E25</f>
        <v>97728.4129018533</v>
      </c>
      <c r="E26" s="14" t="n">
        <f aca="false">D26*C26</f>
        <v>133.546773322016</v>
      </c>
      <c r="F26" s="14" t="n">
        <f aca="false">D27+(E26/2)</f>
        <v>97661.6395151923</v>
      </c>
      <c r="G26" s="14" t="n">
        <f aca="false">SUM(F26:F$105)</f>
        <v>5532699.34997765</v>
      </c>
      <c r="H26" s="15" t="n">
        <f aca="false">G26/D26</f>
        <v>56.6130072687667</v>
      </c>
    </row>
    <row r="27" customFormat="false" ht="15" hidden="false" customHeight="false" outlineLevel="0" collapsed="false">
      <c r="B27" s="12" t="n">
        <v>22</v>
      </c>
      <c r="C27" s="16" t="n">
        <f aca="false">'Datos INEGI'!N35/('Datos INEGI'!Q35+'Datos INEGI'!N35/2)</f>
        <v>0.00144596607026434</v>
      </c>
      <c r="D27" s="14" t="n">
        <f aca="false">D26-E26</f>
        <v>97594.8661285312</v>
      </c>
      <c r="E27" s="14" t="n">
        <f aca="false">D27*C27</f>
        <v>141.118865053847</v>
      </c>
      <c r="F27" s="14" t="n">
        <f aca="false">D28+(E27/2)</f>
        <v>97524.3066960043</v>
      </c>
      <c r="G27" s="14" t="n">
        <f aca="false">SUM(F27:F$105)</f>
        <v>5435037.71046246</v>
      </c>
      <c r="H27" s="15" t="n">
        <f aca="false">G27/D27</f>
        <v>55.689791134142</v>
      </c>
    </row>
    <row r="28" customFormat="false" ht="15" hidden="false" customHeight="false" outlineLevel="0" collapsed="false">
      <c r="B28" s="12" t="n">
        <v>23</v>
      </c>
      <c r="C28" s="16" t="n">
        <f aca="false">'Datos INEGI'!N36/('Datos INEGI'!Q36+'Datos INEGI'!N36/2)</f>
        <v>0.0015462703157002</v>
      </c>
      <c r="D28" s="14" t="n">
        <f aca="false">D27-E27</f>
        <v>97453.7472634774</v>
      </c>
      <c r="E28" s="14" t="n">
        <f aca="false">D28*C28</f>
        <v>150.689836547265</v>
      </c>
      <c r="F28" s="14" t="n">
        <f aca="false">D29+(E28/2)</f>
        <v>97378.4023452038</v>
      </c>
      <c r="G28" s="14" t="n">
        <f aca="false">SUM(F28:F$105)</f>
        <v>5337513.40376645</v>
      </c>
      <c r="H28" s="15" t="n">
        <f aca="false">G28/D28</f>
        <v>54.7697092584431</v>
      </c>
    </row>
    <row r="29" customFormat="false" ht="15" hidden="false" customHeight="false" outlineLevel="0" collapsed="false">
      <c r="B29" s="12" t="n">
        <v>24</v>
      </c>
      <c r="C29" s="16" t="n">
        <f aca="false">'Datos INEGI'!N37/('Datos INEGI'!Q37+'Datos INEGI'!N37/2)</f>
        <v>0.00159575716142076</v>
      </c>
      <c r="D29" s="14" t="n">
        <f aca="false">D28-E28</f>
        <v>97303.0574269301</v>
      </c>
      <c r="E29" s="14" t="n">
        <f aca="false">D29*C29</f>
        <v>155.27205071716</v>
      </c>
      <c r="F29" s="14" t="n">
        <f aca="false">D30+(E29/2)</f>
        <v>97225.4214015715</v>
      </c>
      <c r="G29" s="14" t="n">
        <f aca="false">SUM(F29:F$105)</f>
        <v>5240135.00142125</v>
      </c>
      <c r="H29" s="15" t="n">
        <f aca="false">G29/D29</f>
        <v>53.853754856124</v>
      </c>
    </row>
    <row r="30" customFormat="false" ht="15" hidden="false" customHeight="false" outlineLevel="0" collapsed="false">
      <c r="B30" s="12" t="n">
        <v>25</v>
      </c>
      <c r="C30" s="16" t="n">
        <f aca="false">'Datos INEGI'!N38/('Datos INEGI'!Q38+'Datos INEGI'!N38/2)</f>
        <v>0.00169613797195842</v>
      </c>
      <c r="D30" s="14" t="n">
        <f aca="false">D29-E29</f>
        <v>97147.785376213</v>
      </c>
      <c r="E30" s="14" t="n">
        <f aca="false">D30*C30</f>
        <v>164.776047668261</v>
      </c>
      <c r="F30" s="14" t="n">
        <f aca="false">D31+(E30/2)</f>
        <v>97065.3973523788</v>
      </c>
      <c r="G30" s="14" t="n">
        <f aca="false">SUM(F30:F$105)</f>
        <v>5142909.58001968</v>
      </c>
      <c r="H30" s="15" t="n">
        <f aca="false">G30/D30</f>
        <v>52.9390305718584</v>
      </c>
    </row>
    <row r="31" customFormat="false" ht="15" hidden="false" customHeight="false" outlineLevel="0" collapsed="false">
      <c r="B31" s="12" t="n">
        <v>26</v>
      </c>
      <c r="C31" s="16" t="n">
        <f aca="false">'Datos INEGI'!N39/('Datos INEGI'!Q39+'Datos INEGI'!N39/2)</f>
        <v>0.0017366626628428</v>
      </c>
      <c r="D31" s="14" t="n">
        <f aca="false">D30-E30</f>
        <v>96983.0093285447</v>
      </c>
      <c r="E31" s="14" t="n">
        <f aca="false">D31*C31</f>
        <v>168.426771231019</v>
      </c>
      <c r="F31" s="14" t="n">
        <f aca="false">D32+(E31/2)</f>
        <v>96898.7959429292</v>
      </c>
      <c r="G31" s="14" t="n">
        <f aca="false">SUM(F31:F$105)</f>
        <v>5045844.1826673</v>
      </c>
      <c r="H31" s="15" t="n">
        <f aca="false">G31/D31</f>
        <v>52.0281255201489</v>
      </c>
    </row>
    <row r="32" customFormat="false" ht="15" hidden="false" customHeight="false" outlineLevel="0" collapsed="false">
      <c r="B32" s="12" t="n">
        <v>27</v>
      </c>
      <c r="C32" s="16" t="n">
        <f aca="false">'Datos INEGI'!N40/('Datos INEGI'!Q40+'Datos INEGI'!N40/2)</f>
        <v>0.0018041345276326</v>
      </c>
      <c r="D32" s="14" t="n">
        <f aca="false">D31-E31</f>
        <v>96814.5825573137</v>
      </c>
      <c r="E32" s="14" t="n">
        <f aca="false">D32*C32</f>
        <v>174.666531169986</v>
      </c>
      <c r="F32" s="14" t="n">
        <f aca="false">D33+(E32/2)</f>
        <v>96727.2492917287</v>
      </c>
      <c r="G32" s="14" t="n">
        <f aca="false">SUM(F32:F$105)</f>
        <v>4948945.38672437</v>
      </c>
      <c r="H32" s="15" t="n">
        <f aca="false">G32/D32</f>
        <v>51.1177681708706</v>
      </c>
    </row>
    <row r="33" customFormat="false" ht="15" hidden="false" customHeight="false" outlineLevel="0" collapsed="false">
      <c r="B33" s="12" t="n">
        <v>28</v>
      </c>
      <c r="C33" s="16" t="n">
        <f aca="false">'Datos INEGI'!N41/('Datos INEGI'!Q41+'Datos INEGI'!N41/2)</f>
        <v>0.00179808260494662</v>
      </c>
      <c r="D33" s="14" t="n">
        <f aca="false">D32-E32</f>
        <v>96639.9160261437</v>
      </c>
      <c r="E33" s="14" t="n">
        <f aca="false">D33*C33</f>
        <v>173.766551950111</v>
      </c>
      <c r="F33" s="14" t="n">
        <f aca="false">D34+(E33/2)</f>
        <v>96553.0327501686</v>
      </c>
      <c r="G33" s="14" t="n">
        <f aca="false">SUM(F33:F$105)</f>
        <v>4852218.13743264</v>
      </c>
      <c r="H33" s="15" t="n">
        <f aca="false">G33/D33</f>
        <v>50.2092544877624</v>
      </c>
    </row>
    <row r="34" customFormat="false" ht="15" hidden="false" customHeight="false" outlineLevel="0" collapsed="false">
      <c r="B34" s="12" t="n">
        <v>29</v>
      </c>
      <c r="C34" s="16" t="n">
        <f aca="false">'Datos INEGI'!N42/('Datos INEGI'!Q42+'Datos INEGI'!N42/2)</f>
        <v>0.0018948607212704</v>
      </c>
      <c r="D34" s="14" t="n">
        <f aca="false">D33-E33</f>
        <v>96466.1494741936</v>
      </c>
      <c r="E34" s="14" t="n">
        <f aca="false">D34*C34</f>
        <v>182.789917570849</v>
      </c>
      <c r="F34" s="14" t="n">
        <f aca="false">D35+(E34/2)</f>
        <v>96374.7545154082</v>
      </c>
      <c r="G34" s="14" t="n">
        <f aca="false">SUM(F34:F$105)</f>
        <v>4755665.10468247</v>
      </c>
      <c r="H34" s="15" t="n">
        <f aca="false">G34/D34</f>
        <v>49.2987968381043</v>
      </c>
    </row>
    <row r="35" customFormat="false" ht="15" hidden="false" customHeight="false" outlineLevel="0" collapsed="false">
      <c r="B35" s="12" t="n">
        <v>30</v>
      </c>
      <c r="C35" s="16" t="n">
        <f aca="false">'Datos INEGI'!N43/('Datos INEGI'!Q43+'Datos INEGI'!N43/2)</f>
        <v>0.00188333854688405</v>
      </c>
      <c r="D35" s="14" t="n">
        <f aca="false">D34-E34</f>
        <v>96283.3595566227</v>
      </c>
      <c r="E35" s="14" t="n">
        <f aca="false">D35*C35</f>
        <v>181.334162476485</v>
      </c>
      <c r="F35" s="14" t="n">
        <f aca="false">D36+(E35/2)</f>
        <v>96192.6924753845</v>
      </c>
      <c r="G35" s="14" t="n">
        <f aca="false">SUM(F35:F$105)</f>
        <v>4659290.35016706</v>
      </c>
      <c r="H35" s="15" t="n">
        <f aca="false">G35/D35</f>
        <v>48.3914393060517</v>
      </c>
    </row>
    <row r="36" customFormat="false" ht="15" hidden="false" customHeight="false" outlineLevel="0" collapsed="false">
      <c r="B36" s="12" t="n">
        <v>31</v>
      </c>
      <c r="C36" s="16" t="n">
        <f aca="false">'Datos INEGI'!N44/('Datos INEGI'!Q44+'Datos INEGI'!N44/2)</f>
        <v>0.00194757699128177</v>
      </c>
      <c r="D36" s="14" t="n">
        <f aca="false">D35-E35</f>
        <v>96102.0253941462</v>
      </c>
      <c r="E36" s="14" t="n">
        <f aca="false">D36*C36</f>
        <v>187.166093473215</v>
      </c>
      <c r="F36" s="14" t="n">
        <f aca="false">D37+(E36/2)</f>
        <v>96008.4423474096</v>
      </c>
      <c r="G36" s="14" t="n">
        <f aca="false">SUM(F36:F$105)</f>
        <v>4563097.65769168</v>
      </c>
      <c r="H36" s="15" t="n">
        <f aca="false">G36/D36</f>
        <v>47.4818052895025</v>
      </c>
    </row>
    <row r="37" customFormat="false" ht="15" hidden="false" customHeight="false" outlineLevel="0" collapsed="false">
      <c r="B37" s="12" t="n">
        <v>32</v>
      </c>
      <c r="C37" s="16" t="n">
        <f aca="false">'Datos INEGI'!N45/('Datos INEGI'!Q45+'Datos INEGI'!N45/2)</f>
        <v>0.00198688912319311</v>
      </c>
      <c r="D37" s="14" t="n">
        <f aca="false">D36-E36</f>
        <v>95914.859300673</v>
      </c>
      <c r="E37" s="14" t="n">
        <f aca="false">D37*C37</f>
        <v>190.572190697104</v>
      </c>
      <c r="F37" s="14" t="n">
        <f aca="false">D38+(E37/2)</f>
        <v>95819.5732053245</v>
      </c>
      <c r="G37" s="14" t="n">
        <f aca="false">SUM(F37:F$105)</f>
        <v>4467089.21534427</v>
      </c>
      <c r="H37" s="15" t="n">
        <f aca="false">G37/D37</f>
        <v>46.5734845248626</v>
      </c>
    </row>
    <row r="38" customFormat="false" ht="15" hidden="false" customHeight="false" outlineLevel="0" collapsed="false">
      <c r="B38" s="12" t="n">
        <v>33</v>
      </c>
      <c r="C38" s="16" t="n">
        <f aca="false">'Datos INEGI'!N46/('Datos INEGI'!Q46+'Datos INEGI'!N46/2)</f>
        <v>0.00210124884763712</v>
      </c>
      <c r="D38" s="14" t="n">
        <f aca="false">D37-E37</f>
        <v>95724.2871099759</v>
      </c>
      <c r="E38" s="14" t="n">
        <f aca="false">D38*C38</f>
        <v>201.140547980721</v>
      </c>
      <c r="F38" s="14" t="n">
        <f aca="false">D39+(E38/2)</f>
        <v>95623.7168359856</v>
      </c>
      <c r="G38" s="14" t="n">
        <f aca="false">SUM(F38:F$105)</f>
        <v>4371269.64213895</v>
      </c>
      <c r="H38" s="15" t="n">
        <f aca="false">G38/D38</f>
        <v>45.6652096778414</v>
      </c>
    </row>
    <row r="39" customFormat="false" ht="15" hidden="false" customHeight="false" outlineLevel="0" collapsed="false">
      <c r="B39" s="12" t="n">
        <v>34</v>
      </c>
      <c r="C39" s="16" t="n">
        <f aca="false">'Datos INEGI'!N47/('Datos INEGI'!Q47+'Datos INEGI'!N47/2)</f>
        <v>0.00207029165043894</v>
      </c>
      <c r="D39" s="14" t="n">
        <f aca="false">D38-E38</f>
        <v>95523.1465619952</v>
      </c>
      <c r="E39" s="14" t="n">
        <f aca="false">D39*C39</f>
        <v>197.760772750954</v>
      </c>
      <c r="F39" s="14" t="n">
        <f aca="false">D40+(E39/2)</f>
        <v>95424.2661756197</v>
      </c>
      <c r="G39" s="14" t="n">
        <f aca="false">SUM(F39:F$105)</f>
        <v>4275645.92530296</v>
      </c>
      <c r="H39" s="15" t="n">
        <f aca="false">G39/D39</f>
        <v>44.7603128580782</v>
      </c>
    </row>
    <row r="40" customFormat="false" ht="15" hidden="false" customHeight="false" outlineLevel="0" collapsed="false">
      <c r="B40" s="12" t="n">
        <v>35</v>
      </c>
      <c r="C40" s="16" t="n">
        <f aca="false">'Datos INEGI'!N48/('Datos INEGI'!Q48+'Datos INEGI'!N48/2)</f>
        <v>0.00222493651628972</v>
      </c>
      <c r="D40" s="14" t="n">
        <f aca="false">D39-E39</f>
        <v>95325.3857892443</v>
      </c>
      <c r="E40" s="14" t="n">
        <f aca="false">D40*C40</f>
        <v>212.092931771895</v>
      </c>
      <c r="F40" s="14" t="n">
        <f aca="false">D41+(E40/2)</f>
        <v>95219.3393233583</v>
      </c>
      <c r="G40" s="14" t="n">
        <f aca="false">SUM(F40:F$105)</f>
        <v>4180221.65912734</v>
      </c>
      <c r="H40" s="15" t="n">
        <f aca="false">G40/D40</f>
        <v>43.8521347122521</v>
      </c>
    </row>
    <row r="41" customFormat="false" ht="15" hidden="false" customHeight="false" outlineLevel="0" collapsed="false">
      <c r="B41" s="12" t="n">
        <v>36</v>
      </c>
      <c r="C41" s="16" t="n">
        <f aca="false">'Datos INEGI'!N49/('Datos INEGI'!Q49+'Datos INEGI'!N49/2)</f>
        <v>0.00223567488305793</v>
      </c>
      <c r="D41" s="14" t="n">
        <f aca="false">D40-E40</f>
        <v>95113.2928574724</v>
      </c>
      <c r="E41" s="14" t="n">
        <f aca="false">D41*C41</f>
        <v>212.642399886384</v>
      </c>
      <c r="F41" s="14" t="n">
        <f aca="false">D42+(E41/2)</f>
        <v>95006.9716575292</v>
      </c>
      <c r="G41" s="14" t="n">
        <f aca="false">SUM(F41:F$105)</f>
        <v>4085002.31980398</v>
      </c>
      <c r="H41" s="15" t="n">
        <f aca="false">G41/D41</f>
        <v>42.9488055463012</v>
      </c>
    </row>
    <row r="42" customFormat="false" ht="15" hidden="false" customHeight="false" outlineLevel="0" collapsed="false">
      <c r="B42" s="12" t="n">
        <v>37</v>
      </c>
      <c r="C42" s="16" t="n">
        <f aca="false">'Datos INEGI'!N50/('Datos INEGI'!Q50+'Datos INEGI'!N50/2)</f>
        <v>0.00233128038812478</v>
      </c>
      <c r="D42" s="14" t="n">
        <f aca="false">D41-E41</f>
        <v>94900.650457586</v>
      </c>
      <c r="E42" s="14" t="n">
        <f aca="false">D42*C42</f>
        <v>221.240025232055</v>
      </c>
      <c r="F42" s="14" t="n">
        <f aca="false">D43+(E42/2)</f>
        <v>94790.0304449699</v>
      </c>
      <c r="G42" s="14" t="n">
        <f aca="false">SUM(F42:F$105)</f>
        <v>3989995.34814645</v>
      </c>
      <c r="H42" s="15" t="n">
        <f aca="false">G42/D42</f>
        <v>42.0439199194921</v>
      </c>
    </row>
    <row r="43" customFormat="false" ht="15" hidden="false" customHeight="false" outlineLevel="0" collapsed="false">
      <c r="B43" s="12" t="n">
        <v>38</v>
      </c>
      <c r="C43" s="16" t="n">
        <f aca="false">'Datos INEGI'!N51/('Datos INEGI'!Q51+'Datos INEGI'!N51/2)</f>
        <v>0.00235022293880435</v>
      </c>
      <c r="D43" s="14" t="n">
        <f aca="false">D42-E42</f>
        <v>94679.4104323539</v>
      </c>
      <c r="E43" s="14" t="n">
        <f aca="false">D43*C43</f>
        <v>222.51772223059</v>
      </c>
      <c r="F43" s="14" t="n">
        <f aca="false">D44+(E43/2)</f>
        <v>94568.1515712386</v>
      </c>
      <c r="G43" s="14" t="n">
        <f aca="false">SUM(F43:F$105)</f>
        <v>3895205.31770148</v>
      </c>
      <c r="H43" s="15" t="n">
        <f aca="false">G43/D43</f>
        <v>41.1409967585773</v>
      </c>
    </row>
    <row r="44" customFormat="false" ht="15" hidden="false" customHeight="false" outlineLevel="0" collapsed="false">
      <c r="B44" s="12" t="n">
        <v>39</v>
      </c>
      <c r="C44" s="16" t="n">
        <f aca="false">'Datos INEGI'!N52/('Datos INEGI'!Q52+'Datos INEGI'!N52/2)</f>
        <v>0.00258994760185563</v>
      </c>
      <c r="D44" s="14" t="n">
        <f aca="false">D43-E43</f>
        <v>94456.8927101233</v>
      </c>
      <c r="E44" s="14" t="n">
        <f aca="false">D44*C44</f>
        <v>244.638402753319</v>
      </c>
      <c r="F44" s="14" t="n">
        <f aca="false">D45+(E44/2)</f>
        <v>94334.5735087467</v>
      </c>
      <c r="G44" s="14" t="n">
        <f aca="false">SUM(F44:F$105)</f>
        <v>3800637.16613024</v>
      </c>
      <c r="H44" s="15" t="n">
        <f aca="false">G44/D44</f>
        <v>40.2367371727327</v>
      </c>
    </row>
    <row r="45" customFormat="false" ht="15" hidden="false" customHeight="false" outlineLevel="0" collapsed="false">
      <c r="B45" s="12" t="n">
        <v>40</v>
      </c>
      <c r="C45" s="16" t="n">
        <f aca="false">'Datos INEGI'!N53/('Datos INEGI'!Q53+'Datos INEGI'!N53/2)</f>
        <v>0.00259156906285866</v>
      </c>
      <c r="D45" s="14" t="n">
        <f aca="false">D44-E44</f>
        <v>94212.25430737</v>
      </c>
      <c r="E45" s="14" t="n">
        <f aca="false">D45*C45</f>
        <v>244.157563605153</v>
      </c>
      <c r="F45" s="14" t="n">
        <f aca="false">D46+(E45/2)</f>
        <v>94090.1755255674</v>
      </c>
      <c r="G45" s="14" t="n">
        <f aca="false">SUM(F45:F$105)</f>
        <v>3706302.5926215</v>
      </c>
      <c r="H45" s="15" t="n">
        <f aca="false">G45/D45</f>
        <v>39.339920479236</v>
      </c>
    </row>
    <row r="46" customFormat="false" ht="15" hidden="false" customHeight="false" outlineLevel="0" collapsed="false">
      <c r="B46" s="12" t="n">
        <v>41</v>
      </c>
      <c r="C46" s="16" t="n">
        <f aca="false">'Datos INEGI'!N54/('Datos INEGI'!Q54+'Datos INEGI'!N54/2)</f>
        <v>0.0028113712979607</v>
      </c>
      <c r="D46" s="14" t="n">
        <f aca="false">D45-E45</f>
        <v>93968.0967437648</v>
      </c>
      <c r="E46" s="14" t="n">
        <f aca="false">D46*C46</f>
        <v>264.179210109415</v>
      </c>
      <c r="F46" s="14" t="n">
        <f aca="false">D47+(E46/2)</f>
        <v>93836.0071387101</v>
      </c>
      <c r="G46" s="14" t="n">
        <f aca="false">SUM(F46:F$105)</f>
        <v>3612212.41709593</v>
      </c>
      <c r="H46" s="15" t="n">
        <f aca="false">G46/D46</f>
        <v>38.4408383511888</v>
      </c>
    </row>
    <row r="47" customFormat="false" ht="15" hidden="false" customHeight="false" outlineLevel="0" collapsed="false">
      <c r="B47" s="12" t="n">
        <v>42</v>
      </c>
      <c r="C47" s="16" t="n">
        <f aca="false">'Datos INEGI'!N55/('Datos INEGI'!Q55+'Datos INEGI'!N55/2)</f>
        <v>0.00303226066448639</v>
      </c>
      <c r="D47" s="14" t="n">
        <f aca="false">D46-E46</f>
        <v>93703.9175336554</v>
      </c>
      <c r="E47" s="14" t="n">
        <f aca="false">D47*C47</f>
        <v>284.13470324558</v>
      </c>
      <c r="F47" s="14" t="n">
        <f aca="false">D48+(E47/2)</f>
        <v>93561.8501820326</v>
      </c>
      <c r="G47" s="14" t="n">
        <f aca="false">SUM(F47:F$105)</f>
        <v>3518376.40995722</v>
      </c>
      <c r="H47" s="15" t="n">
        <f aca="false">G47/D47</f>
        <v>37.5478048577161</v>
      </c>
    </row>
    <row r="48" customFormat="false" ht="15" hidden="false" customHeight="false" outlineLevel="0" collapsed="false">
      <c r="B48" s="12" t="n">
        <v>43</v>
      </c>
      <c r="C48" s="16" t="n">
        <f aca="false">'Datos INEGI'!N56/('Datos INEGI'!Q56+'Datos INEGI'!N56/2)</f>
        <v>0.00330914338949011</v>
      </c>
      <c r="D48" s="14" t="n">
        <f aca="false">D47-E47</f>
        <v>93419.7828304098</v>
      </c>
      <c r="E48" s="14" t="n">
        <f aca="false">D48*C48</f>
        <v>309.139456800853</v>
      </c>
      <c r="F48" s="14" t="n">
        <f aca="false">D49+(E48/2)</f>
        <v>93265.2131020094</v>
      </c>
      <c r="G48" s="14" t="n">
        <f aca="false">SUM(F48:F$105)</f>
        <v>3424814.55977519</v>
      </c>
      <c r="H48" s="15" t="n">
        <f aca="false">G48/D48</f>
        <v>36.6604851350644</v>
      </c>
    </row>
    <row r="49" customFormat="false" ht="15" hidden="false" customHeight="false" outlineLevel="0" collapsed="false">
      <c r="B49" s="12" t="n">
        <v>44</v>
      </c>
      <c r="C49" s="16" t="n">
        <f aca="false">'Datos INEGI'!N57/('Datos INEGI'!Q57+'Datos INEGI'!N57/2)</f>
        <v>0.00343418085080008</v>
      </c>
      <c r="D49" s="14" t="n">
        <f aca="false">D48-E48</f>
        <v>93110.643373609</v>
      </c>
      <c r="E49" s="14" t="n">
        <f aca="false">D49*C49</f>
        <v>319.758788479324</v>
      </c>
      <c r="F49" s="14" t="n">
        <f aca="false">D50+(E49/2)</f>
        <v>92950.7639793693</v>
      </c>
      <c r="G49" s="14" t="n">
        <f aca="false">SUM(F49:F$105)</f>
        <v>3331549.34667318</v>
      </c>
      <c r="H49" s="15" t="n">
        <f aca="false">G49/D49</f>
        <v>35.7805426529516</v>
      </c>
    </row>
    <row r="50" customFormat="false" ht="15" hidden="false" customHeight="false" outlineLevel="0" collapsed="false">
      <c r="B50" s="12" t="n">
        <v>45</v>
      </c>
      <c r="C50" s="16" t="n">
        <f aca="false">'Datos INEGI'!N58/('Datos INEGI'!Q58+'Datos INEGI'!N58/2)</f>
        <v>0.00382590175095083</v>
      </c>
      <c r="D50" s="14" t="n">
        <f aca="false">D49-E49</f>
        <v>92790.8845851297</v>
      </c>
      <c r="E50" s="14" t="n">
        <f aca="false">D50*C50</f>
        <v>355.008807806524</v>
      </c>
      <c r="F50" s="14" t="n">
        <f aca="false">D51+(E50/2)</f>
        <v>92613.3801812264</v>
      </c>
      <c r="G50" s="14" t="n">
        <f aca="false">SUM(F50:F$105)</f>
        <v>3238598.58269381</v>
      </c>
      <c r="H50" s="15" t="n">
        <f aca="false">G50/D50</f>
        <v>34.9021199353111</v>
      </c>
    </row>
    <row r="51" customFormat="false" ht="15" hidden="false" customHeight="false" outlineLevel="0" collapsed="false">
      <c r="B51" s="12" t="n">
        <v>46</v>
      </c>
      <c r="C51" s="16" t="n">
        <f aca="false">'Datos INEGI'!N59/('Datos INEGI'!Q59+'Datos INEGI'!N59/2)</f>
        <v>0.00400556596827881</v>
      </c>
      <c r="D51" s="14" t="n">
        <f aca="false">D50-E50</f>
        <v>92435.8757773231</v>
      </c>
      <c r="E51" s="14" t="n">
        <f aca="false">D51*C51</f>
        <v>370.257998261693</v>
      </c>
      <c r="F51" s="14" t="n">
        <f aca="false">D52+(E51/2)</f>
        <v>92250.7467781923</v>
      </c>
      <c r="G51" s="14" t="n">
        <f aca="false">SUM(F51:F$105)</f>
        <v>3145985.20251258</v>
      </c>
      <c r="H51" s="15" t="n">
        <f aca="false">G51/D51</f>
        <v>34.0342445620488</v>
      </c>
    </row>
    <row r="52" customFormat="false" ht="15" hidden="false" customHeight="false" outlineLevel="0" collapsed="false">
      <c r="B52" s="12" t="n">
        <v>47</v>
      </c>
      <c r="C52" s="16" t="n">
        <f aca="false">'Datos INEGI'!N60/('Datos INEGI'!Q60+'Datos INEGI'!N60/2)</f>
        <v>0.00414922107536996</v>
      </c>
      <c r="D52" s="14" t="n">
        <f aca="false">D51-E51</f>
        <v>92065.6177790615</v>
      </c>
      <c r="E52" s="14" t="n">
        <f aca="false">D52*C52</f>
        <v>382.000601605837</v>
      </c>
      <c r="F52" s="14" t="n">
        <f aca="false">D53+(E52/2)</f>
        <v>91874.6174782585</v>
      </c>
      <c r="G52" s="14" t="n">
        <f aca="false">SUM(F52:F$105)</f>
        <v>3053734.45573439</v>
      </c>
      <c r="H52" s="15" t="n">
        <f aca="false">G52/D52</f>
        <v>33.1691083968255</v>
      </c>
    </row>
    <row r="53" customFormat="false" ht="15" hidden="false" customHeight="false" outlineLevel="0" collapsed="false">
      <c r="B53" s="12" t="n">
        <v>48</v>
      </c>
      <c r="C53" s="16" t="n">
        <f aca="false">'Datos INEGI'!N61/('Datos INEGI'!Q61+'Datos INEGI'!N61/2)</f>
        <v>0.00433995795455797</v>
      </c>
      <c r="D53" s="14" t="n">
        <f aca="false">D52-E52</f>
        <v>91683.6171774556</v>
      </c>
      <c r="E53" s="14" t="n">
        <f aca="false">D53*C53</f>
        <v>397.903043671947</v>
      </c>
      <c r="F53" s="14" t="n">
        <f aca="false">D54+(E53/2)</f>
        <v>91484.6656556196</v>
      </c>
      <c r="G53" s="14" t="n">
        <f aca="false">SUM(F53:F$105)</f>
        <v>2961859.83825613</v>
      </c>
      <c r="H53" s="15" t="n">
        <f aca="false">G53/D53</f>
        <v>32.3052245258102</v>
      </c>
    </row>
    <row r="54" customFormat="false" ht="15" hidden="false" customHeight="false" outlineLevel="0" collapsed="false">
      <c r="B54" s="12" t="n">
        <v>49</v>
      </c>
      <c r="C54" s="16" t="n">
        <f aca="false">'Datos INEGI'!N62/('Datos INEGI'!Q62+'Datos INEGI'!N62/2)</f>
        <v>0.00471193694323006</v>
      </c>
      <c r="D54" s="14" t="n">
        <f aca="false">D53-E53</f>
        <v>91285.7141337837</v>
      </c>
      <c r="E54" s="14" t="n">
        <f aca="false">D54*C54</f>
        <v>430.132528816113</v>
      </c>
      <c r="F54" s="14" t="n">
        <f aca="false">D55+(E54/2)</f>
        <v>91070.6478693756</v>
      </c>
      <c r="G54" s="14" t="n">
        <f aca="false">SUM(F54:F$105)</f>
        <v>2870375.17260051</v>
      </c>
      <c r="H54" s="15" t="n">
        <f aca="false">G54/D54</f>
        <v>31.4438595330901</v>
      </c>
    </row>
    <row r="55" customFormat="false" ht="15" hidden="false" customHeight="false" outlineLevel="0" collapsed="false">
      <c r="B55" s="12" t="n">
        <v>50</v>
      </c>
      <c r="C55" s="16" t="n">
        <f aca="false">'Datos INEGI'!N63/('Datos INEGI'!Q63+'Datos INEGI'!N63/2)</f>
        <v>0.00486692550221601</v>
      </c>
      <c r="D55" s="14" t="n">
        <f aca="false">D54-E54</f>
        <v>90855.5816049676</v>
      </c>
      <c r="E55" s="14" t="n">
        <f aca="false">D55*C55</f>
        <v>442.187347131884</v>
      </c>
      <c r="F55" s="14" t="n">
        <f aca="false">D56+(E55/2)</f>
        <v>90634.4879314016</v>
      </c>
      <c r="G55" s="14" t="n">
        <f aca="false">SUM(F55:F$105)</f>
        <v>2779304.52473114</v>
      </c>
      <c r="H55" s="15" t="n">
        <f aca="false">G55/D55</f>
        <v>30.5903553269332</v>
      </c>
    </row>
    <row r="56" customFormat="false" ht="15" hidden="false" customHeight="false" outlineLevel="0" collapsed="false">
      <c r="B56" s="12" t="n">
        <v>51</v>
      </c>
      <c r="C56" s="16" t="n">
        <f aca="false">'Datos INEGI'!N64/('Datos INEGI'!Q64+'Datos INEGI'!N64/2)</f>
        <v>0.00527511142903945</v>
      </c>
      <c r="D56" s="14" t="n">
        <f aca="false">D55-E55</f>
        <v>90413.3942578357</v>
      </c>
      <c r="E56" s="14" t="n">
        <f aca="false">D56*C56</f>
        <v>476.940729387759</v>
      </c>
      <c r="F56" s="14" t="n">
        <f aca="false">D57+(E56/2)</f>
        <v>90174.9238931418</v>
      </c>
      <c r="G56" s="14" t="n">
        <f aca="false">SUM(F56:F$105)</f>
        <v>2688670.03679973</v>
      </c>
      <c r="H56" s="15" t="n">
        <f aca="false">G56/D56</f>
        <v>29.7375190796658</v>
      </c>
    </row>
    <row r="57" customFormat="false" ht="15" hidden="false" customHeight="false" outlineLevel="0" collapsed="false">
      <c r="B57" s="12" t="n">
        <v>52</v>
      </c>
      <c r="C57" s="16" t="n">
        <f aca="false">'Datos INEGI'!N65/('Datos INEGI'!Q65+'Datos INEGI'!N65/2)</f>
        <v>0.00565054602060502</v>
      </c>
      <c r="D57" s="14" t="n">
        <f aca="false">D56-E56</f>
        <v>89936.4535284479</v>
      </c>
      <c r="E57" s="14" t="n">
        <f aca="false">D57*C57</f>
        <v>508.1900695925</v>
      </c>
      <c r="F57" s="14" t="n">
        <f aca="false">D58+(E57/2)</f>
        <v>89682.3584936517</v>
      </c>
      <c r="G57" s="14" t="n">
        <f aca="false">SUM(F57:F$105)</f>
        <v>2598495.11290659</v>
      </c>
      <c r="H57" s="15" t="n">
        <f aca="false">G57/D57</f>
        <v>28.8925681518525</v>
      </c>
    </row>
    <row r="58" customFormat="false" ht="15" hidden="false" customHeight="false" outlineLevel="0" collapsed="false">
      <c r="B58" s="12" t="n">
        <v>53</v>
      </c>
      <c r="C58" s="16" t="n">
        <f aca="false">'Datos INEGI'!N66/('Datos INEGI'!Q66+'Datos INEGI'!N66/2)</f>
        <v>0.00636775330288002</v>
      </c>
      <c r="D58" s="14" t="n">
        <f aca="false">D57-E57</f>
        <v>89428.2634588554</v>
      </c>
      <c r="E58" s="14" t="n">
        <f aca="false">D58*C58</f>
        <v>569.457120010951</v>
      </c>
      <c r="F58" s="14" t="n">
        <f aca="false">D59+(E58/2)</f>
        <v>89143.5348988499</v>
      </c>
      <c r="G58" s="14" t="n">
        <f aca="false">SUM(F58:F$105)</f>
        <v>2508812.75441294</v>
      </c>
      <c r="H58" s="15" t="n">
        <f aca="false">G58/D58</f>
        <v>28.0539133533238</v>
      </c>
    </row>
    <row r="59" customFormat="false" ht="15" hidden="false" customHeight="false" outlineLevel="0" collapsed="false">
      <c r="B59" s="12" t="n">
        <v>54</v>
      </c>
      <c r="C59" s="16" t="n">
        <f aca="false">'Datos INEGI'!N67/('Datos INEGI'!Q67+'Datos INEGI'!N67/2)</f>
        <v>0.00652283603975463</v>
      </c>
      <c r="D59" s="14" t="n">
        <f aca="false">D58-E58</f>
        <v>88858.8063388445</v>
      </c>
      <c r="E59" s="14" t="n">
        <f aca="false">D59*C59</f>
        <v>579.611424436592</v>
      </c>
      <c r="F59" s="14" t="n">
        <f aca="false">D60+(E59/2)</f>
        <v>88569.0006266262</v>
      </c>
      <c r="G59" s="14" t="n">
        <f aca="false">SUM(F59:F$105)</f>
        <v>2419669.21951409</v>
      </c>
      <c r="H59" s="15" t="n">
        <f aca="false">G59/D59</f>
        <v>27.2304942999931</v>
      </c>
    </row>
    <row r="60" customFormat="false" ht="15" hidden="false" customHeight="false" outlineLevel="0" collapsed="false">
      <c r="B60" s="12" t="n">
        <v>55</v>
      </c>
      <c r="C60" s="16" t="n">
        <f aca="false">'Datos INEGI'!N68/('Datos INEGI'!Q68+'Datos INEGI'!N68/2)</f>
        <v>0.00734429262029827</v>
      </c>
      <c r="D60" s="14" t="n">
        <f aca="false">D59-E59</f>
        <v>88279.1949144079</v>
      </c>
      <c r="E60" s="14" t="n">
        <f aca="false">D60*C60</f>
        <v>648.348239735758</v>
      </c>
      <c r="F60" s="14" t="n">
        <f aca="false">D61+(E60/2)</f>
        <v>87955.02079454</v>
      </c>
      <c r="G60" s="14" t="n">
        <f aca="false">SUM(F60:F$105)</f>
        <v>2331100.21888747</v>
      </c>
      <c r="H60" s="15" t="n">
        <f aca="false">G60/D60</f>
        <v>26.4059977115515</v>
      </c>
    </row>
    <row r="61" customFormat="false" ht="15" hidden="false" customHeight="false" outlineLevel="0" collapsed="false">
      <c r="B61" s="12" t="n">
        <v>56</v>
      </c>
      <c r="C61" s="16" t="n">
        <f aca="false">'Datos INEGI'!N69/('Datos INEGI'!Q69+'Datos INEGI'!N69/2)</f>
        <v>0.00794692589566734</v>
      </c>
      <c r="D61" s="14" t="n">
        <f aca="false">D60-E60</f>
        <v>87630.8466746721</v>
      </c>
      <c r="E61" s="14" t="n">
        <f aca="false">D61*C61</f>
        <v>696.395844698206</v>
      </c>
      <c r="F61" s="14" t="n">
        <f aca="false">D62+(E61/2)</f>
        <v>87282.648752323</v>
      </c>
      <c r="G61" s="14" t="n">
        <f aca="false">SUM(F61:F$105)</f>
        <v>2243145.19809293</v>
      </c>
      <c r="H61" s="15" t="n">
        <f aca="false">G61/D61</f>
        <v>25.597666611856</v>
      </c>
    </row>
    <row r="62" customFormat="false" ht="15" hidden="false" customHeight="false" outlineLevel="0" collapsed="false">
      <c r="B62" s="12" t="n">
        <v>57</v>
      </c>
      <c r="C62" s="16" t="n">
        <f aca="false">'Datos INEGI'!N70/('Datos INEGI'!Q70+'Datos INEGI'!N70/2)</f>
        <v>0.00872588941592833</v>
      </c>
      <c r="D62" s="14" t="n">
        <f aca="false">D61-E61</f>
        <v>86934.4508299739</v>
      </c>
      <c r="E62" s="14" t="n">
        <f aca="false">D62*C62</f>
        <v>758.580404376811</v>
      </c>
      <c r="F62" s="14" t="n">
        <f aca="false">D63+(E62/2)</f>
        <v>86555.1606277855</v>
      </c>
      <c r="G62" s="14" t="n">
        <f aca="false">SUM(F62:F$105)</f>
        <v>2155862.5493406</v>
      </c>
      <c r="H62" s="15" t="n">
        <f aca="false">G62/D62</f>
        <v>24.7987136142038</v>
      </c>
    </row>
    <row r="63" customFormat="false" ht="15" hidden="false" customHeight="false" outlineLevel="0" collapsed="false">
      <c r="B63" s="12" t="n">
        <v>58</v>
      </c>
      <c r="C63" s="16" t="n">
        <f aca="false">'Datos INEGI'!N71/('Datos INEGI'!Q71+'Datos INEGI'!N71/2)</f>
        <v>0.00906944729085572</v>
      </c>
      <c r="D63" s="14" t="n">
        <f aca="false">D62-E62</f>
        <v>86175.8704255971</v>
      </c>
      <c r="E63" s="14" t="n">
        <f aca="false">D63*C63</f>
        <v>781.567514568565</v>
      </c>
      <c r="F63" s="14" t="n">
        <f aca="false">D64+(E63/2)</f>
        <v>85785.0866683128</v>
      </c>
      <c r="G63" s="14" t="n">
        <f aca="false">SUM(F63:F$105)</f>
        <v>2069307.38871282</v>
      </c>
      <c r="H63" s="15" t="n">
        <f aca="false">G63/D63</f>
        <v>24.0126079202115</v>
      </c>
    </row>
    <row r="64" customFormat="false" ht="15" hidden="false" customHeight="false" outlineLevel="0" collapsed="false">
      <c r="B64" s="12" t="n">
        <v>59</v>
      </c>
      <c r="C64" s="16" t="n">
        <f aca="false">'Datos INEGI'!N72/('Datos INEGI'!Q72+'Datos INEGI'!N72/2)</f>
        <v>0.0102563032757296</v>
      </c>
      <c r="D64" s="14" t="n">
        <f aca="false">D63-E63</f>
        <v>85394.3029110285</v>
      </c>
      <c r="E64" s="14" t="n">
        <f aca="false">D64*C64</f>
        <v>875.829868675025</v>
      </c>
      <c r="F64" s="14" t="n">
        <f aca="false">D65+(E64/2)</f>
        <v>84956.387976691</v>
      </c>
      <c r="G64" s="14" t="n">
        <f aca="false">SUM(F64:F$105)</f>
        <v>1983522.3020445</v>
      </c>
      <c r="H64" s="15" t="n">
        <f aca="false">G64/D64</f>
        <v>23.2278060061116</v>
      </c>
    </row>
    <row r="65" customFormat="false" ht="15" hidden="false" customHeight="false" outlineLevel="0" collapsed="false">
      <c r="B65" s="12" t="n">
        <v>60</v>
      </c>
      <c r="C65" s="16" t="n">
        <f aca="false">'Datos INEGI'!N73/('Datos INEGI'!Q73+'Datos INEGI'!N73/2)</f>
        <v>0.0107129126038746</v>
      </c>
      <c r="D65" s="14" t="n">
        <f aca="false">D64-E64</f>
        <v>84518.4730423535</v>
      </c>
      <c r="E65" s="14" t="n">
        <f aca="false">D65*C65</f>
        <v>905.439015115663</v>
      </c>
      <c r="F65" s="14" t="n">
        <f aca="false">D66+(E65/2)</f>
        <v>84065.7535347957</v>
      </c>
      <c r="G65" s="14" t="n">
        <f aca="false">SUM(F65:F$105)</f>
        <v>1898565.91406781</v>
      </c>
      <c r="H65" s="15" t="n">
        <f aca="false">G65/D65</f>
        <v>22.463324829785</v>
      </c>
    </row>
    <row r="66" customFormat="false" ht="15" hidden="false" customHeight="false" outlineLevel="0" collapsed="false">
      <c r="B66" s="12" t="n">
        <v>61</v>
      </c>
      <c r="C66" s="16" t="n">
        <f aca="false">'Datos INEGI'!N74/('Datos INEGI'!Q74+'Datos INEGI'!N74/2)</f>
        <v>0.0114918913772032</v>
      </c>
      <c r="D66" s="14" t="n">
        <f aca="false">D65-E65</f>
        <v>83613.0340272378</v>
      </c>
      <c r="E66" s="14" t="n">
        <f aca="false">D66*C66</f>
        <v>960.871904759414</v>
      </c>
      <c r="F66" s="14" t="n">
        <f aca="false">D67+(E66/2)</f>
        <v>83132.5980748581</v>
      </c>
      <c r="G66" s="14" t="n">
        <f aca="false">SUM(F66:F$105)</f>
        <v>1814500.16053302</v>
      </c>
      <c r="H66" s="15" t="n">
        <f aca="false">G66/D66</f>
        <v>21.7011639589819</v>
      </c>
    </row>
    <row r="67" customFormat="false" ht="15" hidden="false" customHeight="false" outlineLevel="0" collapsed="false">
      <c r="B67" s="12" t="n">
        <v>62</v>
      </c>
      <c r="C67" s="16" t="n">
        <f aca="false">'Datos INEGI'!N75/('Datos INEGI'!Q75+'Datos INEGI'!N75/2)</f>
        <v>0.0122134802476577</v>
      </c>
      <c r="D67" s="14" t="n">
        <f aca="false">D66-E66</f>
        <v>82652.1621224784</v>
      </c>
      <c r="E67" s="14" t="n">
        <f aca="false">D67*C67</f>
        <v>1009.47054950909</v>
      </c>
      <c r="F67" s="14" t="n">
        <f aca="false">D68+(E67/2)</f>
        <v>82147.4268477239</v>
      </c>
      <c r="G67" s="14" t="n">
        <f aca="false">SUM(F67:F$105)</f>
        <v>1731367.56245816</v>
      </c>
      <c r="H67" s="15" t="n">
        <f aca="false">G67/D67</f>
        <v>20.9476378838405</v>
      </c>
    </row>
    <row r="68" customFormat="false" ht="15" hidden="false" customHeight="false" outlineLevel="0" collapsed="false">
      <c r="B68" s="12" t="n">
        <v>63</v>
      </c>
      <c r="C68" s="16" t="n">
        <f aca="false">'Datos INEGI'!N76/('Datos INEGI'!Q76+'Datos INEGI'!N76/2)</f>
        <v>0.0134621215925646</v>
      </c>
      <c r="D68" s="14" t="n">
        <f aca="false">D67-E67</f>
        <v>81642.6915729693</v>
      </c>
      <c r="E68" s="14" t="n">
        <f aca="false">D68*C68</f>
        <v>1099.08384109956</v>
      </c>
      <c r="F68" s="14" t="n">
        <f aca="false">D69+(E68/2)</f>
        <v>81093.1496524195</v>
      </c>
      <c r="G68" s="14" t="n">
        <f aca="false">SUM(F68:F$105)</f>
        <v>1649220.13561044</v>
      </c>
      <c r="H68" s="15" t="n">
        <f aca="false">G68/D68</f>
        <v>20.200462574613</v>
      </c>
    </row>
    <row r="69" customFormat="false" ht="15" hidden="false" customHeight="false" outlineLevel="0" collapsed="false">
      <c r="B69" s="12" t="n">
        <v>64</v>
      </c>
      <c r="C69" s="16" t="n">
        <f aca="false">'Datos INEGI'!N77/('Datos INEGI'!Q77+'Datos INEGI'!N77/2)</f>
        <v>0.0140001581016754</v>
      </c>
      <c r="D69" s="14" t="n">
        <f aca="false">D68-E68</f>
        <v>80543.6077318698</v>
      </c>
      <c r="E69" s="14" t="n">
        <f aca="false">D69*C69</f>
        <v>1127.6232423255</v>
      </c>
      <c r="F69" s="14" t="n">
        <f aca="false">D70+(E69/2)</f>
        <v>79979.796110707</v>
      </c>
      <c r="G69" s="14" t="n">
        <f aca="false">SUM(F69:F$105)</f>
        <v>1568126.98595802</v>
      </c>
      <c r="H69" s="15" t="n">
        <f aca="false">G69/D69</f>
        <v>19.4692916063348</v>
      </c>
    </row>
    <row r="70" customFormat="false" ht="15" hidden="false" customHeight="false" outlineLevel="0" collapsed="false">
      <c r="B70" s="12" t="n">
        <v>65</v>
      </c>
      <c r="C70" s="16" t="n">
        <f aca="false">'Datos INEGI'!N78/('Datos INEGI'!Q78+'Datos INEGI'!N78/2)</f>
        <v>0.0151621104940929</v>
      </c>
      <c r="D70" s="14" t="n">
        <f aca="false">D69-E69</f>
        <v>79415.9844895443</v>
      </c>
      <c r="E70" s="14" t="n">
        <f aca="false">D70*C70</f>
        <v>1204.11393182764</v>
      </c>
      <c r="F70" s="14" t="n">
        <f aca="false">D71+(E70/2)</f>
        <v>78813.9275236304</v>
      </c>
      <c r="G70" s="14" t="n">
        <f aca="false">SUM(F70:F$105)</f>
        <v>1488147.18984731</v>
      </c>
      <c r="H70" s="15" t="n">
        <f aca="false">G70/D70</f>
        <v>18.7386355456342</v>
      </c>
    </row>
    <row r="71" customFormat="false" ht="15" hidden="false" customHeight="false" outlineLevel="0" collapsed="false">
      <c r="B71" s="12" t="n">
        <v>66</v>
      </c>
      <c r="C71" s="16" t="n">
        <f aca="false">'Datos INEGI'!N79/('Datos INEGI'!Q79+'Datos INEGI'!N79/2)</f>
        <v>0.0160431847178447</v>
      </c>
      <c r="D71" s="14" t="n">
        <f aca="false">D70-E70</f>
        <v>78211.8705577166</v>
      </c>
      <c r="E71" s="14" t="n">
        <f aca="false">D71*C71</f>
        <v>1254.7674864856</v>
      </c>
      <c r="F71" s="14" t="n">
        <f aca="false">D72+(E71/2)</f>
        <v>77584.4868144738</v>
      </c>
      <c r="G71" s="14" t="n">
        <f aca="false">SUM(F71:F$105)</f>
        <v>1409333.26232368</v>
      </c>
      <c r="H71" s="15" t="n">
        <f aca="false">G71/D71</f>
        <v>18.019429177105</v>
      </c>
    </row>
    <row r="72" customFormat="false" ht="15" hidden="false" customHeight="false" outlineLevel="0" collapsed="false">
      <c r="B72" s="12" t="n">
        <v>67</v>
      </c>
      <c r="C72" s="16" t="n">
        <f aca="false">'Datos INEGI'!N80/('Datos INEGI'!Q80+'Datos INEGI'!N80/2)</f>
        <v>0.0174887643381229</v>
      </c>
      <c r="D72" s="14" t="n">
        <f aca="false">D71-E71</f>
        <v>76957.103071231</v>
      </c>
      <c r="E72" s="14" t="n">
        <f aca="false">D72*C72</f>
        <v>1345.88463975739</v>
      </c>
      <c r="F72" s="14" t="n">
        <f aca="false">D73+(E72/2)</f>
        <v>76284.1607513523</v>
      </c>
      <c r="G72" s="14" t="n">
        <f aca="false">SUM(F72:F$105)</f>
        <v>1331748.7755092</v>
      </c>
      <c r="H72" s="15" t="n">
        <f aca="false">G72/D72</f>
        <v>17.3050793540987</v>
      </c>
    </row>
    <row r="73" customFormat="false" ht="15" hidden="false" customHeight="false" outlineLevel="0" collapsed="false">
      <c r="B73" s="12" t="n">
        <v>68</v>
      </c>
      <c r="C73" s="16" t="n">
        <f aca="false">'Datos INEGI'!N81/('Datos INEGI'!Q81+'Datos INEGI'!N81/2)</f>
        <v>0.0190461586531959</v>
      </c>
      <c r="D73" s="14" t="n">
        <f aca="false">D72-E72</f>
        <v>75611.2184314736</v>
      </c>
      <c r="E73" s="14" t="n">
        <f aca="false">D73*C73</f>
        <v>1440.1032622073</v>
      </c>
      <c r="F73" s="14" t="n">
        <f aca="false">D74+(E73/2)</f>
        <v>74891.16680037</v>
      </c>
      <c r="G73" s="14" t="n">
        <f aca="false">SUM(F73:F$105)</f>
        <v>1255464.61475785</v>
      </c>
      <c r="H73" s="15" t="n">
        <f aca="false">G73/D73</f>
        <v>16.6042108671437</v>
      </c>
    </row>
    <row r="74" customFormat="false" ht="15" hidden="false" customHeight="false" outlineLevel="0" collapsed="false">
      <c r="B74" s="12" t="n">
        <v>69</v>
      </c>
      <c r="C74" s="16" t="n">
        <f aca="false">'Datos INEGI'!N82/('Datos INEGI'!Q82+'Datos INEGI'!N82/2)</f>
        <v>0.0209979372453241</v>
      </c>
      <c r="D74" s="14" t="n">
        <f aca="false">D73-E73</f>
        <v>74171.1151692663</v>
      </c>
      <c r="E74" s="14" t="n">
        <f aca="false">D74*C74</f>
        <v>1557.44042173996</v>
      </c>
      <c r="F74" s="14" t="n">
        <f aca="false">D75+(E74/2)</f>
        <v>73392.3949583964</v>
      </c>
      <c r="G74" s="14" t="n">
        <f aca="false">SUM(F74:F$105)</f>
        <v>1180573.44795748</v>
      </c>
      <c r="H74" s="15" t="n">
        <f aca="false">G74/D74</f>
        <v>15.9168895501071</v>
      </c>
    </row>
    <row r="75" customFormat="false" ht="15" hidden="false" customHeight="false" outlineLevel="0" collapsed="false">
      <c r="B75" s="12" t="n">
        <v>70</v>
      </c>
      <c r="C75" s="16" t="n">
        <f aca="false">'Datos INEGI'!N83/('Datos INEGI'!Q83+'Datos INEGI'!N83/2)</f>
        <v>0.0221518255466221</v>
      </c>
      <c r="D75" s="14" t="n">
        <f aca="false">D74-E74</f>
        <v>72613.6747475264</v>
      </c>
      <c r="E75" s="14" t="n">
        <f aca="false">D75*C75</f>
        <v>1608.52545530636</v>
      </c>
      <c r="F75" s="14" t="n">
        <f aca="false">D76+(E75/2)</f>
        <v>71809.4120198732</v>
      </c>
      <c r="G75" s="14" t="n">
        <f aca="false">SUM(F75:F$105)</f>
        <v>1107181.05299909</v>
      </c>
      <c r="H75" s="15" t="n">
        <f aca="false">G75/D75</f>
        <v>15.247555737245</v>
      </c>
    </row>
    <row r="76" customFormat="false" ht="15" hidden="false" customHeight="false" outlineLevel="0" collapsed="false">
      <c r="B76" s="12" t="n">
        <v>71</v>
      </c>
      <c r="C76" s="16" t="n">
        <f aca="false">'Datos INEGI'!N84/('Datos INEGI'!Q84+'Datos INEGI'!N84/2)</f>
        <v>0.024645505005217</v>
      </c>
      <c r="D76" s="14" t="n">
        <f aca="false">D75-E75</f>
        <v>71005.14929222</v>
      </c>
      <c r="E76" s="14" t="n">
        <f aca="false">D76*C76</f>
        <v>1749.95776227759</v>
      </c>
      <c r="F76" s="14" t="n">
        <f aca="false">D77+(E76/2)</f>
        <v>70130.1704110812</v>
      </c>
      <c r="G76" s="14" t="n">
        <f aca="false">SUM(F76:F$105)</f>
        <v>1035371.64097921</v>
      </c>
      <c r="H76" s="15" t="n">
        <f aca="false">G76/D76</f>
        <v>14.5816416316254</v>
      </c>
    </row>
    <row r="77" customFormat="false" ht="15" hidden="false" customHeight="false" outlineLevel="0" collapsed="false">
      <c r="B77" s="12" t="n">
        <v>72</v>
      </c>
      <c r="C77" s="16" t="n">
        <f aca="false">'Datos INEGI'!N85/('Datos INEGI'!Q85+'Datos INEGI'!N85/2)</f>
        <v>0.0260704037533739</v>
      </c>
      <c r="D77" s="14" t="n">
        <f aca="false">D76-E76</f>
        <v>69255.1915299424</v>
      </c>
      <c r="E77" s="14" t="n">
        <f aca="false">D77*C77</f>
        <v>1805.51080520284</v>
      </c>
      <c r="F77" s="14" t="n">
        <f aca="false">D78+(E77/2)</f>
        <v>68352.436127341</v>
      </c>
      <c r="G77" s="14" t="n">
        <f aca="false">SUM(F77:F$105)</f>
        <v>965241.470568131</v>
      </c>
      <c r="H77" s="15" t="n">
        <f aca="false">G77/D77</f>
        <v>13.9374601274593</v>
      </c>
    </row>
    <row r="78" customFormat="false" ht="15" hidden="false" customHeight="false" outlineLevel="0" collapsed="false">
      <c r="B78" s="12" t="n">
        <v>73</v>
      </c>
      <c r="C78" s="16" t="n">
        <f aca="false">'Datos INEGI'!N86/('Datos INEGI'!Q86+'Datos INEGI'!N86/2)</f>
        <v>0.0291171569799918</v>
      </c>
      <c r="D78" s="14" t="n">
        <f aca="false">D77-E77</f>
        <v>67449.6807247396</v>
      </c>
      <c r="E78" s="14" t="n">
        <f aca="false">D78*C78</f>
        <v>1963.94294191257</v>
      </c>
      <c r="F78" s="14" t="n">
        <f aca="false">D79+(E78/2)</f>
        <v>66467.7092537833</v>
      </c>
      <c r="G78" s="14" t="n">
        <f aca="false">SUM(F78:F$105)</f>
        <v>896889.03444079</v>
      </c>
      <c r="H78" s="15" t="n">
        <f aca="false">G78/D78</f>
        <v>13.297157596653</v>
      </c>
    </row>
    <row r="79" customFormat="false" ht="15" hidden="false" customHeight="false" outlineLevel="0" collapsed="false">
      <c r="B79" s="12" t="n">
        <v>74</v>
      </c>
      <c r="C79" s="16" t="n">
        <f aca="false">'Datos INEGI'!N87/('Datos INEGI'!Q87+'Datos INEGI'!N87/2)</f>
        <v>0.0298028445267967</v>
      </c>
      <c r="D79" s="14" t="n">
        <f aca="false">D78-E78</f>
        <v>65485.737782827</v>
      </c>
      <c r="E79" s="14" t="n">
        <f aca="false">D79*C79</f>
        <v>1951.66126186417</v>
      </c>
      <c r="F79" s="14" t="n">
        <f aca="false">D80+(E79/2)</f>
        <v>64509.9071518949</v>
      </c>
      <c r="G79" s="14" t="n">
        <f aca="false">SUM(F79:F$105)</f>
        <v>830421.325187007</v>
      </c>
      <c r="H79" s="15" t="n">
        <f aca="false">G79/D79</f>
        <v>12.6809493685628</v>
      </c>
    </row>
    <row r="80" customFormat="false" ht="15" hidden="false" customHeight="false" outlineLevel="0" collapsed="false">
      <c r="B80" s="12" t="n">
        <v>75</v>
      </c>
      <c r="C80" s="16" t="n">
        <f aca="false">'Datos INEGI'!N88/('Datos INEGI'!Q88+'Datos INEGI'!N88/2)</f>
        <v>0.033678269571789</v>
      </c>
      <c r="D80" s="14" t="n">
        <f aca="false">D79-E79</f>
        <v>63534.0765209628</v>
      </c>
      <c r="E80" s="14" t="n">
        <f aca="false">D80*C80</f>
        <v>2139.71775606766</v>
      </c>
      <c r="F80" s="14" t="n">
        <f aca="false">D81+(E80/2)</f>
        <v>62464.217642929</v>
      </c>
      <c r="G80" s="14" t="n">
        <f aca="false">SUM(F80:F$105)</f>
        <v>765911.418035112</v>
      </c>
      <c r="H80" s="15" t="n">
        <f aca="false">G80/D80</f>
        <v>12.0551278931772</v>
      </c>
    </row>
    <row r="81" customFormat="false" ht="15" hidden="false" customHeight="false" outlineLevel="0" collapsed="false">
      <c r="B81" s="12" t="n">
        <v>76</v>
      </c>
      <c r="C81" s="16" t="n">
        <f aca="false">'Datos INEGI'!N89/('Datos INEGI'!Q89+'Datos INEGI'!N89/2)</f>
        <v>0.0361794088747008</v>
      </c>
      <c r="D81" s="14" t="n">
        <f aca="false">D80-E80</f>
        <v>61394.3587648952</v>
      </c>
      <c r="E81" s="14" t="n">
        <f aca="false">D81*C81</f>
        <v>2221.21160835521</v>
      </c>
      <c r="F81" s="14" t="n">
        <f aca="false">D82+(E81/2)</f>
        <v>60283.7529607176</v>
      </c>
      <c r="G81" s="14" t="n">
        <f aca="false">SUM(F81:F$105)</f>
        <v>703447.200392183</v>
      </c>
      <c r="H81" s="15" t="n">
        <f aca="false">G81/D81</f>
        <v>11.4578475049471</v>
      </c>
    </row>
    <row r="82" customFormat="false" ht="15" hidden="false" customHeight="false" outlineLevel="0" collapsed="false">
      <c r="B82" s="12" t="n">
        <v>77</v>
      </c>
      <c r="C82" s="16" t="n">
        <f aca="false">'Datos INEGI'!N90/('Datos INEGI'!Q90+'Datos INEGI'!N90/2)</f>
        <v>0.0401424200250326</v>
      </c>
      <c r="D82" s="14" t="n">
        <f aca="false">D81-E81</f>
        <v>59173.14715654</v>
      </c>
      <c r="E82" s="14" t="n">
        <f aca="false">D82*C82</f>
        <v>2375.35332736089</v>
      </c>
      <c r="F82" s="14" t="n">
        <f aca="false">D83+(E82/2)</f>
        <v>57985.4704928595</v>
      </c>
      <c r="G82" s="14" t="n">
        <f aca="false">SUM(F82:F$105)</f>
        <v>643163.447431466</v>
      </c>
      <c r="H82" s="15" t="n">
        <f aca="false">G82/D82</f>
        <v>10.8691776310292</v>
      </c>
    </row>
    <row r="83" customFormat="false" ht="15" hidden="false" customHeight="false" outlineLevel="0" collapsed="false">
      <c r="B83" s="12" t="n">
        <v>78</v>
      </c>
      <c r="C83" s="16" t="n">
        <f aca="false">'Datos INEGI'!N91/('Datos INEGI'!Q91+'Datos INEGI'!N91/2)</f>
        <v>0.0435080622514439</v>
      </c>
      <c r="D83" s="14" t="n">
        <f aca="false">D82-E82</f>
        <v>56797.7938291791</v>
      </c>
      <c r="E83" s="14" t="n">
        <f aca="false">D83*C83</f>
        <v>2471.1619496646</v>
      </c>
      <c r="F83" s="14" t="n">
        <f aca="false">D84+(E83/2)</f>
        <v>55562.2128543468</v>
      </c>
      <c r="G83" s="14" t="n">
        <f aca="false">SUM(F83:F$105)</f>
        <v>585177.976938606</v>
      </c>
      <c r="H83" s="15" t="n">
        <f aca="false">G83/D83</f>
        <v>10.3028293440155</v>
      </c>
    </row>
    <row r="84" customFormat="false" ht="15" hidden="false" customHeight="false" outlineLevel="0" collapsed="false">
      <c r="B84" s="12" t="n">
        <v>79</v>
      </c>
      <c r="C84" s="16" t="n">
        <f aca="false">'Datos INEGI'!N92/('Datos INEGI'!Q92+'Datos INEGI'!N92/2)</f>
        <v>0.0495396976620443</v>
      </c>
      <c r="D84" s="14" t="n">
        <f aca="false">D83-E83</f>
        <v>54326.6318795145</v>
      </c>
      <c r="E84" s="14" t="n">
        <f aca="false">D84*C84</f>
        <v>2691.32491830832</v>
      </c>
      <c r="F84" s="14" t="n">
        <f aca="false">D85+(E84/2)</f>
        <v>52980.9694203603</v>
      </c>
      <c r="G84" s="14" t="n">
        <f aca="false">SUM(F84:F$105)</f>
        <v>529615.764084259</v>
      </c>
      <c r="H84" s="15" t="n">
        <f aca="false">G84/D84</f>
        <v>9.74873180540329</v>
      </c>
    </row>
    <row r="85" customFormat="false" ht="15" hidden="false" customHeight="false" outlineLevel="0" collapsed="false">
      <c r="B85" s="12" t="n">
        <v>80</v>
      </c>
      <c r="C85" s="16" t="n">
        <f aca="false">'Datos INEGI'!N93/('Datos INEGI'!Q93+'Datos INEGI'!N93/2)</f>
        <v>0.0532442607802998</v>
      </c>
      <c r="D85" s="14" t="n">
        <f aca="false">D84-E84</f>
        <v>51635.3069612062</v>
      </c>
      <c r="E85" s="14" t="n">
        <f aca="false">D85*C85</f>
        <v>2749.28374931329</v>
      </c>
      <c r="F85" s="14" t="n">
        <f aca="false">D86+(E85/2)</f>
        <v>50260.6650865495</v>
      </c>
      <c r="G85" s="14" t="n">
        <f aca="false">SUM(F85:F$105)</f>
        <v>476634.794663899</v>
      </c>
      <c r="H85" s="15" t="n">
        <f aca="false">G85/D85</f>
        <v>9.23079231468493</v>
      </c>
    </row>
    <row r="86" customFormat="false" ht="15" hidden="false" customHeight="false" outlineLevel="0" collapsed="false">
      <c r="B86" s="12" t="n">
        <v>81</v>
      </c>
      <c r="C86" s="16" t="n">
        <f aca="false">'Datos INEGI'!N94/('Datos INEGI'!Q94+'Datos INEGI'!N94/2)</f>
        <v>0.0600742681325097</v>
      </c>
      <c r="D86" s="14" t="n">
        <f aca="false">D85-E85</f>
        <v>48886.0232118929</v>
      </c>
      <c r="E86" s="14" t="n">
        <f aca="false">D86*C86</f>
        <v>2936.79206636334</v>
      </c>
      <c r="F86" s="14" t="n">
        <f aca="false">D87+(E86/2)</f>
        <v>47417.6271787112</v>
      </c>
      <c r="G86" s="14" t="n">
        <f aca="false">SUM(F86:F$105)</f>
        <v>426374.129577349</v>
      </c>
      <c r="H86" s="15" t="n">
        <f aca="false">G86/D86</f>
        <v>8.7218002521756</v>
      </c>
    </row>
    <row r="87" customFormat="false" ht="15" hidden="false" customHeight="false" outlineLevel="0" collapsed="false">
      <c r="B87" s="12" t="n">
        <v>82</v>
      </c>
      <c r="C87" s="16" t="n">
        <f aca="false">'Datos INEGI'!N95/('Datos INEGI'!Q95+'Datos INEGI'!N95/2)</f>
        <v>0.0639390775987579</v>
      </c>
      <c r="D87" s="14" t="n">
        <f aca="false">D86-E86</f>
        <v>45949.2311455295</v>
      </c>
      <c r="E87" s="14" t="n">
        <f aca="false">D87*C87</f>
        <v>2937.95145581727</v>
      </c>
      <c r="F87" s="14" t="n">
        <f aca="false">D88+(E87/2)</f>
        <v>44480.2554176209</v>
      </c>
      <c r="G87" s="14" t="n">
        <f aca="false">SUM(F87:F$105)</f>
        <v>378956.502398638</v>
      </c>
      <c r="H87" s="15" t="n">
        <f aca="false">G87/D87</f>
        <v>8.24728712431367</v>
      </c>
    </row>
    <row r="88" customFormat="false" ht="15" hidden="false" customHeight="false" outlineLevel="0" collapsed="false">
      <c r="B88" s="12" t="n">
        <v>83</v>
      </c>
      <c r="C88" s="16" t="n">
        <f aca="false">'Datos INEGI'!N96/('Datos INEGI'!Q96+'Datos INEGI'!N96/2)</f>
        <v>0.073023406574614</v>
      </c>
      <c r="D88" s="14" t="n">
        <f aca="false">D87-E87</f>
        <v>43011.2796897122</v>
      </c>
      <c r="E88" s="14" t="n">
        <f aca="false">D88*C88</f>
        <v>3140.83016407629</v>
      </c>
      <c r="F88" s="14" t="n">
        <f aca="false">D89+(E88/2)</f>
        <v>41440.8646076741</v>
      </c>
      <c r="G88" s="14" t="n">
        <f aca="false">SUM(F88:F$105)</f>
        <v>334476.246981017</v>
      </c>
      <c r="H88" s="15" t="n">
        <f aca="false">G88/D88</f>
        <v>7.776477458796</v>
      </c>
    </row>
    <row r="89" customFormat="false" ht="15" hidden="false" customHeight="false" outlineLevel="0" collapsed="false">
      <c r="B89" s="12" t="n">
        <v>84</v>
      </c>
      <c r="C89" s="16" t="n">
        <f aca="false">'Datos INEGI'!N97/('Datos INEGI'!Q97+'Datos INEGI'!N97/2)</f>
        <v>0.074323159089123</v>
      </c>
      <c r="D89" s="14" t="n">
        <f aca="false">D88-E88</f>
        <v>39870.449525636</v>
      </c>
      <c r="E89" s="14" t="n">
        <f aca="false">D89*C89</f>
        <v>2963.29776304869</v>
      </c>
      <c r="F89" s="14" t="n">
        <f aca="false">D90+(E89/2)</f>
        <v>38388.8006441116</v>
      </c>
      <c r="G89" s="14" t="n">
        <f aca="false">SUM(F89:F$105)</f>
        <v>293035.382373343</v>
      </c>
      <c r="H89" s="15" t="n">
        <f aca="false">G89/D89</f>
        <v>7.34968844996159</v>
      </c>
    </row>
    <row r="90" customFormat="false" ht="15" hidden="false" customHeight="false" outlineLevel="0" collapsed="false">
      <c r="B90" s="12" t="n">
        <v>85</v>
      </c>
      <c r="C90" s="16" t="n">
        <f aca="false">'Datos INEGI'!N98/('Datos INEGI'!Q98+'Datos INEGI'!N98/2)</f>
        <v>0.0804541275477878</v>
      </c>
      <c r="D90" s="14" t="n">
        <f aca="false">D89-E89</f>
        <v>36907.1517625873</v>
      </c>
      <c r="E90" s="14" t="n">
        <f aca="false">D90*C90</f>
        <v>2969.33269533276</v>
      </c>
      <c r="F90" s="14" t="n">
        <f aca="false">D91+(E90/2)</f>
        <v>35422.4854149209</v>
      </c>
      <c r="G90" s="14" t="n">
        <f aca="false">SUM(F90:F$105)</f>
        <v>254646.581729232</v>
      </c>
      <c r="H90" s="15" t="n">
        <f aca="false">G90/D90</f>
        <v>6.89965412035308</v>
      </c>
    </row>
    <row r="91" customFormat="false" ht="15" hidden="false" customHeight="false" outlineLevel="0" collapsed="false">
      <c r="B91" s="12" t="n">
        <v>86</v>
      </c>
      <c r="C91" s="16" t="n">
        <f aca="false">'Datos INEGI'!N99/('Datos INEGI'!Q99+'Datos INEGI'!N99/2)</f>
        <v>0.0887376064853089</v>
      </c>
      <c r="D91" s="14" t="n">
        <f aca="false">D90-E90</f>
        <v>33937.8190672545</v>
      </c>
      <c r="E91" s="14" t="n">
        <f aca="false">D91*C91</f>
        <v>3011.56083335964</v>
      </c>
      <c r="F91" s="14" t="n">
        <f aca="false">D92+(E91/2)</f>
        <v>32432.0386505747</v>
      </c>
      <c r="G91" s="14" t="n">
        <f aca="false">SUM(F91:F$105)</f>
        <v>219224.096314311</v>
      </c>
      <c r="H91" s="15" t="n">
        <f aca="false">G91/D91</f>
        <v>6.45958114986336</v>
      </c>
    </row>
    <row r="92" customFormat="false" ht="15" hidden="false" customHeight="false" outlineLevel="0" collapsed="false">
      <c r="B92" s="12" t="n">
        <v>87</v>
      </c>
      <c r="C92" s="16" t="n">
        <f aca="false">'Datos INEGI'!N100/('Datos INEGI'!Q100+'Datos INEGI'!N100/2)</f>
        <v>0.0993812765532262</v>
      </c>
      <c r="D92" s="14" t="n">
        <f aca="false">D91-E91</f>
        <v>30926.2582338949</v>
      </c>
      <c r="E92" s="14" t="n">
        <f aca="false">D92*C92</f>
        <v>3073.49102229919</v>
      </c>
      <c r="F92" s="14" t="n">
        <f aca="false">D93+(E92/2)</f>
        <v>29389.5127227453</v>
      </c>
      <c r="G92" s="14" t="n">
        <f aca="false">SUM(F92:F$105)</f>
        <v>186792.057663736</v>
      </c>
      <c r="H92" s="15" t="n">
        <f aca="false">G92/D92</f>
        <v>6.03991780224527</v>
      </c>
    </row>
    <row r="93" customFormat="false" ht="15" hidden="false" customHeight="false" outlineLevel="0" collapsed="false">
      <c r="B93" s="12" t="n">
        <v>88</v>
      </c>
      <c r="C93" s="16" t="n">
        <f aca="false">'Datos INEGI'!N101/('Datos INEGI'!Q101+'Datos INEGI'!N101/2)</f>
        <v>0.108002651304501</v>
      </c>
      <c r="D93" s="14" t="n">
        <f aca="false">D92-E92</f>
        <v>27852.7672115957</v>
      </c>
      <c r="E93" s="14" t="n">
        <f aca="false">D93*C93</f>
        <v>3008.1727050194</v>
      </c>
      <c r="F93" s="14" t="n">
        <f aca="false">D94+(E93/2)</f>
        <v>26348.680859086</v>
      </c>
      <c r="G93" s="14" t="n">
        <f aca="false">SUM(F93:F$105)</f>
        <v>157402.544940991</v>
      </c>
      <c r="H93" s="15" t="n">
        <f aca="false">G93/D93</f>
        <v>5.65123543184107</v>
      </c>
    </row>
    <row r="94" customFormat="false" ht="15" hidden="false" customHeight="false" outlineLevel="0" collapsed="false">
      <c r="B94" s="12" t="n">
        <v>89</v>
      </c>
      <c r="C94" s="16" t="n">
        <f aca="false">'Datos INEGI'!N102/('Datos INEGI'!Q102+'Datos INEGI'!N102/2)</f>
        <v>0.122985437729487</v>
      </c>
      <c r="D94" s="14" t="n">
        <f aca="false">D93-E93</f>
        <v>24844.5945065763</v>
      </c>
      <c r="E94" s="14" t="n">
        <f aca="false">D94*C94</f>
        <v>3055.52333060289</v>
      </c>
      <c r="F94" s="14" t="n">
        <f aca="false">D95+(E94/2)</f>
        <v>23316.8328412748</v>
      </c>
      <c r="G94" s="14" t="n">
        <f aca="false">SUM(F94:F$105)</f>
        <v>131053.864081905</v>
      </c>
      <c r="H94" s="15" t="n">
        <f aca="false">G94/D94</f>
        <v>5.27494477912349</v>
      </c>
    </row>
    <row r="95" customFormat="false" ht="15" hidden="false" customHeight="false" outlineLevel="0" collapsed="false">
      <c r="B95" s="12" t="n">
        <v>90</v>
      </c>
      <c r="C95" s="16" t="n">
        <f aca="false">'Datos INEGI'!N103/('Datos INEGI'!Q103+'Datos INEGI'!N103/2)</f>
        <v>0.134136297072892</v>
      </c>
      <c r="D95" s="14" t="n">
        <f aca="false">D94-E94</f>
        <v>21789.0711759734</v>
      </c>
      <c r="E95" s="14" t="n">
        <f aca="false">D95*C95</f>
        <v>2922.70532420276</v>
      </c>
      <c r="F95" s="14" t="n">
        <f aca="false">D96+(E95/2)</f>
        <v>20327.718513872</v>
      </c>
      <c r="G95" s="14" t="n">
        <f aca="false">SUM(F95:F$105)</f>
        <v>107737.03124063</v>
      </c>
      <c r="H95" s="15" t="n">
        <f aca="false">G95/D95</f>
        <v>4.94454446316328</v>
      </c>
    </row>
    <row r="96" customFormat="false" ht="15" hidden="false" customHeight="false" outlineLevel="0" collapsed="false">
      <c r="B96" s="12" t="n">
        <v>91</v>
      </c>
      <c r="C96" s="16" t="n">
        <f aca="false">'Datos INEGI'!N104/('Datos INEGI'!Q104+'Datos INEGI'!N104/2)</f>
        <v>0.141858665753561</v>
      </c>
      <c r="D96" s="14" t="n">
        <f aca="false">D95-E95</f>
        <v>18866.3658517706</v>
      </c>
      <c r="E96" s="14" t="n">
        <f aca="false">D96*C96</f>
        <v>2676.35748735073</v>
      </c>
      <c r="F96" s="14" t="n">
        <f aca="false">D97+(E96/2)</f>
        <v>17528.1871080953</v>
      </c>
      <c r="G96" s="14" t="n">
        <f aca="false">SUM(F96:F$105)</f>
        <v>87409.3127267579</v>
      </c>
      <c r="H96" s="15" t="n">
        <f aca="false">G96/D96</f>
        <v>4.63307631228589</v>
      </c>
    </row>
    <row r="97" customFormat="false" ht="15" hidden="false" customHeight="false" outlineLevel="0" collapsed="false">
      <c r="B97" s="12" t="n">
        <v>92</v>
      </c>
      <c r="C97" s="16" t="n">
        <f aca="false">'Datos INEGI'!N105/('Datos INEGI'!Q105+'Datos INEGI'!N105/2)</f>
        <v>0.149916559305741</v>
      </c>
      <c r="D97" s="14" t="n">
        <f aca="false">D96-E96</f>
        <v>16190.0083644199</v>
      </c>
      <c r="E97" s="14" t="n">
        <f aca="false">D97*C97</f>
        <v>2427.15034912499</v>
      </c>
      <c r="F97" s="14" t="n">
        <f aca="false">D98+(E97/2)</f>
        <v>14976.4331898574</v>
      </c>
      <c r="G97" s="14" t="n">
        <f aca="false">SUM(F97:F$105)</f>
        <v>69881.1256186626</v>
      </c>
      <c r="H97" s="15" t="n">
        <f aca="false">G97/D97</f>
        <v>4.31631189099553</v>
      </c>
    </row>
    <row r="98" customFormat="false" ht="15" hidden="false" customHeight="false" outlineLevel="0" collapsed="false">
      <c r="B98" s="12" t="n">
        <v>93</v>
      </c>
      <c r="C98" s="16" t="n">
        <f aca="false">'Datos INEGI'!N106/('Datos INEGI'!Q106+'Datos INEGI'!N106/2)</f>
        <v>0.175027693711468</v>
      </c>
      <c r="D98" s="14" t="n">
        <f aca="false">D97-E97</f>
        <v>13762.8580152949</v>
      </c>
      <c r="E98" s="14" t="n">
        <f aca="false">D98*C98</f>
        <v>2408.88129729546</v>
      </c>
      <c r="F98" s="14" t="n">
        <f aca="false">D99+(E98/2)</f>
        <v>12558.4173666472</v>
      </c>
      <c r="G98" s="14" t="n">
        <f aca="false">SUM(F98:F$105)</f>
        <v>54904.6924288053</v>
      </c>
      <c r="H98" s="15" t="n">
        <f aca="false">G98/D98</f>
        <v>3.98933799707798</v>
      </c>
    </row>
    <row r="99" customFormat="false" ht="15" hidden="false" customHeight="false" outlineLevel="0" collapsed="false">
      <c r="B99" s="12" t="n">
        <v>94</v>
      </c>
      <c r="C99" s="16" t="n">
        <f aca="false">'Datos INEGI'!N107/('Datos INEGI'!Q107+'Datos INEGI'!N107/2)</f>
        <v>0.170143457982326</v>
      </c>
      <c r="D99" s="14" t="n">
        <f aca="false">D98-E98</f>
        <v>11353.9767179994</v>
      </c>
      <c r="E99" s="14" t="n">
        <f aca="false">D99*C99</f>
        <v>1931.80486065125</v>
      </c>
      <c r="F99" s="14" t="n">
        <f aca="false">D100+(E99/2)</f>
        <v>10388.0742876738</v>
      </c>
      <c r="G99" s="14" t="n">
        <f aca="false">SUM(F99:F$105)</f>
        <v>42346.2750621581</v>
      </c>
      <c r="H99" s="15" t="n">
        <f aca="false">G99/D99</f>
        <v>3.7296425837325</v>
      </c>
    </row>
    <row r="100" customFormat="false" ht="15" hidden="false" customHeight="false" outlineLevel="0" collapsed="false">
      <c r="B100" s="12" t="n">
        <v>95</v>
      </c>
      <c r="C100" s="16" t="n">
        <f aca="false">'Datos INEGI'!N108/('Datos INEGI'!Q108+'Datos INEGI'!N108/2)</f>
        <v>0.177350007888015</v>
      </c>
      <c r="D100" s="14" t="n">
        <f aca="false">D99-E99</f>
        <v>9422.17185734819</v>
      </c>
      <c r="E100" s="14" t="n">
        <f aca="false">D100*C100</f>
        <v>1671.02225322293</v>
      </c>
      <c r="F100" s="14" t="n">
        <f aca="false">D101+(E100/2)</f>
        <v>8586.66073073673</v>
      </c>
      <c r="G100" s="14" t="n">
        <f aca="false">SUM(F100:F$105)</f>
        <v>31958.2007744843</v>
      </c>
      <c r="H100" s="15" t="n">
        <f aca="false">G100/D100</f>
        <v>3.39180830686723</v>
      </c>
    </row>
    <row r="101" customFormat="false" ht="15" hidden="false" customHeight="false" outlineLevel="0" collapsed="false">
      <c r="B101" s="12" t="n">
        <v>96</v>
      </c>
      <c r="C101" s="16" t="n">
        <f aca="false">'Datos INEGI'!N109/('Datos INEGI'!Q109+'Datos INEGI'!N109/2)</f>
        <v>0.17656465589786</v>
      </c>
      <c r="D101" s="14" t="n">
        <f aca="false">D100-E100</f>
        <v>7751.14960412526</v>
      </c>
      <c r="E101" s="14" t="n">
        <f aca="false">D101*C101</f>
        <v>1368.57906266521</v>
      </c>
      <c r="F101" s="14" t="n">
        <f aca="false">D102+(E101/2)</f>
        <v>7066.86007279266</v>
      </c>
      <c r="G101" s="14" t="n">
        <f aca="false">SUM(F101:F$105)</f>
        <v>23371.5400437475</v>
      </c>
      <c r="H101" s="15" t="n">
        <f aca="false">G101/D101</f>
        <v>3.01523531829509</v>
      </c>
    </row>
    <row r="102" customFormat="false" ht="15" hidden="false" customHeight="false" outlineLevel="0" collapsed="false">
      <c r="B102" s="12" t="n">
        <v>97</v>
      </c>
      <c r="C102" s="16" t="n">
        <f aca="false">'Datos INEGI'!N110/('Datos INEGI'!Q110+'Datos INEGI'!N110/2)</f>
        <v>0.17853402800681</v>
      </c>
      <c r="D102" s="14" t="n">
        <f aca="false">D101-E101</f>
        <v>6382.57054146005</v>
      </c>
      <c r="E102" s="14" t="n">
        <f aca="false">D102*C102</f>
        <v>1139.50602780447</v>
      </c>
      <c r="F102" s="14" t="n">
        <f aca="false">D103+(E102/2)</f>
        <v>5812.81752755782</v>
      </c>
      <c r="G102" s="14" t="n">
        <f aca="false">SUM(F102:F$105)</f>
        <v>16304.6799709549</v>
      </c>
      <c r="H102" s="15" t="n">
        <f aca="false">G102/D102</f>
        <v>2.55456322261424</v>
      </c>
    </row>
    <row r="103" customFormat="false" ht="15" hidden="false" customHeight="false" outlineLevel="0" collapsed="false">
      <c r="B103" s="12" t="n">
        <v>98</v>
      </c>
      <c r="C103" s="16" t="n">
        <f aca="false">'Datos INEGI'!N111/('Datos INEGI'!Q111+'Datos INEGI'!N111/2)</f>
        <v>0.173248055218107</v>
      </c>
      <c r="D103" s="14" t="n">
        <f aca="false">D102-E102</f>
        <v>5243.06451365558</v>
      </c>
      <c r="E103" s="14" t="n">
        <f aca="false">D103*C103</f>
        <v>908.350730373898</v>
      </c>
      <c r="F103" s="14" t="n">
        <f aca="false">D104+(E103/2)</f>
        <v>4788.88914846864</v>
      </c>
      <c r="G103" s="14" t="n">
        <f aca="false">SUM(F103:F$105)</f>
        <v>10491.8624433971</v>
      </c>
      <c r="H103" s="15" t="n">
        <f aca="false">G103/D103</f>
        <v>2.00109352384869</v>
      </c>
    </row>
    <row r="104" customFormat="false" ht="15" hidden="false" customHeight="false" outlineLevel="0" collapsed="false">
      <c r="B104" s="12" t="n">
        <v>99</v>
      </c>
      <c r="C104" s="16" t="n">
        <f aca="false">'Datos INEGI'!N112/('Datos INEGI'!Q112+'Datos INEGI'!N112/2)</f>
        <v>0.184348360686721</v>
      </c>
      <c r="D104" s="14" t="n">
        <f aca="false">D103-E103</f>
        <v>4334.71378328169</v>
      </c>
      <c r="E104" s="14" t="n">
        <f aca="false">D104*C104</f>
        <v>799.097379994112</v>
      </c>
      <c r="F104" s="14" t="n">
        <f aca="false">D105+(E104/2)</f>
        <v>3935.16509328463</v>
      </c>
      <c r="G104" s="14" t="n">
        <f aca="false">SUM(F104:F$105)</f>
        <v>5702.97329492842</v>
      </c>
      <c r="H104" s="15" t="n">
        <f aca="false">G104/D104</f>
        <v>1.31565163931328</v>
      </c>
    </row>
    <row r="105" customFormat="false" ht="15" hidden="false" customHeight="false" outlineLevel="0" collapsed="false">
      <c r="B105" s="20" t="n">
        <v>100</v>
      </c>
      <c r="C105" s="21" t="n">
        <v>1</v>
      </c>
      <c r="D105" s="14" t="n">
        <f aca="false">D104-E104</f>
        <v>3535.61640328757</v>
      </c>
      <c r="E105" s="14" t="n">
        <f aca="false">D105*C105</f>
        <v>3535.61640328757</v>
      </c>
      <c r="F105" s="14" t="n">
        <f aca="false">E105/2</f>
        <v>1767.80820164379</v>
      </c>
      <c r="G105" s="14" t="n">
        <f aca="false">SUM(F105:F$105)</f>
        <v>1767.80820164379</v>
      </c>
      <c r="H105" s="15" t="n">
        <f aca="false">G105/D105</f>
        <v>0.5</v>
      </c>
    </row>
  </sheetData>
  <mergeCells count="2">
    <mergeCell ref="B1:N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8" min="3" style="0" width="21"/>
    <col collapsed="false" customWidth="true" hidden="false" outlineLevel="0" max="10" min="9" style="0" width="3"/>
    <col collapsed="false" customWidth="true" hidden="false" outlineLevel="0" max="11" min="11" style="0" width="30"/>
    <col collapsed="false" customWidth="true" hidden="false" outlineLevel="0" max="12" min="12" style="0" width="20"/>
  </cols>
  <sheetData>
    <row r="1" customFormat="false" ht="17.35" hidden="false" customHeight="false" outlineLevel="0" collapsed="false">
      <c r="B1" s="7" t="s">
        <v>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B2" s="8" t="s">
        <v>47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22" t="s">
        <v>21</v>
      </c>
      <c r="C3" s="22" t="s">
        <v>22</v>
      </c>
      <c r="D3" s="22" t="s">
        <v>23</v>
      </c>
      <c r="E3" s="22" t="s">
        <v>24</v>
      </c>
      <c r="F3" s="22" t="s">
        <v>25</v>
      </c>
      <c r="G3" s="22" t="s">
        <v>26</v>
      </c>
      <c r="H3" s="22" t="s">
        <v>27</v>
      </c>
      <c r="K3" s="10" t="s">
        <v>28</v>
      </c>
    </row>
    <row r="4" customFormat="false" ht="51.75" hidden="false" customHeight="true" outlineLevel="0" collapsed="false">
      <c r="B4" s="11"/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K4" s="10" t="s">
        <v>35</v>
      </c>
    </row>
    <row r="5" customFormat="false" ht="15" hidden="false" customHeight="false" outlineLevel="0" collapsed="false">
      <c r="B5" s="12" t="n">
        <v>0</v>
      </c>
      <c r="C5" s="13" t="n">
        <f aca="false">L9</f>
        <v>0.0136451701350009</v>
      </c>
      <c r="D5" s="14" t="n">
        <f aca="false">Radix</f>
        <v>100000</v>
      </c>
      <c r="E5" s="14" t="n">
        <f aca="false">D5*C5</f>
        <v>1364.51701350009</v>
      </c>
      <c r="F5" s="14" t="n">
        <f aca="false">D6+(E5/2)</f>
        <v>99317.74149325</v>
      </c>
      <c r="G5" s="14" t="n">
        <f aca="false">SUM(F5:F$105)</f>
        <v>7289501.24093887</v>
      </c>
      <c r="H5" s="15" t="n">
        <f aca="false">G5/D5</f>
        <v>72.8950124093887</v>
      </c>
    </row>
    <row r="6" customFormat="false" ht="15" hidden="false" customHeight="false" outlineLevel="0" collapsed="false">
      <c r="B6" s="12" t="n">
        <v>1</v>
      </c>
      <c r="C6" s="16" t="n">
        <f aca="false">'Datos INEGI'!L14/('Datos INEGI'!O14+'Datos INEGI'!L14/2)</f>
        <v>0.00116642464033302</v>
      </c>
      <c r="D6" s="14" t="n">
        <f aca="false">D5-E5</f>
        <v>98635.4829864999</v>
      </c>
      <c r="E6" s="14" t="n">
        <f aca="false">D6*C6</f>
        <v>115.050857766602</v>
      </c>
      <c r="F6" s="14" t="n">
        <f aca="false">D7+(E6/2)</f>
        <v>98577.9575576166</v>
      </c>
      <c r="G6" s="14" t="n">
        <f aca="false">SUM(F6:F$105)</f>
        <v>7190183.49944562</v>
      </c>
      <c r="H6" s="15" t="n">
        <f aca="false">G6/D6</f>
        <v>72.8965204178067</v>
      </c>
      <c r="K6" s="10" t="s">
        <v>36</v>
      </c>
      <c r="L6" s="17" t="n">
        <f aca="false">'Datos INEGI'!B4</f>
        <v>938974</v>
      </c>
    </row>
    <row r="7" customFormat="false" ht="15" hidden="false" customHeight="false" outlineLevel="0" collapsed="false">
      <c r="B7" s="12" t="n">
        <v>2</v>
      </c>
      <c r="C7" s="16" t="n">
        <f aca="false">'Datos INEGI'!L15/('Datos INEGI'!O15+'Datos INEGI'!L15/2)</f>
        <v>0.000594709003836512</v>
      </c>
      <c r="D7" s="14" t="n">
        <f aca="false">D6-E6</f>
        <v>98520.4321287333</v>
      </c>
      <c r="E7" s="14" t="n">
        <f aca="false">D7*C7</f>
        <v>58.5909880488217</v>
      </c>
      <c r="F7" s="14" t="n">
        <f aca="false">D8+(E7/2)</f>
        <v>98491.1366347089</v>
      </c>
      <c r="G7" s="14" t="n">
        <f aca="false">SUM(F7:F$105)</f>
        <v>7091605.541888</v>
      </c>
      <c r="H7" s="15" t="n">
        <f aca="false">G7/D7</f>
        <v>71.9810641169503</v>
      </c>
      <c r="K7" s="10" t="s">
        <v>37</v>
      </c>
      <c r="L7" s="17" t="n">
        <f aca="false">'Datos INEGI'!L13</f>
        <v>12812.4599823423</v>
      </c>
    </row>
    <row r="8" customFormat="false" ht="15" hidden="false" customHeight="false" outlineLevel="0" collapsed="false">
      <c r="B8" s="12" t="n">
        <v>3</v>
      </c>
      <c r="C8" s="16" t="n">
        <f aca="false">'Datos INEGI'!L16/('Datos INEGI'!O16+'Datos INEGI'!L16/2)</f>
        <v>0.000397074037422805</v>
      </c>
      <c r="D8" s="14" t="n">
        <f aca="false">D7-E7</f>
        <v>98461.8411406845</v>
      </c>
      <c r="E8" s="14" t="n">
        <f aca="false">D8*C8</f>
        <v>39.0966407938144</v>
      </c>
      <c r="F8" s="14" t="n">
        <f aca="false">D9+(E8/2)</f>
        <v>98442.2928202876</v>
      </c>
      <c r="G8" s="14" t="n">
        <f aca="false">SUM(F8:F$105)</f>
        <v>6993114.40525329</v>
      </c>
      <c r="H8" s="15" t="n">
        <f aca="false">G8/D8</f>
        <v>71.0235998457654</v>
      </c>
    </row>
    <row r="9" customFormat="false" ht="15" hidden="false" customHeight="false" outlineLevel="0" collapsed="false">
      <c r="B9" s="12" t="n">
        <v>4</v>
      </c>
      <c r="C9" s="16" t="n">
        <f aca="false">'Datos INEGI'!L17/('Datos INEGI'!O17+'Datos INEGI'!L17/2)</f>
        <v>0.000308318402537597</v>
      </c>
      <c r="D9" s="14" t="n">
        <f aca="false">D8-E8</f>
        <v>98422.7444998907</v>
      </c>
      <c r="E9" s="14" t="n">
        <f aca="false">D9*C9</f>
        <v>30.3455433575724</v>
      </c>
      <c r="F9" s="14" t="n">
        <f aca="false">D10+(E9/2)</f>
        <v>98407.5717282119</v>
      </c>
      <c r="G9" s="14" t="n">
        <f aca="false">SUM(F9:F$105)</f>
        <v>6894672.11243301</v>
      </c>
      <c r="H9" s="15" t="n">
        <f aca="false">G9/D9</f>
        <v>70.0516140600069</v>
      </c>
      <c r="K9" s="10" t="s">
        <v>38</v>
      </c>
      <c r="L9" s="18" t="n">
        <f aca="false">L7/L6</f>
        <v>0.0136451701350009</v>
      </c>
    </row>
    <row r="10" customFormat="false" ht="15" hidden="false" customHeight="false" outlineLevel="0" collapsed="false">
      <c r="B10" s="12" t="n">
        <v>5</v>
      </c>
      <c r="C10" s="16" t="n">
        <f aca="false">'Datos INEGI'!L18/('Datos INEGI'!O18+'Datos INEGI'!L18/2)</f>
        <v>0.00026142487251237</v>
      </c>
      <c r="D10" s="14" t="n">
        <f aca="false">D9-E9</f>
        <v>98392.3989565331</v>
      </c>
      <c r="E10" s="14" t="n">
        <f aca="false">D10*C10</f>
        <v>25.7222203533979</v>
      </c>
      <c r="F10" s="14" t="n">
        <f aca="false">D11+(E10/2)</f>
        <v>98379.5378463564</v>
      </c>
      <c r="G10" s="14" t="n">
        <f aca="false">SUM(F10:F$105)</f>
        <v>6796264.54070479</v>
      </c>
      <c r="H10" s="15" t="n">
        <f aca="false">G10/D10</f>
        <v>69.0730647161798</v>
      </c>
      <c r="K10" s="3" t="s">
        <v>39</v>
      </c>
    </row>
    <row r="11" customFormat="false" ht="15" hidden="false" customHeight="false" outlineLevel="0" collapsed="false">
      <c r="B11" s="12" t="n">
        <v>6</v>
      </c>
      <c r="C11" s="16" t="n">
        <f aca="false">'Datos INEGI'!L19/('Datos INEGI'!O19+'Datos INEGI'!L19/2)</f>
        <v>0.000248694653977647</v>
      </c>
      <c r="D11" s="14" t="n">
        <f aca="false">D10-E10</f>
        <v>98366.6767361797</v>
      </c>
      <c r="E11" s="14" t="n">
        <f aca="false">D11*C11</f>
        <v>24.4632666338353</v>
      </c>
      <c r="F11" s="14" t="n">
        <f aca="false">D12+(E11/2)</f>
        <v>98354.4451028628</v>
      </c>
      <c r="G11" s="14" t="n">
        <f aca="false">SUM(F11:F$105)</f>
        <v>6697885.00285844</v>
      </c>
      <c r="H11" s="15" t="n">
        <f aca="false">G11/D11</f>
        <v>68.090996108593</v>
      </c>
      <c r="K11" s="3" t="s">
        <v>40</v>
      </c>
    </row>
    <row r="12" customFormat="false" ht="15" hidden="false" customHeight="false" outlineLevel="0" collapsed="false">
      <c r="B12" s="12" t="n">
        <v>7</v>
      </c>
      <c r="C12" s="16" t="n">
        <f aca="false">'Datos INEGI'!L20/('Datos INEGI'!O20+'Datos INEGI'!L20/2)</f>
        <v>0.000231762099680989</v>
      </c>
      <c r="D12" s="14" t="n">
        <f aca="false">D11-E11</f>
        <v>98342.2134695459</v>
      </c>
      <c r="E12" s="14" t="n">
        <f aca="false">D12*C12</f>
        <v>22.791997880978</v>
      </c>
      <c r="F12" s="14" t="n">
        <f aca="false">D13+(E12/2)</f>
        <v>98330.8174706054</v>
      </c>
      <c r="G12" s="14" t="n">
        <f aca="false">SUM(F12:F$105)</f>
        <v>6599530.55775558</v>
      </c>
      <c r="H12" s="15" t="n">
        <f aca="false">G12/D12</f>
        <v>67.1078098094598</v>
      </c>
      <c r="K12" s="10" t="s">
        <v>25</v>
      </c>
      <c r="L12" s="3" t="s">
        <v>41</v>
      </c>
    </row>
    <row r="13" customFormat="false" ht="15" hidden="false" customHeight="false" outlineLevel="0" collapsed="false">
      <c r="B13" s="12" t="n">
        <v>8</v>
      </c>
      <c r="C13" s="16" t="n">
        <f aca="false">'Datos INEGI'!L21/('Datos INEGI'!O21+'Datos INEGI'!L21/2)</f>
        <v>0.000229746195121359</v>
      </c>
      <c r="D13" s="14" t="n">
        <f aca="false">D12-E12</f>
        <v>98319.4214716649</v>
      </c>
      <c r="E13" s="14" t="n">
        <f aca="false">D13*C13</f>
        <v>22.5885129896483</v>
      </c>
      <c r="F13" s="14" t="n">
        <f aca="false">D14+(E13/2)</f>
        <v>98308.1272151701</v>
      </c>
      <c r="G13" s="14" t="n">
        <f aca="false">SUM(F13:F$105)</f>
        <v>6501199.74028497</v>
      </c>
      <c r="H13" s="15" t="n">
        <f aca="false">G13/D13</f>
        <v>66.1232505538957</v>
      </c>
    </row>
    <row r="14" customFormat="false" ht="15" hidden="false" customHeight="false" outlineLevel="0" collapsed="false">
      <c r="B14" s="12" t="n">
        <v>9</v>
      </c>
      <c r="C14" s="16" t="n">
        <f aca="false">'Datos INEGI'!L22/('Datos INEGI'!O22+'Datos INEGI'!L22/2)</f>
        <v>0.000271522171934557</v>
      </c>
      <c r="D14" s="14" t="n">
        <f aca="false">D13-E13</f>
        <v>98296.8329586752</v>
      </c>
      <c r="E14" s="14" t="n">
        <f aca="false">D14*C14</f>
        <v>26.6897695792278</v>
      </c>
      <c r="F14" s="14" t="n">
        <f aca="false">D15+(E14/2)</f>
        <v>98283.4880738856</v>
      </c>
      <c r="G14" s="14" t="n">
        <f aca="false">SUM(F14:F$105)</f>
        <v>6402891.6130698</v>
      </c>
      <c r="H14" s="15" t="n">
        <f aca="false">G14/D14</f>
        <v>65.1383307106306</v>
      </c>
      <c r="K14" s="3" t="s">
        <v>42</v>
      </c>
    </row>
    <row r="15" customFormat="false" ht="15" hidden="false" customHeight="false" outlineLevel="0" collapsed="false">
      <c r="B15" s="12" t="n">
        <v>10</v>
      </c>
      <c r="C15" s="16" t="n">
        <f aca="false">'Datos INEGI'!L23/('Datos INEGI'!O23+'Datos INEGI'!L23/2)</f>
        <v>0.000265607728147938</v>
      </c>
      <c r="D15" s="14" t="n">
        <f aca="false">D14-E14</f>
        <v>98270.143189096</v>
      </c>
      <c r="E15" s="14" t="n">
        <f aca="false">D15*C15</f>
        <v>26.1013094772284</v>
      </c>
      <c r="F15" s="14" t="n">
        <f aca="false">D16+(E15/2)</f>
        <v>98257.0925343574</v>
      </c>
      <c r="G15" s="14" t="n">
        <f aca="false">SUM(F15:F$105)</f>
        <v>6304608.12499591</v>
      </c>
      <c r="H15" s="15" t="n">
        <f aca="false">G15/D15</f>
        <v>64.1558862172847</v>
      </c>
    </row>
    <row r="16" customFormat="false" ht="15" hidden="false" customHeight="false" outlineLevel="0" collapsed="false">
      <c r="B16" s="12" t="n">
        <v>11</v>
      </c>
      <c r="C16" s="16" t="n">
        <f aca="false">'Datos INEGI'!L24/('Datos INEGI'!O24+'Datos INEGI'!L24/2)</f>
        <v>0.000294272387776476</v>
      </c>
      <c r="D16" s="14" t="n">
        <f aca="false">D15-E15</f>
        <v>98244.0418796188</v>
      </c>
      <c r="E16" s="14" t="n">
        <f aca="false">D16*C16</f>
        <v>28.9105087887275</v>
      </c>
      <c r="F16" s="14" t="n">
        <f aca="false">D17+(E16/2)</f>
        <v>98229.5866252244</v>
      </c>
      <c r="G16" s="14" t="n">
        <f aca="false">SUM(F16:F$105)</f>
        <v>6206351.03246156</v>
      </c>
      <c r="H16" s="15" t="n">
        <f aca="false">G16/D16</f>
        <v>63.1727982045606</v>
      </c>
      <c r="K16" s="3" t="s">
        <v>43</v>
      </c>
    </row>
    <row r="17" customFormat="false" ht="15" hidden="false" customHeight="false" outlineLevel="0" collapsed="false">
      <c r="B17" s="12" t="n">
        <v>12</v>
      </c>
      <c r="C17" s="16" t="n">
        <f aca="false">'Datos INEGI'!L25/('Datos INEGI'!O25+'Datos INEGI'!L25/2)</f>
        <v>0.000338556026435477</v>
      </c>
      <c r="D17" s="14" t="n">
        <f aca="false">D16-E16</f>
        <v>98215.13137083</v>
      </c>
      <c r="E17" s="14" t="n">
        <f aca="false">D17*C17</f>
        <v>33.2513246127466</v>
      </c>
      <c r="F17" s="14" t="n">
        <f aca="false">D18+(E17/2)</f>
        <v>98198.5057085237</v>
      </c>
      <c r="G17" s="14" t="n">
        <f aca="false">SUM(F17:F$105)</f>
        <v>6108121.44583633</v>
      </c>
      <c r="H17" s="15" t="n">
        <f aca="false">G17/D17</f>
        <v>62.191246507363</v>
      </c>
      <c r="K17" s="3" t="s">
        <v>44</v>
      </c>
    </row>
    <row r="18" customFormat="false" ht="15" hidden="false" customHeight="false" outlineLevel="0" collapsed="false">
      <c r="B18" s="12" t="n">
        <v>13</v>
      </c>
      <c r="C18" s="16" t="n">
        <f aca="false">'Datos INEGI'!L26/('Datos INEGI'!O26+'Datos INEGI'!L26/2)</f>
        <v>0.000425390858345421</v>
      </c>
      <c r="D18" s="14" t="n">
        <f aca="false">D17-E17</f>
        <v>98181.8800462173</v>
      </c>
      <c r="E18" s="14" t="n">
        <f aca="false">D18*C18</f>
        <v>41.7656742268275</v>
      </c>
      <c r="F18" s="14" t="n">
        <f aca="false">D19+(E18/2)</f>
        <v>98160.9972091039</v>
      </c>
      <c r="G18" s="14" t="n">
        <f aca="false">SUM(F18:F$105)</f>
        <v>6009922.94012781</v>
      </c>
      <c r="H18" s="15" t="n">
        <f aca="false">G18/D18</f>
        <v>61.2121395241031</v>
      </c>
    </row>
    <row r="19" customFormat="false" ht="15" hidden="false" customHeight="false" outlineLevel="0" collapsed="false">
      <c r="B19" s="12" t="n">
        <v>14</v>
      </c>
      <c r="C19" s="16" t="n">
        <f aca="false">'Datos INEGI'!L27/('Datos INEGI'!O27+'Datos INEGI'!L27/2)</f>
        <v>0.000562534571337266</v>
      </c>
      <c r="D19" s="14" t="n">
        <f aca="false">D18-E18</f>
        <v>98140.1143719905</v>
      </c>
      <c r="E19" s="14" t="n">
        <f aca="false">D19*C19</f>
        <v>55.207207169238</v>
      </c>
      <c r="F19" s="14" t="n">
        <f aca="false">D20+(E19/2)</f>
        <v>98112.5107684059</v>
      </c>
      <c r="G19" s="14" t="n">
        <f aca="false">SUM(F19:F$105)</f>
        <v>5911761.94291871</v>
      </c>
      <c r="H19" s="15" t="n">
        <f aca="false">G19/D19</f>
        <v>60.2379769042326</v>
      </c>
      <c r="K19" s="10" t="s">
        <v>45</v>
      </c>
      <c r="L19" s="19" t="n">
        <f aca="false">SUM(E5:E105)-Radix</f>
        <v>0</v>
      </c>
    </row>
    <row r="20" customFormat="false" ht="15" hidden="false" customHeight="false" outlineLevel="0" collapsed="false">
      <c r="B20" s="12" t="n">
        <v>15</v>
      </c>
      <c r="C20" s="16" t="n">
        <f aca="false">'Datos INEGI'!L28/('Datos INEGI'!O28+'Datos INEGI'!L28/2)</f>
        <v>0.000740795181757582</v>
      </c>
      <c r="D20" s="14" t="n">
        <f aca="false">D19-E19</f>
        <v>98084.9071648212</v>
      </c>
      <c r="E20" s="14" t="n">
        <f aca="false">D20*C20</f>
        <v>72.6608266308393</v>
      </c>
      <c r="F20" s="14" t="n">
        <f aca="false">D21+(E20/2)</f>
        <v>98048.5767515058</v>
      </c>
      <c r="G20" s="14" t="n">
        <f aca="false">SUM(F20:F$105)</f>
        <v>5813649.4321503</v>
      </c>
      <c r="H20" s="15" t="n">
        <f aca="false">G20/D20</f>
        <v>59.2716004958957</v>
      </c>
    </row>
    <row r="21" customFormat="false" ht="15" hidden="false" customHeight="false" outlineLevel="0" collapsed="false">
      <c r="B21" s="12" t="n">
        <v>16</v>
      </c>
      <c r="C21" s="16" t="n">
        <f aca="false">'Datos INEGI'!L29/('Datos INEGI'!O29+'Datos INEGI'!L29/2)</f>
        <v>0.000955614288936365</v>
      </c>
      <c r="D21" s="14" t="n">
        <f aca="false">D20-E20</f>
        <v>98012.2463381904</v>
      </c>
      <c r="E21" s="14" t="n">
        <f aca="false">D21*C21</f>
        <v>93.6619030915257</v>
      </c>
      <c r="F21" s="14" t="n">
        <f aca="false">D22+(E21/2)</f>
        <v>97965.4153866446</v>
      </c>
      <c r="G21" s="14" t="n">
        <f aca="false">SUM(F21:F$105)</f>
        <v>5715600.85539879</v>
      </c>
      <c r="H21" s="15" t="n">
        <f aca="false">G21/D21</f>
        <v>58.3151704908095</v>
      </c>
      <c r="K21" s="3" t="s">
        <v>46</v>
      </c>
    </row>
    <row r="22" customFormat="false" ht="15" hidden="false" customHeight="false" outlineLevel="0" collapsed="false">
      <c r="B22" s="12" t="n">
        <v>17</v>
      </c>
      <c r="C22" s="16" t="n">
        <f aca="false">'Datos INEGI'!L30/('Datos INEGI'!O30+'Datos INEGI'!L30/2)</f>
        <v>0.00120293206612946</v>
      </c>
      <c r="D22" s="14" t="n">
        <f aca="false">D21-E21</f>
        <v>97918.5844350989</v>
      </c>
      <c r="E22" s="14" t="n">
        <f aca="false">D22*C22</f>
        <v>117.789405086986</v>
      </c>
      <c r="F22" s="14" t="n">
        <f aca="false">D23+(E22/2)</f>
        <v>97859.6897325554</v>
      </c>
      <c r="G22" s="14" t="n">
        <f aca="false">SUM(F22:F$105)</f>
        <v>5617635.44001215</v>
      </c>
      <c r="H22" s="15" t="n">
        <f aca="false">G22/D22</f>
        <v>57.3704723410861</v>
      </c>
    </row>
    <row r="23" customFormat="false" ht="15" hidden="false" customHeight="false" outlineLevel="0" collapsed="false">
      <c r="B23" s="12" t="n">
        <v>18</v>
      </c>
      <c r="C23" s="16" t="n">
        <f aca="false">'Datos INEGI'!L31/('Datos INEGI'!O31+'Datos INEGI'!L31/2)</f>
        <v>0.00144810147402952</v>
      </c>
      <c r="D23" s="14" t="n">
        <f aca="false">D22-E22</f>
        <v>97800.7950300119</v>
      </c>
      <c r="E23" s="14" t="n">
        <f aca="false">D23*C23</f>
        <v>141.625475444219</v>
      </c>
      <c r="F23" s="14" t="n">
        <f aca="false">D24+(E23/2)</f>
        <v>97729.9822922898</v>
      </c>
      <c r="G23" s="14" t="n">
        <f aca="false">SUM(F23:F$105)</f>
        <v>5519775.75027959</v>
      </c>
      <c r="H23" s="15" t="n">
        <f aca="false">G23/D23</f>
        <v>56.4389660491589</v>
      </c>
    </row>
    <row r="24" customFormat="false" ht="15" hidden="false" customHeight="false" outlineLevel="0" collapsed="false">
      <c r="B24" s="12" t="n">
        <v>19</v>
      </c>
      <c r="C24" s="16" t="n">
        <f aca="false">'Datos INEGI'!L32/('Datos INEGI'!O32+'Datos INEGI'!L32/2)</f>
        <v>0.00170122072642691</v>
      </c>
      <c r="D24" s="14" t="n">
        <f aca="false">D23-E23</f>
        <v>97659.1695545677</v>
      </c>
      <c r="E24" s="14" t="n">
        <f aca="false">D24*C24</f>
        <v>166.139803371871</v>
      </c>
      <c r="F24" s="14" t="n">
        <f aca="false">D25+(E24/2)</f>
        <v>97576.0996528817</v>
      </c>
      <c r="G24" s="14" t="n">
        <f aca="false">SUM(F24:F$105)</f>
        <v>5422045.7679873</v>
      </c>
      <c r="H24" s="15" t="n">
        <f aca="false">G24/D24</f>
        <v>55.5200888223579</v>
      </c>
    </row>
    <row r="25" customFormat="false" ht="15" hidden="false" customHeight="false" outlineLevel="0" collapsed="false">
      <c r="B25" s="12" t="n">
        <v>20</v>
      </c>
      <c r="C25" s="16" t="n">
        <f aca="false">'Datos INEGI'!L33/('Datos INEGI'!O33+'Datos INEGI'!L33/2)</f>
        <v>0.00191730088938739</v>
      </c>
      <c r="D25" s="14" t="n">
        <f aca="false">D24-E24</f>
        <v>97493.0297511958</v>
      </c>
      <c r="E25" s="14" t="n">
        <f aca="false">D25*C25</f>
        <v>186.923472651039</v>
      </c>
      <c r="F25" s="14" t="n">
        <f aca="false">D26+(E25/2)</f>
        <v>97399.5680148703</v>
      </c>
      <c r="G25" s="14" t="n">
        <f aca="false">SUM(F25:F$105)</f>
        <v>5324469.66833442</v>
      </c>
      <c r="H25" s="15" t="n">
        <f aca="false">G25/D25</f>
        <v>54.6138496456883</v>
      </c>
    </row>
    <row r="26" customFormat="false" ht="15" hidden="false" customHeight="false" outlineLevel="0" collapsed="false">
      <c r="B26" s="12" t="n">
        <v>21</v>
      </c>
      <c r="C26" s="16" t="n">
        <f aca="false">'Datos INEGI'!L34/('Datos INEGI'!O34+'Datos INEGI'!L34/2)</f>
        <v>0.00215490074892031</v>
      </c>
      <c r="D26" s="14" t="n">
        <f aca="false">D25-E25</f>
        <v>97306.1062785448</v>
      </c>
      <c r="E26" s="14" t="n">
        <f aca="false">D26*C26</f>
        <v>209.685001294155</v>
      </c>
      <c r="F26" s="14" t="n">
        <f aca="false">D27+(E26/2)</f>
        <v>97201.2637778977</v>
      </c>
      <c r="G26" s="14" t="n">
        <f aca="false">SUM(F26:F$105)</f>
        <v>5227070.10031955</v>
      </c>
      <c r="H26" s="15" t="n">
        <f aca="false">G26/D26</f>
        <v>53.7178014846955</v>
      </c>
    </row>
    <row r="27" customFormat="false" ht="15" hidden="false" customHeight="false" outlineLevel="0" collapsed="false">
      <c r="B27" s="12" t="n">
        <v>22</v>
      </c>
      <c r="C27" s="16" t="n">
        <f aca="false">'Datos INEGI'!L35/('Datos INEGI'!O35+'Datos INEGI'!L35/2)</f>
        <v>0.00230098406547755</v>
      </c>
      <c r="D27" s="14" t="n">
        <f aca="false">D26-E26</f>
        <v>97096.4212772506</v>
      </c>
      <c r="E27" s="14" t="n">
        <f aca="false">D27*C27</f>
        <v>223.417318173849</v>
      </c>
      <c r="F27" s="14" t="n">
        <f aca="false">D28+(E27/2)</f>
        <v>96984.7126181637</v>
      </c>
      <c r="G27" s="14" t="n">
        <f aca="false">SUM(F27:F$105)</f>
        <v>5129868.83654165</v>
      </c>
      <c r="H27" s="15" t="n">
        <f aca="false">G27/D27</f>
        <v>52.8327282206802</v>
      </c>
    </row>
    <row r="28" customFormat="false" ht="15" hidden="false" customHeight="false" outlineLevel="0" collapsed="false">
      <c r="B28" s="12" t="n">
        <v>23</v>
      </c>
      <c r="C28" s="16" t="n">
        <f aca="false">'Datos INEGI'!L36/('Datos INEGI'!O36+'Datos INEGI'!L36/2)</f>
        <v>0.00248186309811934</v>
      </c>
      <c r="D28" s="14" t="n">
        <f aca="false">D27-E27</f>
        <v>96873.0039590768</v>
      </c>
      <c r="E28" s="14" t="n">
        <f aca="false">D28*C28</f>
        <v>240.425533730002</v>
      </c>
      <c r="F28" s="14" t="n">
        <f aca="false">D29+(E28/2)</f>
        <v>96752.7911922118</v>
      </c>
      <c r="G28" s="14" t="n">
        <f aca="false">SUM(F28:F$105)</f>
        <v>5032884.12392349</v>
      </c>
      <c r="H28" s="15" t="n">
        <f aca="false">G28/D28</f>
        <v>51.9534227105169</v>
      </c>
    </row>
    <row r="29" customFormat="false" ht="15" hidden="false" customHeight="false" outlineLevel="0" collapsed="false">
      <c r="B29" s="12" t="n">
        <v>24</v>
      </c>
      <c r="C29" s="16" t="n">
        <f aca="false">'Datos INEGI'!L37/('Datos INEGI'!O37+'Datos INEGI'!L37/2)</f>
        <v>0.00258131808692586</v>
      </c>
      <c r="D29" s="14" t="n">
        <f aca="false">D28-E28</f>
        <v>96632.5784253468</v>
      </c>
      <c r="E29" s="14" t="n">
        <f aca="false">D29*C29</f>
        <v>249.439422475629</v>
      </c>
      <c r="F29" s="14" t="n">
        <f aca="false">D30+(E29/2)</f>
        <v>96507.858714109</v>
      </c>
      <c r="G29" s="14" t="n">
        <f aca="false">SUM(F29:F$105)</f>
        <v>4936131.33273128</v>
      </c>
      <c r="H29" s="15" t="n">
        <f aca="false">G29/D29</f>
        <v>51.0814407849489</v>
      </c>
    </row>
    <row r="30" customFormat="false" ht="15" hidden="false" customHeight="false" outlineLevel="0" collapsed="false">
      <c r="B30" s="12" t="n">
        <v>25</v>
      </c>
      <c r="C30" s="16" t="n">
        <f aca="false">'Datos INEGI'!L38/('Datos INEGI'!O38+'Datos INEGI'!L38/2)</f>
        <v>0.00274599594267378</v>
      </c>
      <c r="D30" s="14" t="n">
        <f aca="false">D29-E29</f>
        <v>96383.1390028711</v>
      </c>
      <c r="E30" s="14" t="n">
        <f aca="false">D30*C30</f>
        <v>264.667708644047</v>
      </c>
      <c r="F30" s="14" t="n">
        <f aca="false">D31+(E30/2)</f>
        <v>96250.8051485491</v>
      </c>
      <c r="G30" s="14" t="n">
        <f aca="false">SUM(F30:F$105)</f>
        <v>4839623.47401717</v>
      </c>
      <c r="H30" s="15" t="n">
        <f aca="false">G30/D30</f>
        <v>50.2123454795657</v>
      </c>
    </row>
    <row r="31" customFormat="false" ht="15" hidden="false" customHeight="false" outlineLevel="0" collapsed="false">
      <c r="B31" s="12" t="n">
        <v>26</v>
      </c>
      <c r="C31" s="16" t="n">
        <f aca="false">'Datos INEGI'!L39/('Datos INEGI'!O39+'Datos INEGI'!L39/2)</f>
        <v>0.00280875333358597</v>
      </c>
      <c r="D31" s="14" t="n">
        <f aca="false">D30-E30</f>
        <v>96118.4712942271</v>
      </c>
      <c r="E31" s="14" t="n">
        <f aca="false">D31*C31</f>
        <v>269.973076666848</v>
      </c>
      <c r="F31" s="14" t="n">
        <f aca="false">D32+(E31/2)</f>
        <v>95983.4847558937</v>
      </c>
      <c r="G31" s="14" t="n">
        <f aca="false">SUM(F31:F$105)</f>
        <v>4743372.66886862</v>
      </c>
      <c r="H31" s="15" t="n">
        <f aca="false">G31/D31</f>
        <v>49.3492312663686</v>
      </c>
    </row>
    <row r="32" customFormat="false" ht="15" hidden="false" customHeight="false" outlineLevel="0" collapsed="false">
      <c r="B32" s="12" t="n">
        <v>27</v>
      </c>
      <c r="C32" s="16" t="n">
        <f aca="false">'Datos INEGI'!L40/('Datos INEGI'!O40+'Datos INEGI'!L40/2)</f>
        <v>0.00293248806757778</v>
      </c>
      <c r="D32" s="14" t="n">
        <f aca="false">D31-E31</f>
        <v>95848.4982175602</v>
      </c>
      <c r="E32" s="14" t="n">
        <f aca="false">D32*C32</f>
        <v>281.074577318245</v>
      </c>
      <c r="F32" s="14" t="n">
        <f aca="false">D33+(E32/2)</f>
        <v>95707.9609289011</v>
      </c>
      <c r="G32" s="14" t="n">
        <f aca="false">SUM(F32:F$105)</f>
        <v>4647389.18411273</v>
      </c>
      <c r="H32" s="15" t="n">
        <f aca="false">G32/D32</f>
        <v>48.486823169247</v>
      </c>
    </row>
    <row r="33" customFormat="false" ht="15" hidden="false" customHeight="false" outlineLevel="0" collapsed="false">
      <c r="B33" s="12" t="n">
        <v>28</v>
      </c>
      <c r="C33" s="16" t="n">
        <f aca="false">'Datos INEGI'!L41/('Datos INEGI'!O41+'Datos INEGI'!L41/2)</f>
        <v>0.00291085614370532</v>
      </c>
      <c r="D33" s="14" t="n">
        <f aca="false">D32-E32</f>
        <v>95567.423640242</v>
      </c>
      <c r="E33" s="14" t="n">
        <f aca="false">D33*C33</f>
        <v>278.183022241287</v>
      </c>
      <c r="F33" s="14" t="n">
        <f aca="false">D34+(E33/2)</f>
        <v>95428.3321291214</v>
      </c>
      <c r="G33" s="14" t="n">
        <f aca="false">SUM(F33:F$105)</f>
        <v>4551681.22318383</v>
      </c>
      <c r="H33" s="15" t="n">
        <f aca="false">G33/D33</f>
        <v>47.6279578313041</v>
      </c>
    </row>
    <row r="34" customFormat="false" ht="15" hidden="false" customHeight="false" outlineLevel="0" collapsed="false">
      <c r="B34" s="12" t="n">
        <v>29</v>
      </c>
      <c r="C34" s="16" t="n">
        <f aca="false">'Datos INEGI'!L42/('Datos INEGI'!O42+'Datos INEGI'!L42/2)</f>
        <v>0.00305353505691056</v>
      </c>
      <c r="D34" s="14" t="n">
        <f aca="false">D33-E33</f>
        <v>95289.2406180007</v>
      </c>
      <c r="E34" s="14" t="n">
        <f aca="false">D34*C34</f>
        <v>290.96903677345</v>
      </c>
      <c r="F34" s="14" t="n">
        <f aca="false">D35+(E34/2)</f>
        <v>95143.756099614</v>
      </c>
      <c r="G34" s="14" t="n">
        <f aca="false">SUM(F34:F$105)</f>
        <v>4456252.8910547</v>
      </c>
      <c r="H34" s="15" t="n">
        <f aca="false">G34/D34</f>
        <v>46.7655410217729</v>
      </c>
    </row>
    <row r="35" customFormat="false" ht="15" hidden="false" customHeight="false" outlineLevel="0" collapsed="false">
      <c r="B35" s="12" t="n">
        <v>30</v>
      </c>
      <c r="C35" s="16" t="n">
        <f aca="false">'Datos INEGI'!L43/('Datos INEGI'!O43+'Datos INEGI'!L43/2)</f>
        <v>0.00303319357098512</v>
      </c>
      <c r="D35" s="14" t="n">
        <f aca="false">D34-E34</f>
        <v>94998.2715812273</v>
      </c>
      <c r="E35" s="14" t="n">
        <f aca="false">D35*C35</f>
        <v>288.148146614877</v>
      </c>
      <c r="F35" s="14" t="n">
        <f aca="false">D36+(E35/2)</f>
        <v>94854.1975079198</v>
      </c>
      <c r="G35" s="14" t="n">
        <f aca="false">SUM(F35:F$105)</f>
        <v>4361109.13495509</v>
      </c>
      <c r="H35" s="15" t="n">
        <f aca="false">G35/D35</f>
        <v>45.9072471779254</v>
      </c>
    </row>
    <row r="36" customFormat="false" ht="15" hidden="false" customHeight="false" outlineLevel="0" collapsed="false">
      <c r="B36" s="12" t="n">
        <v>31</v>
      </c>
      <c r="C36" s="16" t="n">
        <f aca="false">'Datos INEGI'!L44/('Datos INEGI'!O44+'Datos INEGI'!L44/2)</f>
        <v>0.00312573643620411</v>
      </c>
      <c r="D36" s="14" t="n">
        <f aca="false">D35-E35</f>
        <v>94710.1234346124</v>
      </c>
      <c r="E36" s="14" t="n">
        <f aca="false">D36*C36</f>
        <v>296.038883696957</v>
      </c>
      <c r="F36" s="14" t="n">
        <f aca="false">D37+(E36/2)</f>
        <v>94562.1039927639</v>
      </c>
      <c r="G36" s="14" t="n">
        <f aca="false">SUM(F36:F$105)</f>
        <v>4266254.93744717</v>
      </c>
      <c r="H36" s="15" t="n">
        <f aca="false">G36/D36</f>
        <v>45.0453951777666</v>
      </c>
    </row>
    <row r="37" customFormat="false" ht="15" hidden="false" customHeight="false" outlineLevel="0" collapsed="false">
      <c r="B37" s="12" t="n">
        <v>32</v>
      </c>
      <c r="C37" s="16" t="n">
        <f aca="false">'Datos INEGI'!L45/('Datos INEGI'!O45+'Datos INEGI'!L45/2)</f>
        <v>0.00316534892685622</v>
      </c>
      <c r="D37" s="14" t="n">
        <f aca="false">D36-E36</f>
        <v>94414.0845509154</v>
      </c>
      <c r="E37" s="14" t="n">
        <f aca="false">D37*C37</f>
        <v>298.853521213353</v>
      </c>
      <c r="F37" s="14" t="n">
        <f aca="false">D38+(E37/2)</f>
        <v>94264.6577903088</v>
      </c>
      <c r="G37" s="14" t="n">
        <f aca="false">SUM(F37:F$105)</f>
        <v>4171692.83345441</v>
      </c>
      <c r="H37" s="15" t="n">
        <f aca="false">G37/D37</f>
        <v>44.1850689258625</v>
      </c>
    </row>
    <row r="38" customFormat="false" ht="15" hidden="false" customHeight="false" outlineLevel="0" collapsed="false">
      <c r="B38" s="12" t="n">
        <v>33</v>
      </c>
      <c r="C38" s="16" t="n">
        <f aca="false">'Datos INEGI'!L46/('Datos INEGI'!O46+'Datos INEGI'!L46/2)</f>
        <v>0.00333149983555474</v>
      </c>
      <c r="D38" s="14" t="n">
        <f aca="false">D37-E37</f>
        <v>94115.2310297021</v>
      </c>
      <c r="E38" s="14" t="n">
        <f aca="false">D38*C38</f>
        <v>313.544876698649</v>
      </c>
      <c r="F38" s="14" t="n">
        <f aca="false">D39+(E38/2)</f>
        <v>93958.4585913527</v>
      </c>
      <c r="G38" s="14" t="n">
        <f aca="false">SUM(F38:F$105)</f>
        <v>4077428.1756641</v>
      </c>
      <c r="H38" s="15" t="n">
        <f aca="false">G38/D38</f>
        <v>43.3237865014356</v>
      </c>
    </row>
    <row r="39" customFormat="false" ht="15" hidden="false" customHeight="false" outlineLevel="0" collapsed="false">
      <c r="B39" s="12" t="n">
        <v>34</v>
      </c>
      <c r="C39" s="16" t="n">
        <f aca="false">'Datos INEGI'!L47/('Datos INEGI'!O47+'Datos INEGI'!L47/2)</f>
        <v>0.00325247830791616</v>
      </c>
      <c r="D39" s="14" t="n">
        <f aca="false">D38-E38</f>
        <v>93801.6861530034</v>
      </c>
      <c r="E39" s="14" t="n">
        <f aca="false">D39*C39</f>
        <v>305.087949458603</v>
      </c>
      <c r="F39" s="14" t="n">
        <f aca="false">D40+(E39/2)</f>
        <v>93649.1421782741</v>
      </c>
      <c r="G39" s="14" t="n">
        <f aca="false">SUM(F39:F$105)</f>
        <v>3983469.71707274</v>
      </c>
      <c r="H39" s="15" t="n">
        <f aca="false">G39/D39</f>
        <v>42.4669308244114</v>
      </c>
    </row>
    <row r="40" customFormat="false" ht="15" hidden="false" customHeight="false" outlineLevel="0" collapsed="false">
      <c r="B40" s="12" t="n">
        <v>35</v>
      </c>
      <c r="C40" s="16" t="n">
        <f aca="false">'Datos INEGI'!L48/('Datos INEGI'!O48+'Datos INEGI'!L48/2)</f>
        <v>0.00347171016367551</v>
      </c>
      <c r="D40" s="14" t="n">
        <f aca="false">D39-E39</f>
        <v>93496.5982035448</v>
      </c>
      <c r="E40" s="14" t="n">
        <f aca="false">D40*C40</f>
        <v>324.593090252332</v>
      </c>
      <c r="F40" s="14" t="n">
        <f aca="false">D41+(E40/2)</f>
        <v>93334.3016584187</v>
      </c>
      <c r="G40" s="14" t="n">
        <f aca="false">SUM(F40:F$105)</f>
        <v>3889820.57489447</v>
      </c>
      <c r="H40" s="15" t="n">
        <f aca="false">G40/D40</f>
        <v>41.6038727572336</v>
      </c>
    </row>
    <row r="41" customFormat="false" ht="15" hidden="false" customHeight="false" outlineLevel="0" collapsed="false">
      <c r="B41" s="12" t="n">
        <v>36</v>
      </c>
      <c r="C41" s="16" t="n">
        <f aca="false">'Datos INEGI'!L49/('Datos INEGI'!O49+'Datos INEGI'!L49/2)</f>
        <v>0.00345116924743446</v>
      </c>
      <c r="D41" s="14" t="n">
        <f aca="false">D40-E40</f>
        <v>93172.0051132925</v>
      </c>
      <c r="E41" s="14" t="n">
        <f aca="false">D41*C41</f>
        <v>321.552358768801</v>
      </c>
      <c r="F41" s="14" t="n">
        <f aca="false">D42+(E41/2)</f>
        <v>93011.2289339081</v>
      </c>
      <c r="G41" s="14" t="n">
        <f aca="false">SUM(F41:F$105)</f>
        <v>3796486.27323605</v>
      </c>
      <c r="H41" s="15" t="n">
        <f aca="false">G41/D41</f>
        <v>40.747070631567</v>
      </c>
    </row>
    <row r="42" customFormat="false" ht="15" hidden="false" customHeight="false" outlineLevel="0" collapsed="false">
      <c r="B42" s="12" t="n">
        <v>37</v>
      </c>
      <c r="C42" s="16" t="n">
        <f aca="false">'Datos INEGI'!L50/('Datos INEGI'!O50+'Datos INEGI'!L50/2)</f>
        <v>0.00355776923818056</v>
      </c>
      <c r="D42" s="14" t="n">
        <f aca="false">D41-E41</f>
        <v>92850.4527545237</v>
      </c>
      <c r="E42" s="14" t="n">
        <f aca="false">D42*C42</f>
        <v>330.340484561182</v>
      </c>
      <c r="F42" s="14" t="n">
        <f aca="false">D43+(E42/2)</f>
        <v>92685.2825122431</v>
      </c>
      <c r="G42" s="14" t="n">
        <f aca="false">SUM(F42:F$105)</f>
        <v>3703475.04430214</v>
      </c>
      <c r="H42" s="15" t="n">
        <f aca="false">G42/D42</f>
        <v>39.8864511096497</v>
      </c>
    </row>
    <row r="43" customFormat="false" ht="15" hidden="false" customHeight="false" outlineLevel="0" collapsed="false">
      <c r="B43" s="12" t="n">
        <v>38</v>
      </c>
      <c r="C43" s="16" t="n">
        <f aca="false">'Datos INEGI'!L51/('Datos INEGI'!O51+'Datos INEGI'!L51/2)</f>
        <v>0.0035547884661962</v>
      </c>
      <c r="D43" s="14" t="n">
        <f aca="false">D42-E42</f>
        <v>92520.1122699625</v>
      </c>
      <c r="E43" s="14" t="n">
        <f aca="false">D43*C43</f>
        <v>328.88942798844</v>
      </c>
      <c r="F43" s="14" t="n">
        <f aca="false">D44+(E43/2)</f>
        <v>92355.6675559683</v>
      </c>
      <c r="G43" s="14" t="n">
        <f aca="false">SUM(F43:F$105)</f>
        <v>3610789.7617899</v>
      </c>
      <c r="H43" s="15" t="n">
        <f aca="false">G43/D43</f>
        <v>39.0270793365885</v>
      </c>
    </row>
    <row r="44" customFormat="false" ht="15" hidden="false" customHeight="false" outlineLevel="0" collapsed="false">
      <c r="B44" s="12" t="n">
        <v>39</v>
      </c>
      <c r="C44" s="16" t="n">
        <f aca="false">'Datos INEGI'!L52/('Datos INEGI'!O52+'Datos INEGI'!L52/2)</f>
        <v>0.00388459748728604</v>
      </c>
      <c r="D44" s="14" t="n">
        <f aca="false">D43-E43</f>
        <v>92191.2228419741</v>
      </c>
      <c r="E44" s="14" t="n">
        <f aca="false">D44*C44</f>
        <v>358.12579260176</v>
      </c>
      <c r="F44" s="14" t="n">
        <f aca="false">D45+(E44/2)</f>
        <v>92012.1599456732</v>
      </c>
      <c r="G44" s="14" t="n">
        <f aca="false">SUM(F44:F$105)</f>
        <v>3518434.09423393</v>
      </c>
      <c r="H44" s="15" t="n">
        <f aca="false">G44/D44</f>
        <v>38.1645235389156</v>
      </c>
    </row>
    <row r="45" customFormat="false" ht="15" hidden="false" customHeight="false" outlineLevel="0" collapsed="false">
      <c r="B45" s="12" t="n">
        <v>40</v>
      </c>
      <c r="C45" s="16" t="n">
        <f aca="false">'Datos INEGI'!L53/('Datos INEGI'!O53+'Datos INEGI'!L53/2)</f>
        <v>0.003831842577918</v>
      </c>
      <c r="D45" s="14" t="n">
        <f aca="false">D44-E44</f>
        <v>91833.0970493723</v>
      </c>
      <c r="E45" s="14" t="n">
        <f aca="false">D45*C45</f>
        <v>351.889971335861</v>
      </c>
      <c r="F45" s="14" t="n">
        <f aca="false">D46+(E45/2)</f>
        <v>91657.1520637044</v>
      </c>
      <c r="G45" s="14" t="n">
        <f aca="false">SUM(F45:F$105)</f>
        <v>3426421.93428826</v>
      </c>
      <c r="H45" s="15" t="n">
        <f aca="false">G45/D45</f>
        <v>37.3114056302175</v>
      </c>
    </row>
    <row r="46" customFormat="false" ht="15" hidden="false" customHeight="false" outlineLevel="0" collapsed="false">
      <c r="B46" s="12" t="n">
        <v>41</v>
      </c>
      <c r="C46" s="16" t="n">
        <f aca="false">'Datos INEGI'!L54/('Datos INEGI'!O54+'Datos INEGI'!L54/2)</f>
        <v>0.00415184089084255</v>
      </c>
      <c r="D46" s="14" t="n">
        <f aca="false">D45-E45</f>
        <v>91481.2070780365</v>
      </c>
      <c r="E46" s="14" t="n">
        <f aca="false">D46*C46</f>
        <v>379.815416290226</v>
      </c>
      <c r="F46" s="14" t="n">
        <f aca="false">D47+(E46/2)</f>
        <v>91291.2993698914</v>
      </c>
      <c r="G46" s="14" t="n">
        <f aca="false">SUM(F46:F$105)</f>
        <v>3334764.78222455</v>
      </c>
      <c r="H46" s="15" t="n">
        <f aca="false">G46/D46</f>
        <v>36.4530037232663</v>
      </c>
    </row>
    <row r="47" customFormat="false" ht="15" hidden="false" customHeight="false" outlineLevel="0" collapsed="false">
      <c r="B47" s="12" t="n">
        <v>42</v>
      </c>
      <c r="C47" s="16" t="n">
        <f aca="false">'Datos INEGI'!L55/('Datos INEGI'!O55+'Datos INEGI'!L55/2)</f>
        <v>0.00442813752571784</v>
      </c>
      <c r="D47" s="14" t="n">
        <f aca="false">D46-E46</f>
        <v>91101.3916617462</v>
      </c>
      <c r="E47" s="14" t="n">
        <f aca="false">D47*C47</f>
        <v>403.409491062497</v>
      </c>
      <c r="F47" s="14" t="n">
        <f aca="false">D48+(E47/2)</f>
        <v>90899.686916215</v>
      </c>
      <c r="G47" s="14" t="n">
        <f aca="false">SUM(F47:F$105)</f>
        <v>3243473.48285466</v>
      </c>
      <c r="H47" s="15" t="n">
        <f aca="false">G47/D47</f>
        <v>35.602897208173</v>
      </c>
    </row>
    <row r="48" customFormat="false" ht="15" hidden="false" customHeight="false" outlineLevel="0" collapsed="false">
      <c r="B48" s="12" t="n">
        <v>43</v>
      </c>
      <c r="C48" s="16" t="n">
        <f aca="false">'Datos INEGI'!L56/('Datos INEGI'!O56+'Datos INEGI'!L56/2)</f>
        <v>0.00476844124577124</v>
      </c>
      <c r="D48" s="14" t="n">
        <f aca="false">D47-E47</f>
        <v>90697.9821706837</v>
      </c>
      <c r="E48" s="14" t="n">
        <f aca="false">D48*C48</f>
        <v>432.487999090913</v>
      </c>
      <c r="F48" s="14" t="n">
        <f aca="false">D49+(E48/2)</f>
        <v>90481.7381711383</v>
      </c>
      <c r="G48" s="14" t="n">
        <f aca="false">SUM(F48:F$105)</f>
        <v>3152573.79593845</v>
      </c>
      <c r="H48" s="15" t="n">
        <f aca="false">G48/D48</f>
        <v>34.7590290377756</v>
      </c>
    </row>
    <row r="49" customFormat="false" ht="15" hidden="false" customHeight="false" outlineLevel="0" collapsed="false">
      <c r="B49" s="12" t="n">
        <v>44</v>
      </c>
      <c r="C49" s="16" t="n">
        <f aca="false">'Datos INEGI'!L57/('Datos INEGI'!O57+'Datos INEGI'!L57/2)</f>
        <v>0.00489093297958651</v>
      </c>
      <c r="D49" s="14" t="n">
        <f aca="false">D48-E48</f>
        <v>90265.4941715928</v>
      </c>
      <c r="E49" s="14" t="n">
        <f aca="false">D49*C49</f>
        <v>441.482482362518</v>
      </c>
      <c r="F49" s="14" t="n">
        <f aca="false">D50+(E49/2)</f>
        <v>90044.7529304116</v>
      </c>
      <c r="G49" s="14" t="n">
        <f aca="false">SUM(F49:F$105)</f>
        <v>3062092.05776731</v>
      </c>
      <c r="H49" s="15" t="n">
        <f aca="false">G49/D49</f>
        <v>33.9231739201066</v>
      </c>
    </row>
    <row r="50" customFormat="false" ht="15" hidden="false" customHeight="false" outlineLevel="0" collapsed="false">
      <c r="B50" s="12" t="n">
        <v>45</v>
      </c>
      <c r="C50" s="16" t="n">
        <f aca="false">'Datos INEGI'!L58/('Datos INEGI'!O58+'Datos INEGI'!L58/2)</f>
        <v>0.00537927374506102</v>
      </c>
      <c r="D50" s="14" t="n">
        <f aca="false">D49-E49</f>
        <v>89824.0116892303</v>
      </c>
      <c r="E50" s="14" t="n">
        <f aca="false">D50*C50</f>
        <v>483.187947755931</v>
      </c>
      <c r="F50" s="14" t="n">
        <f aca="false">D51+(E50/2)</f>
        <v>89582.4177153524</v>
      </c>
      <c r="G50" s="14" t="n">
        <f aca="false">SUM(F50:F$105)</f>
        <v>2972047.3048369</v>
      </c>
      <c r="H50" s="15" t="n">
        <f aca="false">G50/D50</f>
        <v>33.0874478766265</v>
      </c>
    </row>
    <row r="51" customFormat="false" ht="15" hidden="false" customHeight="false" outlineLevel="0" collapsed="false">
      <c r="B51" s="12" t="n">
        <v>46</v>
      </c>
      <c r="C51" s="16" t="n">
        <f aca="false">'Datos INEGI'!L59/('Datos INEGI'!O59+'Datos INEGI'!L59/2)</f>
        <v>0.00554822583494178</v>
      </c>
      <c r="D51" s="14" t="n">
        <f aca="false">D50-E50</f>
        <v>89340.8237414744</v>
      </c>
      <c r="E51" s="14" t="n">
        <f aca="false">D51*C51</f>
        <v>495.683066397428</v>
      </c>
      <c r="F51" s="14" t="n">
        <f aca="false">D52+(E51/2)</f>
        <v>89092.9822082757</v>
      </c>
      <c r="G51" s="14" t="n">
        <f aca="false">SUM(F51:F$105)</f>
        <v>2882464.88712155</v>
      </c>
      <c r="H51" s="15" t="n">
        <f aca="false">G51/D51</f>
        <v>32.2636927488215</v>
      </c>
    </row>
    <row r="52" customFormat="false" ht="15" hidden="false" customHeight="false" outlineLevel="0" collapsed="false">
      <c r="B52" s="12" t="n">
        <v>47</v>
      </c>
      <c r="C52" s="16" t="n">
        <f aca="false">'Datos INEGI'!L60/('Datos INEGI'!O60+'Datos INEGI'!L60/2)</f>
        <v>0.00567539499334933</v>
      </c>
      <c r="D52" s="14" t="n">
        <f aca="false">D51-E51</f>
        <v>88845.140675077</v>
      </c>
      <c r="E52" s="14" t="n">
        <f aca="false">D52*C52</f>
        <v>504.231266570749</v>
      </c>
      <c r="F52" s="14" t="n">
        <f aca="false">D53+(E52/2)</f>
        <v>88593.0250417916</v>
      </c>
      <c r="G52" s="14" t="n">
        <f aca="false">SUM(F52:F$105)</f>
        <v>2793371.90491327</v>
      </c>
      <c r="H52" s="15" t="n">
        <f aca="false">G52/D52</f>
        <v>31.4409081204469</v>
      </c>
    </row>
    <row r="53" customFormat="false" ht="15" hidden="false" customHeight="false" outlineLevel="0" collapsed="false">
      <c r="B53" s="12" t="n">
        <v>48</v>
      </c>
      <c r="C53" s="16" t="n">
        <f aca="false">'Datos INEGI'!L61/('Datos INEGI'!O61+'Datos INEGI'!L61/2)</f>
        <v>0.0059014622371664</v>
      </c>
      <c r="D53" s="14" t="n">
        <f aca="false">D52-E52</f>
        <v>88340.9094085062</v>
      </c>
      <c r="E53" s="14" t="n">
        <f aca="false">D53*C53</f>
        <v>521.340540871238</v>
      </c>
      <c r="F53" s="14" t="n">
        <f aca="false">D54+(E53/2)</f>
        <v>88080.2391380706</v>
      </c>
      <c r="G53" s="14" t="n">
        <f aca="false">SUM(F53:F$105)</f>
        <v>2704778.87987148</v>
      </c>
      <c r="H53" s="15" t="n">
        <f aca="false">G53/D53</f>
        <v>30.6175122939253</v>
      </c>
    </row>
    <row r="54" customFormat="false" ht="15" hidden="false" customHeight="false" outlineLevel="0" collapsed="false">
      <c r="B54" s="12" t="n">
        <v>49</v>
      </c>
      <c r="C54" s="16" t="n">
        <f aca="false">'Datos INEGI'!L62/('Datos INEGI'!O62+'Datos INEGI'!L62/2)</f>
        <v>0.00634492673327474</v>
      </c>
      <c r="D54" s="14" t="n">
        <f aca="false">D53-E53</f>
        <v>87819.568867635</v>
      </c>
      <c r="E54" s="14" t="n">
        <f aca="false">D54*C54</f>
        <v>557.208730212919</v>
      </c>
      <c r="F54" s="14" t="n">
        <f aca="false">D55+(E54/2)</f>
        <v>87540.9645025285</v>
      </c>
      <c r="G54" s="14" t="n">
        <f aca="false">SUM(F54:F$105)</f>
        <v>2616698.64073341</v>
      </c>
      <c r="H54" s="15" t="n">
        <f aca="false">G54/D54</f>
        <v>29.7963047925844</v>
      </c>
    </row>
    <row r="55" customFormat="false" ht="15" hidden="false" customHeight="false" outlineLevel="0" collapsed="false">
      <c r="B55" s="12" t="n">
        <v>50</v>
      </c>
      <c r="C55" s="16" t="n">
        <f aca="false">'Datos INEGI'!L63/('Datos INEGI'!O63+'Datos INEGI'!L63/2)</f>
        <v>0.00650694898464634</v>
      </c>
      <c r="D55" s="14" t="n">
        <f aca="false">D54-E54</f>
        <v>87262.3601374221</v>
      </c>
      <c r="E55" s="14" t="n">
        <f aca="false">D55*C55</f>
        <v>567.811725694042</v>
      </c>
      <c r="F55" s="14" t="n">
        <f aca="false">D56+(E55/2)</f>
        <v>86978.454274575</v>
      </c>
      <c r="G55" s="14" t="n">
        <f aca="false">SUM(F55:F$105)</f>
        <v>2529157.67623088</v>
      </c>
      <c r="H55" s="15" t="n">
        <f aca="false">G55/D55</f>
        <v>28.9833746445538</v>
      </c>
    </row>
    <row r="56" customFormat="false" ht="15" hidden="false" customHeight="false" outlineLevel="0" collapsed="false">
      <c r="B56" s="12" t="n">
        <v>51</v>
      </c>
      <c r="C56" s="16" t="n">
        <f aca="false">'Datos INEGI'!L64/('Datos INEGI'!O64+'Datos INEGI'!L64/2)</f>
        <v>0.00699351181057803</v>
      </c>
      <c r="D56" s="14" t="n">
        <f aca="false">D55-E55</f>
        <v>86694.548411728</v>
      </c>
      <c r="E56" s="14" t="n">
        <f aca="false">D56*C56</f>
        <v>606.299348230149</v>
      </c>
      <c r="F56" s="14" t="n">
        <f aca="false">D57+(E56/2)</f>
        <v>86391.3987376129</v>
      </c>
      <c r="G56" s="14" t="n">
        <f aca="false">SUM(F56:F$105)</f>
        <v>2442179.2219563</v>
      </c>
      <c r="H56" s="15" t="n">
        <f aca="false">G56/D56</f>
        <v>28.1699284060857</v>
      </c>
    </row>
    <row r="57" customFormat="false" ht="15" hidden="false" customHeight="false" outlineLevel="0" collapsed="false">
      <c r="B57" s="12" t="n">
        <v>52</v>
      </c>
      <c r="C57" s="16" t="n">
        <f aca="false">'Datos INEGI'!L65/('Datos INEGI'!O65+'Datos INEGI'!L65/2)</f>
        <v>0.00748420763702568</v>
      </c>
      <c r="D57" s="14" t="n">
        <f aca="false">D56-E56</f>
        <v>86088.2490634979</v>
      </c>
      <c r="E57" s="14" t="n">
        <f aca="false">D57*C57</f>
        <v>644.3023310992</v>
      </c>
      <c r="F57" s="14" t="n">
        <f aca="false">D58+(E57/2)</f>
        <v>85766.0978979483</v>
      </c>
      <c r="G57" s="14" t="n">
        <f aca="false">SUM(F57:F$105)</f>
        <v>2355787.82321869</v>
      </c>
      <c r="H57" s="15" t="n">
        <f aca="false">G57/D57</f>
        <v>27.3648012225349</v>
      </c>
    </row>
    <row r="58" customFormat="false" ht="15" hidden="false" customHeight="false" outlineLevel="0" collapsed="false">
      <c r="B58" s="12" t="n">
        <v>53</v>
      </c>
      <c r="C58" s="16" t="n">
        <f aca="false">'Datos INEGI'!L66/('Datos INEGI'!O66+'Datos INEGI'!L66/2)</f>
        <v>0.00836048263777522</v>
      </c>
      <c r="D58" s="14" t="n">
        <f aca="false">D57-E57</f>
        <v>85443.9467323987</v>
      </c>
      <c r="E58" s="14" t="n">
        <f aca="false">D58*C58</f>
        <v>714.352633159209</v>
      </c>
      <c r="F58" s="14" t="n">
        <f aca="false">D59+(E58/2)</f>
        <v>85086.770415819</v>
      </c>
      <c r="G58" s="14" t="n">
        <f aca="false">SUM(F58:F$105)</f>
        <v>2270021.72532074</v>
      </c>
      <c r="H58" s="15" t="n">
        <f aca="false">G58/D58</f>
        <v>26.567379107969</v>
      </c>
    </row>
    <row r="59" customFormat="false" ht="15" hidden="false" customHeight="false" outlineLevel="0" collapsed="false">
      <c r="B59" s="12" t="n">
        <v>54</v>
      </c>
      <c r="C59" s="16" t="n">
        <f aca="false">'Datos INEGI'!L67/('Datos INEGI'!O67+'Datos INEGI'!L67/2)</f>
        <v>0.00848582474456672</v>
      </c>
      <c r="D59" s="14" t="n">
        <f aca="false">D58-E58</f>
        <v>84729.5940992394</v>
      </c>
      <c r="E59" s="14" t="n">
        <f aca="false">D59*C59</f>
        <v>719.000486204421</v>
      </c>
      <c r="F59" s="14" t="n">
        <f aca="false">D60+(E59/2)</f>
        <v>84370.0938561372</v>
      </c>
      <c r="G59" s="14" t="n">
        <f aca="false">SUM(F59:F$105)</f>
        <v>2184934.95490492</v>
      </c>
      <c r="H59" s="15" t="n">
        <f aca="false">G59/D59</f>
        <v>25.7871523891147</v>
      </c>
    </row>
    <row r="60" customFormat="false" ht="15" hidden="false" customHeight="false" outlineLevel="0" collapsed="false">
      <c r="B60" s="12" t="n">
        <v>55</v>
      </c>
      <c r="C60" s="16" t="n">
        <f aca="false">'Datos INEGI'!L68/('Datos INEGI'!O68+'Datos INEGI'!L68/2)</f>
        <v>0.00952733911046093</v>
      </c>
      <c r="D60" s="14" t="n">
        <f aca="false">D59-E59</f>
        <v>84010.593613035</v>
      </c>
      <c r="E60" s="14" t="n">
        <f aca="false">D60*C60</f>
        <v>800.397414222508</v>
      </c>
      <c r="F60" s="14" t="n">
        <f aca="false">D61+(E60/2)</f>
        <v>83610.3949059238</v>
      </c>
      <c r="G60" s="14" t="n">
        <f aca="false">SUM(F60:F$105)</f>
        <v>2100564.86104879</v>
      </c>
      <c r="H60" s="15" t="n">
        <f aca="false">G60/D60</f>
        <v>25.0035712248897</v>
      </c>
    </row>
    <row r="61" customFormat="false" ht="15" hidden="false" customHeight="false" outlineLevel="0" collapsed="false">
      <c r="B61" s="12" t="n">
        <v>56</v>
      </c>
      <c r="C61" s="16" t="n">
        <f aca="false">'Datos INEGI'!L69/('Datos INEGI'!O69+'Datos INEGI'!L69/2)</f>
        <v>0.0102328962040611</v>
      </c>
      <c r="D61" s="14" t="n">
        <f aca="false">D60-E60</f>
        <v>83210.1961988125</v>
      </c>
      <c r="E61" s="14" t="n">
        <f aca="false">D61*C61</f>
        <v>851.481300822004</v>
      </c>
      <c r="F61" s="14" t="n">
        <f aca="false">D62+(E61/2)</f>
        <v>82784.4555484015</v>
      </c>
      <c r="G61" s="14" t="n">
        <f aca="false">SUM(F61:F$105)</f>
        <v>2016954.46614286</v>
      </c>
      <c r="H61" s="15" t="n">
        <f aca="false">G61/D61</f>
        <v>24.2392706456766</v>
      </c>
    </row>
    <row r="62" customFormat="false" ht="15" hidden="false" customHeight="false" outlineLevel="0" collapsed="false">
      <c r="B62" s="12" t="n">
        <v>57</v>
      </c>
      <c r="C62" s="16" t="n">
        <f aca="false">'Datos INEGI'!L70/('Datos INEGI'!O70+'Datos INEGI'!L70/2)</f>
        <v>0.0110688441068599</v>
      </c>
      <c r="D62" s="14" t="n">
        <f aca="false">D61-E61</f>
        <v>82358.7148979905</v>
      </c>
      <c r="E62" s="14" t="n">
        <f aca="false">D62*C62</f>
        <v>911.615776047177</v>
      </c>
      <c r="F62" s="14" t="n">
        <f aca="false">D63+(E62/2)</f>
        <v>81902.9070099669</v>
      </c>
      <c r="G62" s="14" t="n">
        <f aca="false">SUM(F62:F$105)</f>
        <v>1934170.01059446</v>
      </c>
      <c r="H62" s="15" t="n">
        <f aca="false">G62/D62</f>
        <v>23.4847036283911</v>
      </c>
    </row>
    <row r="63" customFormat="false" ht="15" hidden="false" customHeight="false" outlineLevel="0" collapsed="false">
      <c r="B63" s="12" t="n">
        <v>58</v>
      </c>
      <c r="C63" s="16" t="n">
        <f aca="false">'Datos INEGI'!L71/('Datos INEGI'!O71+'Datos INEGI'!L71/2)</f>
        <v>0.0114404908079982</v>
      </c>
      <c r="D63" s="14" t="n">
        <f aca="false">D62-E62</f>
        <v>81447.0991219433</v>
      </c>
      <c r="E63" s="14" t="n">
        <f aca="false">D63*C63</f>
        <v>931.794788842713</v>
      </c>
      <c r="F63" s="14" t="n">
        <f aca="false">D64+(E63/2)</f>
        <v>80981.201727522</v>
      </c>
      <c r="G63" s="14" t="n">
        <f aca="false">SUM(F63:F$105)</f>
        <v>1852267.1035845</v>
      </c>
      <c r="H63" s="15" t="n">
        <f aca="false">G63/D63</f>
        <v>22.7419653192468</v>
      </c>
    </row>
    <row r="64" customFormat="false" ht="15" hidden="false" customHeight="false" outlineLevel="0" collapsed="false">
      <c r="B64" s="12" t="n">
        <v>59</v>
      </c>
      <c r="C64" s="16" t="n">
        <f aca="false">'Datos INEGI'!L72/('Datos INEGI'!O72+'Datos INEGI'!L72/2)</f>
        <v>0.0128986520319784</v>
      </c>
      <c r="D64" s="14" t="n">
        <f aca="false">D63-E63</f>
        <v>80515.3043331006</v>
      </c>
      <c r="E64" s="14" t="n">
        <f aca="false">D64*C64</f>
        <v>1038.53889384151</v>
      </c>
      <c r="F64" s="14" t="n">
        <f aca="false">D65+(E64/2)</f>
        <v>79996.0348861799</v>
      </c>
      <c r="G64" s="14" t="n">
        <f aca="false">SUM(F64:F$105)</f>
        <v>1771285.90185697</v>
      </c>
      <c r="H64" s="15" t="n">
        <f aca="false">G64/D64</f>
        <v>21.9993691451376</v>
      </c>
    </row>
    <row r="65" customFormat="false" ht="15" hidden="false" customHeight="false" outlineLevel="0" collapsed="false">
      <c r="B65" s="12" t="n">
        <v>60</v>
      </c>
      <c r="C65" s="16" t="n">
        <f aca="false">'Datos INEGI'!L73/('Datos INEGI'!O73+'Datos INEGI'!L73/2)</f>
        <v>0.0133448845343011</v>
      </c>
      <c r="D65" s="14" t="n">
        <f aca="false">D64-E64</f>
        <v>79476.7654392591</v>
      </c>
      <c r="E65" s="14" t="n">
        <f aca="false">D65*C65</f>
        <v>1060.60825794664</v>
      </c>
      <c r="F65" s="14" t="n">
        <f aca="false">D66+(E65/2)</f>
        <v>78946.4613102858</v>
      </c>
      <c r="G65" s="14" t="n">
        <f aca="false">SUM(F65:F$105)</f>
        <v>1691289.86697079</v>
      </c>
      <c r="H65" s="15" t="n">
        <f aca="false">G65/D65</f>
        <v>21.2803057298976</v>
      </c>
    </row>
    <row r="66" customFormat="false" ht="15" hidden="false" customHeight="false" outlineLevel="0" collapsed="false">
      <c r="B66" s="12" t="n">
        <v>61</v>
      </c>
      <c r="C66" s="16" t="n">
        <f aca="false">'Datos INEGI'!L74/('Datos INEGI'!O74+'Datos INEGI'!L74/2)</f>
        <v>0.0141976292846086</v>
      </c>
      <c r="D66" s="14" t="n">
        <f aca="false">D65-E65</f>
        <v>78416.1571813125</v>
      </c>
      <c r="E66" s="14" t="n">
        <f aca="false">D66*C66</f>
        <v>1113.32352958387</v>
      </c>
      <c r="F66" s="14" t="n">
        <f aca="false">D67+(E66/2)</f>
        <v>77859.4954165205</v>
      </c>
      <c r="G66" s="14" t="n">
        <f aca="false">SUM(F66:F$105)</f>
        <v>1612343.40566051</v>
      </c>
      <c r="H66" s="15" t="n">
        <f aca="false">G66/D66</f>
        <v>20.561367243902</v>
      </c>
    </row>
    <row r="67" customFormat="false" ht="15" hidden="false" customHeight="false" outlineLevel="0" collapsed="false">
      <c r="B67" s="12" t="n">
        <v>62</v>
      </c>
      <c r="C67" s="16" t="n">
        <f aca="false">'Datos INEGI'!L75/('Datos INEGI'!O75+'Datos INEGI'!L75/2)</f>
        <v>0.015069781878746</v>
      </c>
      <c r="D67" s="14" t="n">
        <f aca="false">D66-E66</f>
        <v>77302.8336517286</v>
      </c>
      <c r="E67" s="14" t="n">
        <f aca="false">D67*C67</f>
        <v>1164.93684174054</v>
      </c>
      <c r="F67" s="14" t="n">
        <f aca="false">D68+(E67/2)</f>
        <v>76720.3652308583</v>
      </c>
      <c r="G67" s="14" t="n">
        <f aca="false">SUM(F67:F$105)</f>
        <v>1534483.91024399</v>
      </c>
      <c r="H67" s="15" t="n">
        <f aca="false">G67/D67</f>
        <v>19.8502931620499</v>
      </c>
    </row>
    <row r="68" customFormat="false" ht="15" hidden="false" customHeight="false" outlineLevel="0" collapsed="false">
      <c r="B68" s="12" t="n">
        <v>63</v>
      </c>
      <c r="C68" s="16" t="n">
        <f aca="false">'Datos INEGI'!L76/('Datos INEGI'!O76+'Datos INEGI'!L76/2)</f>
        <v>0.01647738634606</v>
      </c>
      <c r="D68" s="14" t="n">
        <f aca="false">D67-E67</f>
        <v>76137.8968099881</v>
      </c>
      <c r="E68" s="14" t="n">
        <f aca="false">D68*C68</f>
        <v>1254.55354131462</v>
      </c>
      <c r="F68" s="14" t="n">
        <f aca="false">D69+(E68/2)</f>
        <v>75510.6200393307</v>
      </c>
      <c r="G68" s="14" t="n">
        <f aca="false">SUM(F68:F$105)</f>
        <v>1457763.54501313</v>
      </c>
      <c r="H68" s="15" t="n">
        <f aca="false">G68/D68</f>
        <v>19.146359514647</v>
      </c>
    </row>
    <row r="69" customFormat="false" ht="15" hidden="false" customHeight="false" outlineLevel="0" collapsed="false">
      <c r="B69" s="12" t="n">
        <v>64</v>
      </c>
      <c r="C69" s="16" t="n">
        <f aca="false">'Datos INEGI'!L77/('Datos INEGI'!O77+'Datos INEGI'!L77/2)</f>
        <v>0.0169788637669497</v>
      </c>
      <c r="D69" s="14" t="n">
        <f aca="false">D68-E68</f>
        <v>74883.3432686734</v>
      </c>
      <c r="E69" s="14" t="n">
        <f aca="false">D69*C69</f>
        <v>1271.43408377254</v>
      </c>
      <c r="F69" s="14" t="n">
        <f aca="false">D70+(E69/2)</f>
        <v>74247.6262267872</v>
      </c>
      <c r="G69" s="14" t="n">
        <f aca="false">SUM(F69:F$105)</f>
        <v>1382252.9249738</v>
      </c>
      <c r="H69" s="15" t="n">
        <f aca="false">G69/D69</f>
        <v>18.4587501657668</v>
      </c>
    </row>
    <row r="70" customFormat="false" ht="15" hidden="false" customHeight="false" outlineLevel="0" collapsed="false">
      <c r="B70" s="12" t="n">
        <v>65</v>
      </c>
      <c r="C70" s="16" t="n">
        <f aca="false">'Datos INEGI'!L78/('Datos INEGI'!O78+'Datos INEGI'!L78/2)</f>
        <v>0.0182356099038348</v>
      </c>
      <c r="D70" s="14" t="n">
        <f aca="false">D69-E69</f>
        <v>73611.9091849009</v>
      </c>
      <c r="E70" s="14" t="n">
        <f aca="false">D70*C70</f>
        <v>1342.35806017237</v>
      </c>
      <c r="F70" s="14" t="n">
        <f aca="false">D71+(E70/2)</f>
        <v>72940.7301548147</v>
      </c>
      <c r="G70" s="14" t="n">
        <f aca="false">SUM(F70:F$105)</f>
        <v>1308005.29874701</v>
      </c>
      <c r="H70" s="15" t="n">
        <f aca="false">G70/D70</f>
        <v>17.7689359402637</v>
      </c>
    </row>
    <row r="71" customFormat="false" ht="15" hidden="false" customHeight="false" outlineLevel="0" collapsed="false">
      <c r="B71" s="12" t="n">
        <v>66</v>
      </c>
      <c r="C71" s="16" t="n">
        <f aca="false">'Datos INEGI'!L79/('Datos INEGI'!O79+'Datos INEGI'!L79/2)</f>
        <v>0.01919679613407</v>
      </c>
      <c r="D71" s="14" t="n">
        <f aca="false">D70-E70</f>
        <v>72269.5511247285</v>
      </c>
      <c r="E71" s="14" t="n">
        <f aca="false">D71*C71</f>
        <v>1387.34383964216</v>
      </c>
      <c r="F71" s="14" t="n">
        <f aca="false">D72+(E71/2)</f>
        <v>71575.8792049075</v>
      </c>
      <c r="G71" s="14" t="n">
        <f aca="false">SUM(F71:F$105)</f>
        <v>1235064.5685922</v>
      </c>
      <c r="H71" s="15" t="n">
        <f aca="false">G71/D71</f>
        <v>17.0896947520903</v>
      </c>
    </row>
    <row r="72" customFormat="false" ht="15" hidden="false" customHeight="false" outlineLevel="0" collapsed="false">
      <c r="B72" s="12" t="n">
        <v>67</v>
      </c>
      <c r="C72" s="16" t="n">
        <f aca="false">'Datos INEGI'!L80/('Datos INEGI'!O80+'Datos INEGI'!L80/2)</f>
        <v>0.020689950299846</v>
      </c>
      <c r="D72" s="14" t="n">
        <f aca="false">D71-E71</f>
        <v>70882.2072850864</v>
      </c>
      <c r="E72" s="14" t="n">
        <f aca="false">D72*C72</f>
        <v>1466.54934587182</v>
      </c>
      <c r="F72" s="14" t="n">
        <f aca="false">D73+(E72/2)</f>
        <v>70148.9326121505</v>
      </c>
      <c r="G72" s="14" t="n">
        <f aca="false">SUM(F72:F$105)</f>
        <v>1163488.68938729</v>
      </c>
      <c r="H72" s="15" t="n">
        <f aca="false">G72/D72</f>
        <v>16.4143969826979</v>
      </c>
    </row>
    <row r="73" customFormat="false" ht="15" hidden="false" customHeight="false" outlineLevel="0" collapsed="false">
      <c r="B73" s="12" t="n">
        <v>68</v>
      </c>
      <c r="C73" s="16" t="n">
        <f aca="false">'Datos INEGI'!L81/('Datos INEGI'!O81+'Datos INEGI'!L81/2)</f>
        <v>0.0225359871776208</v>
      </c>
      <c r="D73" s="14" t="n">
        <f aca="false">D72-E72</f>
        <v>69415.6579392146</v>
      </c>
      <c r="E73" s="14" t="n">
        <f aca="false">D73*C73</f>
        <v>1564.35037724425</v>
      </c>
      <c r="F73" s="14" t="n">
        <f aca="false">D74+(E73/2)</f>
        <v>68633.4827505925</v>
      </c>
      <c r="G73" s="14" t="n">
        <f aca="false">SUM(F73:F$105)</f>
        <v>1093339.75677514</v>
      </c>
      <c r="H73" s="15" t="n">
        <f aca="false">G73/D73</f>
        <v>15.7506215345902</v>
      </c>
    </row>
    <row r="74" customFormat="false" ht="15" hidden="false" customHeight="false" outlineLevel="0" collapsed="false">
      <c r="B74" s="12" t="n">
        <v>69</v>
      </c>
      <c r="C74" s="16" t="n">
        <f aca="false">'Datos INEGI'!L82/('Datos INEGI'!O82+'Datos INEGI'!L82/2)</f>
        <v>0.0247285249591644</v>
      </c>
      <c r="D74" s="14" t="n">
        <f aca="false">D73-E73</f>
        <v>67851.3075619703</v>
      </c>
      <c r="E74" s="14" t="n">
        <f aca="false">D74*C74</f>
        <v>1677.86275255812</v>
      </c>
      <c r="F74" s="14" t="n">
        <f aca="false">D75+(E74/2)</f>
        <v>67012.3761856913</v>
      </c>
      <c r="G74" s="14" t="n">
        <f aca="false">SUM(F74:F$105)</f>
        <v>1024706.27402455</v>
      </c>
      <c r="H74" s="15" t="n">
        <f aca="false">G74/D74</f>
        <v>15.1022332633554</v>
      </c>
    </row>
    <row r="75" customFormat="false" ht="15" hidden="false" customHeight="false" outlineLevel="0" collapsed="false">
      <c r="B75" s="12" t="n">
        <v>70</v>
      </c>
      <c r="C75" s="16" t="n">
        <f aca="false">'Datos INEGI'!L83/('Datos INEGI'!O83+'Datos INEGI'!L83/2)</f>
        <v>0.0260755506901203</v>
      </c>
      <c r="D75" s="14" t="n">
        <f aca="false">D74-E74</f>
        <v>66173.4448094122</v>
      </c>
      <c r="E75" s="14" t="n">
        <f aca="false">D75*C75</f>
        <v>1725.50901446771</v>
      </c>
      <c r="F75" s="14" t="n">
        <f aca="false">D76+(E75/2)</f>
        <v>65310.6903021783</v>
      </c>
      <c r="G75" s="14" t="n">
        <f aca="false">SUM(F75:F$105)</f>
        <v>957693.897838855</v>
      </c>
      <c r="H75" s="15" t="n">
        <f aca="false">G75/D75</f>
        <v>14.4724806241708</v>
      </c>
    </row>
    <row r="76" customFormat="false" ht="15" hidden="false" customHeight="false" outlineLevel="0" collapsed="false">
      <c r="B76" s="12" t="n">
        <v>71</v>
      </c>
      <c r="C76" s="16" t="n">
        <f aca="false">'Datos INEGI'!L84/('Datos INEGI'!O84+'Datos INEGI'!L84/2)</f>
        <v>0.0288954438977257</v>
      </c>
      <c r="D76" s="14" t="n">
        <f aca="false">D75-E75</f>
        <v>64447.9357949445</v>
      </c>
      <c r="E76" s="14" t="n">
        <f aca="false">D76*C76</f>
        <v>1862.25171308705</v>
      </c>
      <c r="F76" s="14" t="n">
        <f aca="false">D77+(E76/2)</f>
        <v>63516.809938401</v>
      </c>
      <c r="G76" s="14" t="n">
        <f aca="false">SUM(F76:F$105)</f>
        <v>892383.207536676</v>
      </c>
      <c r="H76" s="15" t="n">
        <f aca="false">G76/D76</f>
        <v>13.846575480338</v>
      </c>
    </row>
    <row r="77" customFormat="false" ht="15" hidden="false" customHeight="false" outlineLevel="0" collapsed="false">
      <c r="B77" s="12" t="n">
        <v>72</v>
      </c>
      <c r="C77" s="16" t="n">
        <f aca="false">'Datos INEGI'!L85/('Datos INEGI'!O85+'Datos INEGI'!L85/2)</f>
        <v>0.0305344142511128</v>
      </c>
      <c r="D77" s="14" t="n">
        <f aca="false">D76-E76</f>
        <v>62585.6840818574</v>
      </c>
      <c r="E77" s="14" t="n">
        <f aca="false">D77*C77</f>
        <v>1911.01720394471</v>
      </c>
      <c r="F77" s="14" t="n">
        <f aca="false">D78+(E77/2)</f>
        <v>61630.1754798851</v>
      </c>
      <c r="G77" s="14" t="n">
        <f aca="false">SUM(F77:F$105)</f>
        <v>828866.397598275</v>
      </c>
      <c r="H77" s="15" t="n">
        <f aca="false">G77/D77</f>
        <v>13.2437059649964</v>
      </c>
    </row>
    <row r="78" customFormat="false" ht="15" hidden="false" customHeight="false" outlineLevel="0" collapsed="false">
      <c r="B78" s="12" t="n">
        <v>73</v>
      </c>
      <c r="C78" s="16" t="n">
        <f aca="false">'Datos INEGI'!L86/('Datos INEGI'!O86+'Datos INEGI'!L86/2)</f>
        <v>0.0337764097717009</v>
      </c>
      <c r="D78" s="14" t="n">
        <f aca="false">D77-E77</f>
        <v>60674.6668779127</v>
      </c>
      <c r="E78" s="14" t="n">
        <f aca="false">D78*C78</f>
        <v>2049.37241122983</v>
      </c>
      <c r="F78" s="14" t="n">
        <f aca="false">D79+(E78/2)</f>
        <v>59649.9806722978</v>
      </c>
      <c r="G78" s="14" t="n">
        <f aca="false">SUM(F78:F$105)</f>
        <v>767236.22211839</v>
      </c>
      <c r="H78" s="15" t="n">
        <f aca="false">G78/D78</f>
        <v>12.6450833864847</v>
      </c>
    </row>
    <row r="79" customFormat="false" ht="15" hidden="false" customHeight="false" outlineLevel="0" collapsed="false">
      <c r="B79" s="12" t="n">
        <v>74</v>
      </c>
      <c r="C79" s="16" t="n">
        <f aca="false">'Datos INEGI'!L87/('Datos INEGI'!O87+'Datos INEGI'!L87/2)</f>
        <v>0.0344640050500752</v>
      </c>
      <c r="D79" s="14" t="n">
        <f aca="false">D78-E78</f>
        <v>58625.2944666829</v>
      </c>
      <c r="E79" s="14" t="n">
        <f aca="false">D79*C79</f>
        <v>2020.4624445619</v>
      </c>
      <c r="F79" s="14" t="n">
        <f aca="false">D80+(E79/2)</f>
        <v>57615.0632444019</v>
      </c>
      <c r="G79" s="14" t="n">
        <f aca="false">SUM(F79:F$105)</f>
        <v>707586.241446093</v>
      </c>
      <c r="H79" s="15" t="n">
        <f aca="false">G79/D79</f>
        <v>12.0696407222009</v>
      </c>
    </row>
    <row r="80" customFormat="false" ht="15" hidden="false" customHeight="false" outlineLevel="0" collapsed="false">
      <c r="B80" s="12" t="n">
        <v>75</v>
      </c>
      <c r="C80" s="16" t="n">
        <f aca="false">'Datos INEGI'!L88/('Datos INEGI'!O88+'Datos INEGI'!L88/2)</f>
        <v>0.0388082019832139</v>
      </c>
      <c r="D80" s="14" t="n">
        <f aca="false">D79-E79</f>
        <v>56604.832022121</v>
      </c>
      <c r="E80" s="14" t="n">
        <f aca="false">D80*C80</f>
        <v>2196.73175434036</v>
      </c>
      <c r="F80" s="14" t="n">
        <f aca="false">D81+(E80/2)</f>
        <v>55506.4661449508</v>
      </c>
      <c r="G80" s="14" t="n">
        <f aca="false">SUM(F80:F$105)</f>
        <v>649971.178201691</v>
      </c>
      <c r="H80" s="15" t="n">
        <f aca="false">G80/D80</f>
        <v>11.4826094342561</v>
      </c>
    </row>
    <row r="81" customFormat="false" ht="15" hidden="false" customHeight="false" outlineLevel="0" collapsed="false">
      <c r="B81" s="12" t="n">
        <v>76</v>
      </c>
      <c r="C81" s="16" t="n">
        <f aca="false">'Datos INEGI'!L89/('Datos INEGI'!O89+'Datos INEGI'!L89/2)</f>
        <v>0.0411944883810639</v>
      </c>
      <c r="D81" s="14" t="n">
        <f aca="false">D80-E80</f>
        <v>54408.1002677806</v>
      </c>
      <c r="E81" s="14" t="n">
        <f aca="false">D81*C81</f>
        <v>2241.31385431685</v>
      </c>
      <c r="F81" s="14" t="n">
        <f aca="false">D82+(E81/2)</f>
        <v>53287.4433406222</v>
      </c>
      <c r="G81" s="14" t="n">
        <f aca="false">SUM(F81:F$105)</f>
        <v>594464.71205674</v>
      </c>
      <c r="H81" s="15" t="n">
        <f aca="false">G81/D81</f>
        <v>10.9260332401051</v>
      </c>
    </row>
    <row r="82" customFormat="false" ht="15" hidden="false" customHeight="false" outlineLevel="0" collapsed="false">
      <c r="B82" s="12" t="n">
        <v>77</v>
      </c>
      <c r="C82" s="16" t="n">
        <f aca="false">'Datos INEGI'!L90/('Datos INEGI'!O90+'Datos INEGI'!L90/2)</f>
        <v>0.0451969170643769</v>
      </c>
      <c r="D82" s="14" t="n">
        <f aca="false">D81-E81</f>
        <v>52166.7864134638</v>
      </c>
      <c r="E82" s="14" t="n">
        <f aca="false">D82*C82</f>
        <v>2357.77791904439</v>
      </c>
      <c r="F82" s="14" t="n">
        <f aca="false">D83+(E82/2)</f>
        <v>50987.8974539416</v>
      </c>
      <c r="G82" s="14" t="n">
        <f aca="false">SUM(F82:F$105)</f>
        <v>541177.268716118</v>
      </c>
      <c r="H82" s="15" t="n">
        <f aca="false">G82/D82</f>
        <v>10.3739813379887</v>
      </c>
    </row>
    <row r="83" customFormat="false" ht="15" hidden="false" customHeight="false" outlineLevel="0" collapsed="false">
      <c r="B83" s="12" t="n">
        <v>78</v>
      </c>
      <c r="C83" s="16" t="n">
        <f aca="false">'Datos INEGI'!L91/('Datos INEGI'!O91+'Datos INEGI'!L91/2)</f>
        <v>0.0489628284328364</v>
      </c>
      <c r="D83" s="14" t="n">
        <f aca="false">D82-E82</f>
        <v>49809.0084944194</v>
      </c>
      <c r="E83" s="14" t="n">
        <f aca="false">D83*C83</f>
        <v>2438.78993732195</v>
      </c>
      <c r="F83" s="14" t="n">
        <f aca="false">D84+(E83/2)</f>
        <v>48589.6135257584</v>
      </c>
      <c r="G83" s="14" t="n">
        <f aca="false">SUM(F83:F$105)</f>
        <v>490189.371262176</v>
      </c>
      <c r="H83" s="15" t="n">
        <f aca="false">G83/D83</f>
        <v>9.84137982423595</v>
      </c>
    </row>
    <row r="84" customFormat="false" ht="15" hidden="false" customHeight="false" outlineLevel="0" collapsed="false">
      <c r="B84" s="12" t="n">
        <v>79</v>
      </c>
      <c r="C84" s="16" t="n">
        <f aca="false">'Datos INEGI'!L92/('Datos INEGI'!O92+'Datos INEGI'!L92/2)</f>
        <v>0.0551604161853976</v>
      </c>
      <c r="D84" s="14" t="n">
        <f aca="false">D83-E83</f>
        <v>47370.2185570975</v>
      </c>
      <c r="E84" s="14" t="n">
        <f aca="false">D84*C84</f>
        <v>2612.96097040274</v>
      </c>
      <c r="F84" s="14" t="n">
        <f aca="false">D85+(E84/2)</f>
        <v>46063.7380718961</v>
      </c>
      <c r="G84" s="14" t="n">
        <f aca="false">SUM(F84:F$105)</f>
        <v>441599.757736418</v>
      </c>
      <c r="H84" s="15" t="n">
        <f aca="false">G84/D84</f>
        <v>9.32230779564881</v>
      </c>
    </row>
    <row r="85" customFormat="false" ht="15" hidden="false" customHeight="false" outlineLevel="0" collapsed="false">
      <c r="B85" s="12" t="n">
        <v>80</v>
      </c>
      <c r="C85" s="16" t="n">
        <f aca="false">'Datos INEGI'!L93/('Datos INEGI'!O93+'Datos INEGI'!L93/2)</f>
        <v>0.0588813939438355</v>
      </c>
      <c r="D85" s="14" t="n">
        <f aca="false">D84-E84</f>
        <v>44757.2575866947</v>
      </c>
      <c r="E85" s="14" t="n">
        <f aca="false">D85*C85</f>
        <v>2635.36971580789</v>
      </c>
      <c r="F85" s="14" t="n">
        <f aca="false">D86+(E85/2)</f>
        <v>43439.5727287908</v>
      </c>
      <c r="G85" s="14" t="n">
        <f aca="false">SUM(F85:F$105)</f>
        <v>395536.019664521</v>
      </c>
      <c r="H85" s="15" t="n">
        <f aca="false">G85/D85</f>
        <v>8.83736048613723</v>
      </c>
    </row>
    <row r="86" customFormat="false" ht="15" hidden="false" customHeight="false" outlineLevel="0" collapsed="false">
      <c r="B86" s="12" t="n">
        <v>81</v>
      </c>
      <c r="C86" s="16" t="n">
        <f aca="false">'Datos INEGI'!L94/('Datos INEGI'!O94+'Datos INEGI'!L94/2)</f>
        <v>0.0665243550835337</v>
      </c>
      <c r="D86" s="14" t="n">
        <f aca="false">D85-E85</f>
        <v>42121.8878708868</v>
      </c>
      <c r="E86" s="14" t="n">
        <f aca="false">D86*C86</f>
        <v>2802.13142551166</v>
      </c>
      <c r="F86" s="14" t="n">
        <f aca="false">D87+(E86/2)</f>
        <v>40720.822158131</v>
      </c>
      <c r="G86" s="14" t="n">
        <f aca="false">SUM(F86:F$105)</f>
        <v>352096.446935731</v>
      </c>
      <c r="H86" s="15" t="n">
        <f aca="false">G86/D86</f>
        <v>8.35899017667457</v>
      </c>
    </row>
    <row r="87" customFormat="false" ht="15" hidden="false" customHeight="false" outlineLevel="0" collapsed="false">
      <c r="B87" s="12" t="n">
        <v>82</v>
      </c>
      <c r="C87" s="16" t="n">
        <f aca="false">'Datos INEGI'!L95/('Datos INEGI'!O95+'Datos INEGI'!L95/2)</f>
        <v>0.0709119698977418</v>
      </c>
      <c r="D87" s="14" t="n">
        <f aca="false">D86-E86</f>
        <v>39319.7564453752</v>
      </c>
      <c r="E87" s="14" t="n">
        <f aca="false">D87*C87</f>
        <v>2788.24138544098</v>
      </c>
      <c r="F87" s="14" t="n">
        <f aca="false">D88+(E87/2)</f>
        <v>37925.6357526547</v>
      </c>
      <c r="G87" s="14" t="n">
        <f aca="false">SUM(F87:F$105)</f>
        <v>311375.6247776</v>
      </c>
      <c r="H87" s="15" t="n">
        <f aca="false">G87/D87</f>
        <v>7.91906290696834</v>
      </c>
    </row>
    <row r="88" customFormat="false" ht="15" hidden="false" customHeight="false" outlineLevel="0" collapsed="false">
      <c r="B88" s="12" t="n">
        <v>83</v>
      </c>
      <c r="C88" s="16" t="n">
        <f aca="false">'Datos INEGI'!L96/('Datos INEGI'!O96+'Datos INEGI'!L96/2)</f>
        <v>0.0802262109943116</v>
      </c>
      <c r="D88" s="14" t="n">
        <f aca="false">D87-E87</f>
        <v>36531.5150599342</v>
      </c>
      <c r="E88" s="14" t="n">
        <f aca="false">D88*C88</f>
        <v>2930.78503514015</v>
      </c>
      <c r="F88" s="14" t="n">
        <f aca="false">D89+(E88/2)</f>
        <v>35066.1225423641</v>
      </c>
      <c r="G88" s="14" t="n">
        <f aca="false">SUM(F88:F$105)</f>
        <v>273449.989024945</v>
      </c>
      <c r="H88" s="15" t="n">
        <f aca="false">G88/D88</f>
        <v>7.4853175012402</v>
      </c>
    </row>
    <row r="89" customFormat="false" ht="15" hidden="false" customHeight="false" outlineLevel="0" collapsed="false">
      <c r="B89" s="12" t="n">
        <v>84</v>
      </c>
      <c r="C89" s="16" t="n">
        <f aca="false">'Datos INEGI'!L97/('Datos INEGI'!O97+'Datos INEGI'!L97/2)</f>
        <v>0.0812632293110557</v>
      </c>
      <c r="D89" s="14" t="n">
        <f aca="false">D88-E88</f>
        <v>33600.730024794</v>
      </c>
      <c r="E89" s="14" t="n">
        <f aca="false">D89*C89</f>
        <v>2730.50382902371</v>
      </c>
      <c r="F89" s="14" t="n">
        <f aca="false">D90+(E89/2)</f>
        <v>32235.4781102822</v>
      </c>
      <c r="G89" s="14" t="n">
        <f aca="false">SUM(F89:F$105)</f>
        <v>238383.866482581</v>
      </c>
      <c r="H89" s="15" t="n">
        <f aca="false">G89/D89</f>
        <v>7.09460378708073</v>
      </c>
    </row>
    <row r="90" customFormat="false" ht="15" hidden="false" customHeight="false" outlineLevel="0" collapsed="false">
      <c r="B90" s="12" t="n">
        <v>85</v>
      </c>
      <c r="C90" s="16" t="n">
        <f aca="false">'Datos INEGI'!L98/('Datos INEGI'!O98+'Datos INEGI'!L98/2)</f>
        <v>0.0875256791677976</v>
      </c>
      <c r="D90" s="14" t="n">
        <f aca="false">D89-E89</f>
        <v>30870.2261957703</v>
      </c>
      <c r="E90" s="14" t="n">
        <f aca="false">D90*C90</f>
        <v>2701.93751384833</v>
      </c>
      <c r="F90" s="14" t="n">
        <f aca="false">D91+(E90/2)</f>
        <v>29519.2574388461</v>
      </c>
      <c r="G90" s="14" t="n">
        <f aca="false">SUM(F90:F$105)</f>
        <v>206148.388372299</v>
      </c>
      <c r="H90" s="15" t="n">
        <f aca="false">G90/D90</f>
        <v>6.67790339678639</v>
      </c>
    </row>
    <row r="91" customFormat="false" ht="15" hidden="false" customHeight="false" outlineLevel="0" collapsed="false">
      <c r="B91" s="12" t="n">
        <v>86</v>
      </c>
      <c r="C91" s="16" t="n">
        <f aca="false">'Datos INEGI'!L99/('Datos INEGI'!O99+'Datos INEGI'!L99/2)</f>
        <v>0.0952172673296204</v>
      </c>
      <c r="D91" s="14" t="n">
        <f aca="false">D90-E90</f>
        <v>28168.288681922</v>
      </c>
      <c r="E91" s="14" t="n">
        <f aca="false">D91*C91</f>
        <v>2682.10747364448</v>
      </c>
      <c r="F91" s="14" t="n">
        <f aca="false">D92+(E91/2)</f>
        <v>26827.2349450997</v>
      </c>
      <c r="G91" s="14" t="n">
        <f aca="false">SUM(F91:F$105)</f>
        <v>176629.130933453</v>
      </c>
      <c r="H91" s="15" t="n">
        <f aca="false">G91/D91</f>
        <v>6.27049562463519</v>
      </c>
    </row>
    <row r="92" customFormat="false" ht="15" hidden="false" customHeight="false" outlineLevel="0" collapsed="false">
      <c r="B92" s="12" t="n">
        <v>87</v>
      </c>
      <c r="C92" s="16" t="n">
        <f aca="false">'Datos INEGI'!L100/('Datos INEGI'!O100+'Datos INEGI'!L100/2)</f>
        <v>0.105264470205478</v>
      </c>
      <c r="D92" s="14" t="n">
        <f aca="false">D91-E91</f>
        <v>25486.1812082775</v>
      </c>
      <c r="E92" s="14" t="n">
        <f aca="false">D92*C92</f>
        <v>2682.78936245014</v>
      </c>
      <c r="F92" s="14" t="n">
        <f aca="false">D93+(E92/2)</f>
        <v>24144.7865270524</v>
      </c>
      <c r="G92" s="14" t="n">
        <f aca="false">SUM(F92:F$105)</f>
        <v>149801.895988353</v>
      </c>
      <c r="H92" s="15" t="n">
        <f aca="false">G92/D92</f>
        <v>5.87776939841029</v>
      </c>
    </row>
    <row r="93" customFormat="false" ht="15" hidden="false" customHeight="false" outlineLevel="0" collapsed="false">
      <c r="B93" s="12" t="n">
        <v>88</v>
      </c>
      <c r="C93" s="16" t="n">
        <f aca="false">'Datos INEGI'!L101/('Datos INEGI'!O101+'Datos INEGI'!L101/2)</f>
        <v>0.113654016272105</v>
      </c>
      <c r="D93" s="14" t="n">
        <f aca="false">D92-E92</f>
        <v>22803.3918458274</v>
      </c>
      <c r="E93" s="14" t="n">
        <f aca="false">D93*C93</f>
        <v>2591.69706790484</v>
      </c>
      <c r="F93" s="14" t="n">
        <f aca="false">D94+(E93/2)</f>
        <v>21507.5433118749</v>
      </c>
      <c r="G93" s="14" t="n">
        <f aca="false">SUM(F93:F$105)</f>
        <v>125657.1094613</v>
      </c>
      <c r="H93" s="15" t="n">
        <f aca="false">G93/D93</f>
        <v>5.51045696670312</v>
      </c>
    </row>
    <row r="94" customFormat="false" ht="15" hidden="false" customHeight="false" outlineLevel="0" collapsed="false">
      <c r="B94" s="12" t="n">
        <v>89</v>
      </c>
      <c r="C94" s="16" t="n">
        <f aca="false">'Datos INEGI'!L102/('Datos INEGI'!O102+'Datos INEGI'!L102/2)</f>
        <v>0.128462978371183</v>
      </c>
      <c r="D94" s="14" t="n">
        <f aca="false">D93-E93</f>
        <v>20211.6947779225</v>
      </c>
      <c r="E94" s="14" t="n">
        <f aca="false">D94*C94</f>
        <v>2596.45450910122</v>
      </c>
      <c r="F94" s="14" t="n">
        <f aca="false">D95+(E94/2)</f>
        <v>18913.4675233719</v>
      </c>
      <c r="G94" s="14" t="n">
        <f aca="false">SUM(F94:F$105)</f>
        <v>104149.566149426</v>
      </c>
      <c r="H94" s="15" t="n">
        <f aca="false">G94/D94</f>
        <v>5.15293582719196</v>
      </c>
    </row>
    <row r="95" customFormat="false" ht="15" hidden="false" customHeight="false" outlineLevel="0" collapsed="false">
      <c r="B95" s="12" t="n">
        <v>90</v>
      </c>
      <c r="C95" s="16" t="n">
        <f aca="false">'Datos INEGI'!L103/('Datos INEGI'!O103+'Datos INEGI'!L103/2)</f>
        <v>0.139254273812996</v>
      </c>
      <c r="D95" s="14" t="n">
        <f aca="false">D94-E94</f>
        <v>17615.2402688213</v>
      </c>
      <c r="E95" s="14" t="n">
        <f aca="false">D95*C95</f>
        <v>2452.99749167615</v>
      </c>
      <c r="F95" s="14" t="n">
        <f aca="false">D96+(E95/2)</f>
        <v>16388.7415229832</v>
      </c>
      <c r="G95" s="14" t="n">
        <f aca="false">SUM(F95:F$105)</f>
        <v>85236.0986260536</v>
      </c>
      <c r="H95" s="15" t="n">
        <f aca="false">G95/D95</f>
        <v>4.83877014024726</v>
      </c>
    </row>
    <row r="96" customFormat="false" ht="15" hidden="false" customHeight="false" outlineLevel="0" collapsed="false">
      <c r="B96" s="12" t="n">
        <v>91</v>
      </c>
      <c r="C96" s="16" t="n">
        <f aca="false">'Datos INEGI'!L104/('Datos INEGI'!O104+'Datos INEGI'!L104/2)</f>
        <v>0.147113171016046</v>
      </c>
      <c r="D96" s="14" t="n">
        <f aca="false">D95-E95</f>
        <v>15162.2427771451</v>
      </c>
      <c r="E96" s="14" t="n">
        <f aca="false">D96*C96</f>
        <v>2230.56561466096</v>
      </c>
      <c r="F96" s="14" t="n">
        <f aca="false">D97+(E96/2)</f>
        <v>14046.9599698147</v>
      </c>
      <c r="G96" s="14" t="n">
        <f aca="false">SUM(F96:F$105)</f>
        <v>68847.3571030704</v>
      </c>
      <c r="H96" s="15" t="n">
        <f aca="false">G96/D96</f>
        <v>4.54071063990927</v>
      </c>
    </row>
    <row r="97" customFormat="false" ht="15" hidden="false" customHeight="false" outlineLevel="0" collapsed="false">
      <c r="B97" s="12" t="n">
        <v>92</v>
      </c>
      <c r="C97" s="16" t="n">
        <f aca="false">'Datos INEGI'!L105/('Datos INEGI'!O105+'Datos INEGI'!L105/2)</f>
        <v>0.154752010586298</v>
      </c>
      <c r="D97" s="14" t="n">
        <f aca="false">D96-E96</f>
        <v>12931.6771624842</v>
      </c>
      <c r="E97" s="14" t="n">
        <f aca="false">D97*C97</f>
        <v>2001.20304114734</v>
      </c>
      <c r="F97" s="14" t="n">
        <f aca="false">D98+(E97/2)</f>
        <v>11931.0756419105</v>
      </c>
      <c r="G97" s="14" t="n">
        <f aca="false">SUM(F97:F$105)</f>
        <v>54800.3971332558</v>
      </c>
      <c r="H97" s="15" t="n">
        <f aca="false">G97/D97</f>
        <v>4.23768676287682</v>
      </c>
    </row>
    <row r="98" customFormat="false" ht="15" hidden="false" customHeight="false" outlineLevel="0" collapsed="false">
      <c r="B98" s="12" t="n">
        <v>93</v>
      </c>
      <c r="C98" s="16" t="n">
        <f aca="false">'Datos INEGI'!L106/('Datos INEGI'!O106+'Datos INEGI'!L106/2)</f>
        <v>0.181390812402976</v>
      </c>
      <c r="D98" s="14" t="n">
        <f aca="false">D97-E97</f>
        <v>10930.4741213369</v>
      </c>
      <c r="E98" s="14" t="n">
        <f aca="false">D98*C98</f>
        <v>1982.687580819</v>
      </c>
      <c r="F98" s="14" t="n">
        <f aca="false">D99+(E98/2)</f>
        <v>9939.13033092735</v>
      </c>
      <c r="G98" s="14" t="n">
        <f aca="false">SUM(F98:F$105)</f>
        <v>42869.3214913452</v>
      </c>
      <c r="H98" s="15" t="n">
        <f aca="false">G98/D98</f>
        <v>3.92200018182762</v>
      </c>
    </row>
    <row r="99" customFormat="false" ht="15" hidden="false" customHeight="false" outlineLevel="0" collapsed="false">
      <c r="B99" s="12" t="n">
        <v>94</v>
      </c>
      <c r="C99" s="16" t="n">
        <f aca="false">'Datos INEGI'!L107/('Datos INEGI'!O107+'Datos INEGI'!L107/2)</f>
        <v>0.175256251168713</v>
      </c>
      <c r="D99" s="14" t="n">
        <f aca="false">D98-E98</f>
        <v>8947.78654051786</v>
      </c>
      <c r="E99" s="14" t="n">
        <f aca="false">D99*C99</f>
        <v>1568.15552534902</v>
      </c>
      <c r="F99" s="14" t="n">
        <f aca="false">D100+(E99/2)</f>
        <v>8163.70877784334</v>
      </c>
      <c r="G99" s="14" t="n">
        <f aca="false">SUM(F99:F$105)</f>
        <v>32930.1911604179</v>
      </c>
      <c r="H99" s="15" t="n">
        <f aca="false">G99/D99</f>
        <v>3.68026114741356</v>
      </c>
    </row>
    <row r="100" customFormat="false" ht="15" hidden="false" customHeight="false" outlineLevel="0" collapsed="false">
      <c r="B100" s="12" t="n">
        <v>95</v>
      </c>
      <c r="C100" s="16" t="n">
        <f aca="false">'Datos INEGI'!L108/('Datos INEGI'!O108+'Datos INEGI'!L108/2)</f>
        <v>0.181584130618728</v>
      </c>
      <c r="D100" s="14" t="n">
        <f aca="false">D99-E99</f>
        <v>7379.63101516883</v>
      </c>
      <c r="E100" s="14" t="n">
        <f aca="false">D100*C100</f>
        <v>1340.02388217643</v>
      </c>
      <c r="F100" s="14" t="n">
        <f aca="false">D101+(E100/2)</f>
        <v>6709.61907408061</v>
      </c>
      <c r="G100" s="14" t="n">
        <f aca="false">SUM(F100:F$105)</f>
        <v>24766.4823825745</v>
      </c>
      <c r="H100" s="15" t="n">
        <f aca="false">G100/D100</f>
        <v>3.35605971784592</v>
      </c>
    </row>
    <row r="101" customFormat="false" ht="15" hidden="false" customHeight="false" outlineLevel="0" collapsed="false">
      <c r="B101" s="12" t="n">
        <v>96</v>
      </c>
      <c r="C101" s="16" t="n">
        <f aca="false">'Datos INEGI'!L109/('Datos INEGI'!O109+'Datos INEGI'!L109/2)</f>
        <v>0.181198294994991</v>
      </c>
      <c r="D101" s="14" t="n">
        <f aca="false">D100-E100</f>
        <v>6039.6071329924</v>
      </c>
      <c r="E101" s="14" t="n">
        <f aca="false">D101*C101</f>
        <v>1094.36651493781</v>
      </c>
      <c r="F101" s="14" t="n">
        <f aca="false">D102+(E101/2)</f>
        <v>5492.42387552349</v>
      </c>
      <c r="G101" s="14" t="n">
        <f aca="false">SUM(F101:F$105)</f>
        <v>18056.8633084939</v>
      </c>
      <c r="H101" s="15" t="n">
        <f aca="false">G101/D101</f>
        <v>2.98974137073506</v>
      </c>
    </row>
    <row r="102" customFormat="false" ht="15" hidden="false" customHeight="false" outlineLevel="0" collapsed="false">
      <c r="B102" s="12" t="n">
        <v>97</v>
      </c>
      <c r="C102" s="16" t="n">
        <f aca="false">'Datos INEGI'!L110/('Datos INEGI'!O110+'Datos INEGI'!L110/2)</f>
        <v>0.182759942360859</v>
      </c>
      <c r="D102" s="14" t="n">
        <f aca="false">D101-E101</f>
        <v>4945.24061805459</v>
      </c>
      <c r="E102" s="14" t="n">
        <f aca="false">D102*C102</f>
        <v>903.791890316237</v>
      </c>
      <c r="F102" s="14" t="n">
        <f aca="false">D103+(E102/2)</f>
        <v>4493.34467289647</v>
      </c>
      <c r="G102" s="14" t="n">
        <f aca="false">SUM(F102:F$105)</f>
        <v>12564.4394329704</v>
      </c>
      <c r="H102" s="15" t="n">
        <f aca="false">G102/D102</f>
        <v>2.54071346641838</v>
      </c>
    </row>
    <row r="103" customFormat="false" ht="15" hidden="false" customHeight="false" outlineLevel="0" collapsed="false">
      <c r="B103" s="12" t="n">
        <v>98</v>
      </c>
      <c r="C103" s="16" t="n">
        <f aca="false">'Datos INEGI'!L111/('Datos INEGI'!O111+'Datos INEGI'!L111/2)</f>
        <v>0.171987813654392</v>
      </c>
      <c r="D103" s="14" t="n">
        <f aca="false">D102-E102</f>
        <v>4041.44872773835</v>
      </c>
      <c r="E103" s="14" t="n">
        <f aca="false">D103*C103</f>
        <v>695.079930680045</v>
      </c>
      <c r="F103" s="14" t="n">
        <f aca="false">D104+(E103/2)</f>
        <v>3693.90876239833</v>
      </c>
      <c r="G103" s="14" t="n">
        <f aca="false">SUM(F103:F$105)</f>
        <v>8071.09476007395</v>
      </c>
      <c r="H103" s="15" t="n">
        <f aca="false">G103/D103</f>
        <v>1.99707958798988</v>
      </c>
    </row>
    <row r="104" customFormat="false" ht="15" hidden="false" customHeight="false" outlineLevel="0" collapsed="false">
      <c r="B104" s="12" t="n">
        <v>99</v>
      </c>
      <c r="C104" s="16" t="n">
        <f aca="false">'Datos INEGI'!L112/('Datos INEGI'!O112+'Datos INEGI'!L112/2)</f>
        <v>0.191959475141091</v>
      </c>
      <c r="D104" s="14" t="n">
        <f aca="false">D103-E103</f>
        <v>3346.36879705831</v>
      </c>
      <c r="E104" s="14" t="n">
        <f aca="false">D104*C104</f>
        <v>642.367197911838</v>
      </c>
      <c r="F104" s="14" t="n">
        <f aca="false">D105+(E104/2)</f>
        <v>3025.18519810239</v>
      </c>
      <c r="G104" s="14" t="n">
        <f aca="false">SUM(F104:F$105)</f>
        <v>4377.18599767562</v>
      </c>
      <c r="H104" s="15" t="n">
        <f aca="false">G104/D104</f>
        <v>1.30804052485891</v>
      </c>
    </row>
    <row r="105" customFormat="false" ht="15" hidden="false" customHeight="false" outlineLevel="0" collapsed="false">
      <c r="B105" s="20" t="n">
        <v>100</v>
      </c>
      <c r="C105" s="21" t="n">
        <v>1</v>
      </c>
      <c r="D105" s="14" t="n">
        <f aca="false">D104-E104</f>
        <v>2704.00159914647</v>
      </c>
      <c r="E105" s="14" t="n">
        <f aca="false">D105*C105</f>
        <v>2704.00159914647</v>
      </c>
      <c r="F105" s="14" t="n">
        <f aca="false">E105/2</f>
        <v>1352.00079957323</v>
      </c>
      <c r="G105" s="14" t="n">
        <f aca="false">SUM(F105:F$105)</f>
        <v>1352.00079957323</v>
      </c>
      <c r="H105" s="15" t="n">
        <f aca="false">G105/D105</f>
        <v>0.5</v>
      </c>
    </row>
  </sheetData>
  <mergeCells count="2">
    <mergeCell ref="B1:N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8" min="3" style="0" width="21"/>
    <col collapsed="false" customWidth="true" hidden="false" outlineLevel="0" max="10" min="9" style="0" width="3"/>
    <col collapsed="false" customWidth="true" hidden="false" outlineLevel="0" max="11" min="11" style="0" width="30"/>
    <col collapsed="false" customWidth="true" hidden="false" outlineLevel="0" max="12" min="12" style="0" width="20"/>
  </cols>
  <sheetData>
    <row r="1" customFormat="false" ht="17.35" hidden="false" customHeight="false" outlineLevel="0" collapsed="false">
      <c r="B1" s="7" t="s">
        <v>19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" hidden="false" customHeight="false" outlineLevel="0" collapsed="false">
      <c r="B2" s="8" t="s">
        <v>48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23" t="s">
        <v>21</v>
      </c>
      <c r="C3" s="23" t="s">
        <v>22</v>
      </c>
      <c r="D3" s="23" t="s">
        <v>23</v>
      </c>
      <c r="E3" s="23" t="s">
        <v>24</v>
      </c>
      <c r="F3" s="23" t="s">
        <v>25</v>
      </c>
      <c r="G3" s="23" t="s">
        <v>26</v>
      </c>
      <c r="H3" s="23" t="s">
        <v>27</v>
      </c>
      <c r="K3" s="10" t="s">
        <v>28</v>
      </c>
    </row>
    <row r="4" customFormat="false" ht="51.75" hidden="false" customHeight="true" outlineLevel="0" collapsed="false">
      <c r="B4" s="11"/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K4" s="10" t="s">
        <v>35</v>
      </c>
    </row>
    <row r="5" customFormat="false" ht="15" hidden="false" customHeight="false" outlineLevel="0" collapsed="false">
      <c r="B5" s="12" t="n">
        <v>0</v>
      </c>
      <c r="C5" s="13" t="n">
        <f aca="false">L9</f>
        <v>0.0110411425046369</v>
      </c>
      <c r="D5" s="14" t="n">
        <f aca="false">Radix</f>
        <v>100000</v>
      </c>
      <c r="E5" s="14" t="n">
        <f aca="false">D5*C5</f>
        <v>1104.11425046369</v>
      </c>
      <c r="F5" s="14" t="n">
        <f aca="false">D6+(E5/2)</f>
        <v>99447.9428747682</v>
      </c>
      <c r="G5" s="14" t="n">
        <f aca="false">SUM(F5:F$105)</f>
        <v>7911459.8898827</v>
      </c>
      <c r="H5" s="15" t="n">
        <f aca="false">G5/D5</f>
        <v>79.114598898827</v>
      </c>
    </row>
    <row r="6" customFormat="false" ht="15" hidden="false" customHeight="false" outlineLevel="0" collapsed="false">
      <c r="B6" s="12" t="n">
        <v>1</v>
      </c>
      <c r="C6" s="16" t="n">
        <f aca="false">'Datos INEGI'!M14/('Datos INEGI'!P14+'Datos INEGI'!M14/2)</f>
        <v>0.00107306549258667</v>
      </c>
      <c r="D6" s="14" t="n">
        <f aca="false">D5-E5</f>
        <v>98895.8857495363</v>
      </c>
      <c r="E6" s="14" t="n">
        <f aca="false">D6*C6</f>
        <v>106.121762356621</v>
      </c>
      <c r="F6" s="14" t="n">
        <f aca="false">D7+(E6/2)</f>
        <v>98842.824868358</v>
      </c>
      <c r="G6" s="14" t="n">
        <f aca="false">SUM(F6:F$105)</f>
        <v>7812011.94700793</v>
      </c>
      <c r="H6" s="15" t="n">
        <f aca="false">G6/D6</f>
        <v>78.9922845404574</v>
      </c>
      <c r="K6" s="10" t="s">
        <v>36</v>
      </c>
      <c r="L6" s="17" t="n">
        <f aca="false">'Datos INEGI'!C4</f>
        <v>905926</v>
      </c>
    </row>
    <row r="7" customFormat="false" ht="15" hidden="false" customHeight="false" outlineLevel="0" collapsed="false">
      <c r="B7" s="12" t="n">
        <v>2</v>
      </c>
      <c r="C7" s="16" t="n">
        <f aca="false">'Datos INEGI'!M15/('Datos INEGI'!P15+'Datos INEGI'!M15/2)</f>
        <v>0.000495836550581336</v>
      </c>
      <c r="D7" s="14" t="n">
        <f aca="false">D6-E6</f>
        <v>98789.7639871797</v>
      </c>
      <c r="E7" s="14" t="n">
        <f aca="false">D7*C7</f>
        <v>48.9835758081474</v>
      </c>
      <c r="F7" s="14" t="n">
        <f aca="false">D8+(E7/2)</f>
        <v>98765.2721992756</v>
      </c>
      <c r="G7" s="14" t="n">
        <f aca="false">SUM(F7:F$105)</f>
        <v>7713169.12213958</v>
      </c>
      <c r="H7" s="15" t="n">
        <f aca="false">G7/D7</f>
        <v>78.0766023809971</v>
      </c>
      <c r="K7" s="10" t="s">
        <v>37</v>
      </c>
      <c r="L7" s="17" t="n">
        <f aca="false">'Datos INEGI'!M13</f>
        <v>10002.4580646557</v>
      </c>
    </row>
    <row r="8" customFormat="false" ht="15" hidden="false" customHeight="false" outlineLevel="0" collapsed="false">
      <c r="B8" s="12" t="n">
        <v>3</v>
      </c>
      <c r="C8" s="16" t="n">
        <f aca="false">'Datos INEGI'!M16/('Datos INEGI'!P16+'Datos INEGI'!M16/2)</f>
        <v>0.000325827063979955</v>
      </c>
      <c r="D8" s="14" t="n">
        <f aca="false">D7-E7</f>
        <v>98740.7804113715</v>
      </c>
      <c r="E8" s="14" t="n">
        <f aca="false">D8*C8</f>
        <v>32.1724185765266</v>
      </c>
      <c r="F8" s="14" t="n">
        <f aca="false">D9+(E8/2)</f>
        <v>98724.6942020833</v>
      </c>
      <c r="G8" s="14" t="n">
        <f aca="false">SUM(F8:F$105)</f>
        <v>7614403.8499403</v>
      </c>
      <c r="H8" s="15" t="n">
        <f aca="false">G8/D8</f>
        <v>77.1150867778981</v>
      </c>
    </row>
    <row r="9" customFormat="false" ht="15" hidden="false" customHeight="false" outlineLevel="0" collapsed="false">
      <c r="B9" s="12" t="n">
        <v>4</v>
      </c>
      <c r="C9" s="16" t="n">
        <f aca="false">'Datos INEGI'!M17/('Datos INEGI'!P17+'Datos INEGI'!M17/2)</f>
        <v>0.000275102168030036</v>
      </c>
      <c r="D9" s="14" t="n">
        <f aca="false">D8-E8</f>
        <v>98708.607992795</v>
      </c>
      <c r="E9" s="14" t="n">
        <f aca="false">D9*C9</f>
        <v>27.1549520620449</v>
      </c>
      <c r="F9" s="14" t="n">
        <f aca="false">D10+(E9/2)</f>
        <v>98695.030516764</v>
      </c>
      <c r="G9" s="14" t="n">
        <f aca="false">SUM(F9:F$105)</f>
        <v>7515679.15573822</v>
      </c>
      <c r="H9" s="15" t="n">
        <f aca="false">G9/D9</f>
        <v>76.1400581830392</v>
      </c>
      <c r="K9" s="10" t="s">
        <v>38</v>
      </c>
      <c r="L9" s="18" t="n">
        <f aca="false">L7/L6</f>
        <v>0.0110411425046369</v>
      </c>
    </row>
    <row r="10" customFormat="false" ht="15" hidden="false" customHeight="false" outlineLevel="0" collapsed="false">
      <c r="B10" s="12" t="n">
        <v>5</v>
      </c>
      <c r="C10" s="16" t="n">
        <f aca="false">'Datos INEGI'!M18/('Datos INEGI'!P18+'Datos INEGI'!M18/2)</f>
        <v>0.000245463388874404</v>
      </c>
      <c r="D10" s="14" t="n">
        <f aca="false">D9-E9</f>
        <v>98681.453040733</v>
      </c>
      <c r="E10" s="14" t="n">
        <f aca="false">D10*C10</f>
        <v>24.2226838824287</v>
      </c>
      <c r="F10" s="14" t="n">
        <f aca="false">D11+(E10/2)</f>
        <v>98669.3416987918</v>
      </c>
      <c r="G10" s="14" t="n">
        <f aca="false">SUM(F10:F$105)</f>
        <v>7416984.12522145</v>
      </c>
      <c r="H10" s="15" t="n">
        <f aca="false">G10/D10</f>
        <v>75.1608726531411</v>
      </c>
      <c r="K10" s="3" t="s">
        <v>39</v>
      </c>
    </row>
    <row r="11" customFormat="false" ht="15" hidden="false" customHeight="false" outlineLevel="0" collapsed="false">
      <c r="B11" s="12" t="n">
        <v>6</v>
      </c>
      <c r="C11" s="16" t="n">
        <f aca="false">'Datos INEGI'!M19/('Datos INEGI'!P19+'Datos INEGI'!M19/2)</f>
        <v>0.000205474540011107</v>
      </c>
      <c r="D11" s="14" t="n">
        <f aca="false">D10-E10</f>
        <v>98657.2303568505</v>
      </c>
      <c r="E11" s="14" t="n">
        <f aca="false">D11*C11</f>
        <v>20.2715490263437</v>
      </c>
      <c r="F11" s="14" t="n">
        <f aca="false">D12+(E11/2)</f>
        <v>98647.0945823374</v>
      </c>
      <c r="G11" s="14" t="n">
        <f aca="false">SUM(F11:F$105)</f>
        <v>7318314.78352266</v>
      </c>
      <c r="H11" s="15" t="n">
        <f aca="false">G11/D11</f>
        <v>74.1792036635508</v>
      </c>
      <c r="K11" s="3" t="s">
        <v>40</v>
      </c>
    </row>
    <row r="12" customFormat="false" ht="15" hidden="false" customHeight="false" outlineLevel="0" collapsed="false">
      <c r="B12" s="12" t="n">
        <v>7</v>
      </c>
      <c r="C12" s="16" t="n">
        <f aca="false">'Datos INEGI'!M20/('Datos INEGI'!P20+'Datos INEGI'!M20/2)</f>
        <v>0.000226819591431342</v>
      </c>
      <c r="D12" s="14" t="n">
        <f aca="false">D11-E11</f>
        <v>98636.9588078242</v>
      </c>
      <c r="E12" s="14" t="n">
        <f aca="false">D12*C12</f>
        <v>22.3727946968208</v>
      </c>
      <c r="F12" s="14" t="n">
        <f aca="false">D13+(E12/2)</f>
        <v>98625.7724104758</v>
      </c>
      <c r="G12" s="14" t="n">
        <f aca="false">SUM(F12:F$105)</f>
        <v>7219667.68894032</v>
      </c>
      <c r="H12" s="15" t="n">
        <f aca="false">G12/D12</f>
        <v>73.1943459753915</v>
      </c>
      <c r="K12" s="10" t="s">
        <v>25</v>
      </c>
      <c r="L12" s="3" t="s">
        <v>41</v>
      </c>
    </row>
    <row r="13" customFormat="false" ht="15" hidden="false" customHeight="false" outlineLevel="0" collapsed="false">
      <c r="B13" s="12" t="n">
        <v>8</v>
      </c>
      <c r="C13" s="16" t="n">
        <f aca="false">'Datos INEGI'!M21/('Datos INEGI'!P21+'Datos INEGI'!M21/2)</f>
        <v>0.000171113905335754</v>
      </c>
      <c r="D13" s="14" t="n">
        <f aca="false">D12-E12</f>
        <v>98614.5860131274</v>
      </c>
      <c r="E13" s="14" t="n">
        <f aca="false">D13*C13</f>
        <v>16.8743269357749</v>
      </c>
      <c r="F13" s="14" t="n">
        <f aca="false">D14+(E13/2)</f>
        <v>98606.1488496595</v>
      </c>
      <c r="G13" s="14" t="n">
        <f aca="false">SUM(F13:F$105)</f>
        <v>7121041.91652985</v>
      </c>
      <c r="H13" s="15" t="n">
        <f aca="false">G13/D13</f>
        <v>72.2108382180087</v>
      </c>
    </row>
    <row r="14" customFormat="false" ht="15" hidden="false" customHeight="false" outlineLevel="0" collapsed="false">
      <c r="B14" s="12" t="n">
        <v>9</v>
      </c>
      <c r="C14" s="16" t="n">
        <f aca="false">'Datos INEGI'!M22/('Datos INEGI'!P22+'Datos INEGI'!M22/2)</f>
        <v>0.000216861264359608</v>
      </c>
      <c r="D14" s="14" t="n">
        <f aca="false">D13-E13</f>
        <v>98597.7116861916</v>
      </c>
      <c r="E14" s="14" t="n">
        <f aca="false">D14*C14</f>
        <v>21.3820244192316</v>
      </c>
      <c r="F14" s="14" t="n">
        <f aca="false">D15+(E14/2)</f>
        <v>98587.020673982</v>
      </c>
      <c r="G14" s="14" t="n">
        <f aca="false">SUM(F14:F$105)</f>
        <v>7022435.76768019</v>
      </c>
      <c r="H14" s="15" t="n">
        <f aca="false">G14/D14</f>
        <v>71.2231110396416</v>
      </c>
      <c r="K14" s="3" t="s">
        <v>42</v>
      </c>
    </row>
    <row r="15" customFormat="false" ht="15" hidden="false" customHeight="false" outlineLevel="0" collapsed="false">
      <c r="B15" s="12" t="n">
        <v>10</v>
      </c>
      <c r="C15" s="16" t="n">
        <f aca="false">'Datos INEGI'!M23/('Datos INEGI'!P23+'Datos INEGI'!M23/2)</f>
        <v>0.000202235775290499</v>
      </c>
      <c r="D15" s="14" t="n">
        <f aca="false">D14-E14</f>
        <v>98576.3296617724</v>
      </c>
      <c r="E15" s="14" t="n">
        <f aca="false">D15*C15</f>
        <v>19.9356604544404</v>
      </c>
      <c r="F15" s="14" t="n">
        <f aca="false">D16+(E15/2)</f>
        <v>98566.3618315452</v>
      </c>
      <c r="G15" s="14" t="n">
        <f aca="false">SUM(F15:F$105)</f>
        <v>6923848.74700621</v>
      </c>
      <c r="H15" s="15" t="n">
        <f aca="false">G15/D15</f>
        <v>70.2384514696661</v>
      </c>
    </row>
    <row r="16" customFormat="false" ht="15" hidden="false" customHeight="false" outlineLevel="0" collapsed="false">
      <c r="B16" s="12" t="n">
        <v>11</v>
      </c>
      <c r="C16" s="16" t="n">
        <f aca="false">'Datos INEGI'!M24/('Datos INEGI'!P24+'Datos INEGI'!M24/2)</f>
        <v>0.000222965275334081</v>
      </c>
      <c r="D16" s="14" t="n">
        <f aca="false">D15-E15</f>
        <v>98556.3940013179</v>
      </c>
      <c r="E16" s="14" t="n">
        <f aca="false">D16*C16</f>
        <v>21.9746535244381</v>
      </c>
      <c r="F16" s="14" t="n">
        <f aca="false">D17+(E16/2)</f>
        <v>98545.4066745557</v>
      </c>
      <c r="G16" s="14" t="n">
        <f aca="false">SUM(F16:F$105)</f>
        <v>6825282.38517466</v>
      </c>
      <c r="H16" s="15" t="n">
        <f aca="false">G16/D16</f>
        <v>69.2525579322981</v>
      </c>
      <c r="K16" s="3" t="s">
        <v>43</v>
      </c>
    </row>
    <row r="17" customFormat="false" ht="15" hidden="false" customHeight="false" outlineLevel="0" collapsed="false">
      <c r="B17" s="12" t="n">
        <v>12</v>
      </c>
      <c r="C17" s="16" t="n">
        <f aca="false">'Datos INEGI'!M25/('Datos INEGI'!P25+'Datos INEGI'!M25/2)</f>
        <v>0.000238681263368131</v>
      </c>
      <c r="D17" s="14" t="n">
        <f aca="false">D16-E16</f>
        <v>98534.4193477935</v>
      </c>
      <c r="E17" s="14" t="n">
        <f aca="false">D17*C17</f>
        <v>23.5183196951765</v>
      </c>
      <c r="F17" s="14" t="n">
        <f aca="false">D18+(E17/2)</f>
        <v>98522.6601879459</v>
      </c>
      <c r="G17" s="14" t="n">
        <f aca="false">SUM(F17:F$105)</f>
        <v>6726736.97850011</v>
      </c>
      <c r="H17" s="15" t="n">
        <f aca="false">G17/D17</f>
        <v>68.2678907840008</v>
      </c>
      <c r="K17" s="3" t="s">
        <v>44</v>
      </c>
    </row>
    <row r="18" customFormat="false" ht="15" hidden="false" customHeight="false" outlineLevel="0" collapsed="false">
      <c r="B18" s="12" t="n">
        <v>13</v>
      </c>
      <c r="C18" s="16" t="n">
        <f aca="false">'Datos INEGI'!M26/('Datos INEGI'!P26+'Datos INEGI'!M26/2)</f>
        <v>0.000273443853121673</v>
      </c>
      <c r="D18" s="14" t="n">
        <f aca="false">D17-E17</f>
        <v>98510.9010280983</v>
      </c>
      <c r="E18" s="14" t="n">
        <f aca="false">D18*C18</f>
        <v>26.937200351611</v>
      </c>
      <c r="F18" s="14" t="n">
        <f aca="false">D19+(E18/2)</f>
        <v>98497.4324279225</v>
      </c>
      <c r="G18" s="14" t="n">
        <f aca="false">SUM(F18:F$105)</f>
        <v>6628214.31831216</v>
      </c>
      <c r="H18" s="15" t="n">
        <f aca="false">G18/D18</f>
        <v>67.2840695713624</v>
      </c>
    </row>
    <row r="19" customFormat="false" ht="15" hidden="false" customHeight="false" outlineLevel="0" collapsed="false">
      <c r="B19" s="12" t="n">
        <v>14</v>
      </c>
      <c r="C19" s="16" t="n">
        <f aca="false">'Datos INEGI'!M27/('Datos INEGI'!P27+'Datos INEGI'!M27/2)</f>
        <v>0.000326605158153897</v>
      </c>
      <c r="D19" s="14" t="n">
        <f aca="false">D18-E18</f>
        <v>98483.9638277467</v>
      </c>
      <c r="E19" s="14" t="n">
        <f aca="false">D19*C19</f>
        <v>32.1653705815838</v>
      </c>
      <c r="F19" s="14" t="n">
        <f aca="false">D20+(E19/2)</f>
        <v>98467.8811424559</v>
      </c>
      <c r="G19" s="14" t="n">
        <f aca="false">SUM(F19:F$105)</f>
        <v>6529716.88588424</v>
      </c>
      <c r="H19" s="15" t="n">
        <f aca="false">G19/D19</f>
        <v>66.3023362595867</v>
      </c>
      <c r="K19" s="10" t="s">
        <v>45</v>
      </c>
      <c r="L19" s="19" t="n">
        <f aca="false">SUM(E5:E105)-Radix</f>
        <v>0</v>
      </c>
    </row>
    <row r="20" customFormat="false" ht="15" hidden="false" customHeight="false" outlineLevel="0" collapsed="false">
      <c r="B20" s="12" t="n">
        <v>15</v>
      </c>
      <c r="C20" s="16" t="n">
        <f aca="false">'Datos INEGI'!M28/('Datos INEGI'!P28+'Datos INEGI'!M28/2)</f>
        <v>0.000372732184850099</v>
      </c>
      <c r="D20" s="14" t="n">
        <f aca="false">D19-E19</f>
        <v>98451.7984571651</v>
      </c>
      <c r="E20" s="14" t="n">
        <f aca="false">D20*C20</f>
        <v>36.6961539413607</v>
      </c>
      <c r="F20" s="14" t="n">
        <f aca="false">D21+(E20/2)</f>
        <v>98433.4503801944</v>
      </c>
      <c r="G20" s="14" t="n">
        <f aca="false">SUM(F20:F$105)</f>
        <v>6431249.00474178</v>
      </c>
      <c r="H20" s="15" t="n">
        <f aca="false">G20/D20</f>
        <v>65.3238346635173</v>
      </c>
    </row>
    <row r="21" customFormat="false" ht="15" hidden="false" customHeight="false" outlineLevel="0" collapsed="false">
      <c r="B21" s="12" t="n">
        <v>16</v>
      </c>
      <c r="C21" s="16" t="n">
        <f aca="false">'Datos INEGI'!M29/('Datos INEGI'!P29+'Datos INEGI'!M29/2)</f>
        <v>0.00041244251271385</v>
      </c>
      <c r="D21" s="14" t="n">
        <f aca="false">D20-E20</f>
        <v>98415.1023032238</v>
      </c>
      <c r="E21" s="14" t="n">
        <f aca="false">D21*C21</f>
        <v>40.5905720829322</v>
      </c>
      <c r="F21" s="14" t="n">
        <f aca="false">D22+(E21/2)</f>
        <v>98394.8070171823</v>
      </c>
      <c r="G21" s="14" t="n">
        <f aca="false">SUM(F21:F$105)</f>
        <v>6332815.55436159</v>
      </c>
      <c r="H21" s="15" t="n">
        <f aca="false">G21/D21</f>
        <v>64.3480056023286</v>
      </c>
      <c r="K21" s="3" t="s">
        <v>46</v>
      </c>
    </row>
    <row r="22" customFormat="false" ht="15" hidden="false" customHeight="false" outlineLevel="0" collapsed="false">
      <c r="B22" s="12" t="n">
        <v>17</v>
      </c>
      <c r="C22" s="16" t="n">
        <f aca="false">'Datos INEGI'!M30/('Datos INEGI'!P30+'Datos INEGI'!M30/2)</f>
        <v>0.000470066264864047</v>
      </c>
      <c r="D22" s="14" t="n">
        <f aca="false">D21-E21</f>
        <v>98374.5117311408</v>
      </c>
      <c r="E22" s="14" t="n">
        <f aca="false">D22*C22</f>
        <v>46.2425392872817</v>
      </c>
      <c r="F22" s="14" t="n">
        <f aca="false">D23+(E22/2)</f>
        <v>98351.3904614972</v>
      </c>
      <c r="G22" s="14" t="n">
        <f aca="false">SUM(F22:F$105)</f>
        <v>6234420.7473444</v>
      </c>
      <c r="H22" s="15" t="n">
        <f aca="false">G22/D22</f>
        <v>63.3743500997817</v>
      </c>
    </row>
    <row r="23" customFormat="false" ht="15" hidden="false" customHeight="false" outlineLevel="0" collapsed="false">
      <c r="B23" s="12" t="n">
        <v>18</v>
      </c>
      <c r="C23" s="16" t="n">
        <f aca="false">'Datos INEGI'!M31/('Datos INEGI'!P31+'Datos INEGI'!M31/2)</f>
        <v>0.000500126786853741</v>
      </c>
      <c r="D23" s="14" t="n">
        <f aca="false">D22-E22</f>
        <v>98328.2691918535</v>
      </c>
      <c r="E23" s="14" t="n">
        <f aca="false">D23*C23</f>
        <v>49.1766013278114</v>
      </c>
      <c r="F23" s="14" t="n">
        <f aca="false">D24+(E23/2)</f>
        <v>98303.6808911896</v>
      </c>
      <c r="G23" s="14" t="n">
        <f aca="false">SUM(F23:F$105)</f>
        <v>6136069.35688291</v>
      </c>
      <c r="H23" s="15" t="n">
        <f aca="false">G23/D23</f>
        <v>62.4039191100831</v>
      </c>
    </row>
    <row r="24" customFormat="false" ht="15" hidden="false" customHeight="false" outlineLevel="0" collapsed="false">
      <c r="B24" s="12" t="n">
        <v>19</v>
      </c>
      <c r="C24" s="16" t="n">
        <f aca="false">'Datos INEGI'!M32/('Datos INEGI'!P32+'Datos INEGI'!M32/2)</f>
        <v>0.000531122286150868</v>
      </c>
      <c r="D24" s="14" t="n">
        <f aca="false">D23-E23</f>
        <v>98279.0925905257</v>
      </c>
      <c r="E24" s="14" t="n">
        <f aca="false">D24*C24</f>
        <v>52.1982163375128</v>
      </c>
      <c r="F24" s="14" t="n">
        <f aca="false">D25+(E24/2)</f>
        <v>98252.993482357</v>
      </c>
      <c r="G24" s="14" t="n">
        <f aca="false">SUM(F24:F$105)</f>
        <v>6037765.67599172</v>
      </c>
      <c r="H24" s="15" t="n">
        <f aca="false">G24/D24</f>
        <v>61.4348944098184</v>
      </c>
    </row>
    <row r="25" customFormat="false" ht="15" hidden="false" customHeight="false" outlineLevel="0" collapsed="false">
      <c r="B25" s="12" t="n">
        <v>20</v>
      </c>
      <c r="C25" s="16" t="n">
        <f aca="false">'Datos INEGI'!M33/('Datos INEGI'!P33+'Datos INEGI'!M33/2)</f>
        <v>0.000550242090694731</v>
      </c>
      <c r="D25" s="14" t="n">
        <f aca="false">D24-E24</f>
        <v>98226.8943741882</v>
      </c>
      <c r="E25" s="14" t="n">
        <f aca="false">D25*C25</f>
        <v>54.0485717229038</v>
      </c>
      <c r="F25" s="14" t="n">
        <f aca="false">D26+(E25/2)</f>
        <v>98199.8700883268</v>
      </c>
      <c r="G25" s="14" t="n">
        <f aca="false">SUM(F25:F$105)</f>
        <v>5939512.68250936</v>
      </c>
      <c r="H25" s="15" t="n">
        <f aca="false">G25/D25</f>
        <v>60.4672754885563</v>
      </c>
    </row>
    <row r="26" customFormat="false" ht="15" hidden="false" customHeight="false" outlineLevel="0" collapsed="false">
      <c r="B26" s="12" t="n">
        <v>21</v>
      </c>
      <c r="C26" s="16" t="n">
        <f aca="false">'Datos INEGI'!M34/('Datos INEGI'!P34+'Datos INEGI'!M34/2)</f>
        <v>0.000588209752044424</v>
      </c>
      <c r="D26" s="14" t="n">
        <f aca="false">D25-E25</f>
        <v>98172.8458024653</v>
      </c>
      <c r="E26" s="14" t="n">
        <f aca="false">D26*C26</f>
        <v>57.7462252869636</v>
      </c>
      <c r="F26" s="14" t="n">
        <f aca="false">D27+(E26/2)</f>
        <v>98143.9726898219</v>
      </c>
      <c r="G26" s="14" t="n">
        <f aca="false">SUM(F26:F$105)</f>
        <v>5841312.81242103</v>
      </c>
      <c r="H26" s="15" t="n">
        <f aca="false">G26/D26</f>
        <v>59.5002901736638</v>
      </c>
    </row>
    <row r="27" customFormat="false" ht="15" hidden="false" customHeight="false" outlineLevel="0" collapsed="false">
      <c r="B27" s="12" t="n">
        <v>22</v>
      </c>
      <c r="C27" s="16" t="n">
        <f aca="false">'Datos INEGI'!M35/('Datos INEGI'!P35+'Datos INEGI'!M35/2)</f>
        <v>0.000607412541298637</v>
      </c>
      <c r="D27" s="14" t="n">
        <f aca="false">D26-E26</f>
        <v>98115.0995771784</v>
      </c>
      <c r="E27" s="14" t="n">
        <f aca="false">D27*C27</f>
        <v>59.5963419739427</v>
      </c>
      <c r="F27" s="14" t="n">
        <f aca="false">D28+(E27/2)</f>
        <v>98085.3014061914</v>
      </c>
      <c r="G27" s="14" t="n">
        <f aca="false">SUM(F27:F$105)</f>
        <v>5743168.83973121</v>
      </c>
      <c r="H27" s="15" t="n">
        <f aca="false">G27/D27</f>
        <v>58.5350151452843</v>
      </c>
    </row>
    <row r="28" customFormat="false" ht="15" hidden="false" customHeight="false" outlineLevel="0" collapsed="false">
      <c r="B28" s="12" t="n">
        <v>23</v>
      </c>
      <c r="C28" s="16" t="n">
        <f aca="false">'Datos INEGI'!M36/('Datos INEGI'!P36+'Datos INEGI'!M36/2)</f>
        <v>0.000635477430740671</v>
      </c>
      <c r="D28" s="14" t="n">
        <f aca="false">D27-E27</f>
        <v>98055.5032352044</v>
      </c>
      <c r="E28" s="14" t="n">
        <f aca="false">D28*C28</f>
        <v>62.3120592658912</v>
      </c>
      <c r="F28" s="14" t="n">
        <f aca="false">D29+(E28/2)</f>
        <v>98024.3472055715</v>
      </c>
      <c r="G28" s="14" t="n">
        <f aca="false">SUM(F28:F$105)</f>
        <v>5645083.53832502</v>
      </c>
      <c r="H28" s="15" t="n">
        <f aca="false">G28/D28</f>
        <v>57.5702877663504</v>
      </c>
    </row>
    <row r="29" customFormat="false" ht="15" hidden="false" customHeight="false" outlineLevel="0" collapsed="false">
      <c r="B29" s="12" t="n">
        <v>24</v>
      </c>
      <c r="C29" s="16" t="n">
        <f aca="false">'Datos INEGI'!M37/('Datos INEGI'!P37+'Datos INEGI'!M37/2)</f>
        <v>0.000648123946534627</v>
      </c>
      <c r="D29" s="14" t="n">
        <f aca="false">D28-E28</f>
        <v>97993.1911759385</v>
      </c>
      <c r="E29" s="14" t="n">
        <f aca="false">D29*C29</f>
        <v>63.5117337984715</v>
      </c>
      <c r="F29" s="14" t="n">
        <f aca="false">D30+(E29/2)</f>
        <v>97961.4353090393</v>
      </c>
      <c r="G29" s="14" t="n">
        <f aca="false">SUM(F29:F$105)</f>
        <v>5547059.19111945</v>
      </c>
      <c r="H29" s="15" t="n">
        <f aca="false">G29/D29</f>
        <v>56.6065777076304</v>
      </c>
    </row>
    <row r="30" customFormat="false" ht="15" hidden="false" customHeight="false" outlineLevel="0" collapsed="false">
      <c r="B30" s="12" t="n">
        <v>25</v>
      </c>
      <c r="C30" s="16" t="n">
        <f aca="false">'Datos INEGI'!M38/('Datos INEGI'!P38+'Datos INEGI'!M38/2)</f>
        <v>0.000694974834484513</v>
      </c>
      <c r="D30" s="14" t="n">
        <f aca="false">D29-E29</f>
        <v>97929.6794421401</v>
      </c>
      <c r="E30" s="14" t="n">
        <f aca="false">D30*C30</f>
        <v>68.0586627614227</v>
      </c>
      <c r="F30" s="14" t="n">
        <f aca="false">D31+(E30/2)</f>
        <v>97895.6501107593</v>
      </c>
      <c r="G30" s="14" t="n">
        <f aca="false">SUM(F30:F$105)</f>
        <v>5449097.75581041</v>
      </c>
      <c r="H30" s="15" t="n">
        <f aca="false">G30/D30</f>
        <v>55.6429653078759</v>
      </c>
    </row>
    <row r="31" customFormat="false" ht="15" hidden="false" customHeight="false" outlineLevel="0" collapsed="false">
      <c r="B31" s="12" t="n">
        <v>26</v>
      </c>
      <c r="C31" s="16" t="n">
        <f aca="false">'Datos INEGI'!M39/('Datos INEGI'!P39+'Datos INEGI'!M39/2)</f>
        <v>0.000717475833834112</v>
      </c>
      <c r="D31" s="14" t="n">
        <f aca="false">D30-E30</f>
        <v>97861.6207793786</v>
      </c>
      <c r="E31" s="14" t="n">
        <f aca="false">D31*C31</f>
        <v>70.2133479690423</v>
      </c>
      <c r="F31" s="14" t="n">
        <f aca="false">D32+(E31/2)</f>
        <v>97826.5141053941</v>
      </c>
      <c r="G31" s="14" t="n">
        <f aca="false">SUM(F31:F$105)</f>
        <v>5351202.10569965</v>
      </c>
      <c r="H31" s="15" t="n">
        <f aca="false">G31/D31</f>
        <v>54.6813149330882</v>
      </c>
    </row>
    <row r="32" customFormat="false" ht="15" hidden="false" customHeight="false" outlineLevel="0" collapsed="false">
      <c r="B32" s="12" t="n">
        <v>27</v>
      </c>
      <c r="C32" s="16" t="n">
        <f aca="false">'Datos INEGI'!M40/('Datos INEGI'!P40+'Datos INEGI'!M40/2)</f>
        <v>0.00073718574764411</v>
      </c>
      <c r="D32" s="14" t="n">
        <f aca="false">D31-E31</f>
        <v>97791.4074314096</v>
      </c>
      <c r="E32" s="14" t="n">
        <f aca="false">D32*C32</f>
        <v>72.0904318004935</v>
      </c>
      <c r="F32" s="14" t="n">
        <f aca="false">D33+(E32/2)</f>
        <v>97755.3622155094</v>
      </c>
      <c r="G32" s="14" t="n">
        <f aca="false">SUM(F32:F$105)</f>
        <v>5253375.59159426</v>
      </c>
      <c r="H32" s="15" t="n">
        <f aca="false">G32/D32</f>
        <v>53.7202166282242</v>
      </c>
    </row>
    <row r="33" customFormat="false" ht="15" hidden="false" customHeight="false" outlineLevel="0" collapsed="false">
      <c r="B33" s="12" t="n">
        <v>28</v>
      </c>
      <c r="C33" s="16" t="n">
        <f aca="false">'Datos INEGI'!M41/('Datos INEGI'!P41+'Datos INEGI'!M41/2)</f>
        <v>0.00074866833661789</v>
      </c>
      <c r="D33" s="14" t="n">
        <f aca="false">D32-E32</f>
        <v>97719.3169996091</v>
      </c>
      <c r="E33" s="14" t="n">
        <f aca="false">D33*C33</f>
        <v>73.1593585135337</v>
      </c>
      <c r="F33" s="14" t="n">
        <f aca="false">D34+(E33/2)</f>
        <v>97682.7373203524</v>
      </c>
      <c r="G33" s="14" t="n">
        <f aca="false">SUM(F33:F$105)</f>
        <v>5155620.22937875</v>
      </c>
      <c r="H33" s="15" t="n">
        <f aca="false">G33/D33</f>
        <v>52.7594787568907</v>
      </c>
    </row>
    <row r="34" customFormat="false" ht="15" hidden="false" customHeight="false" outlineLevel="0" collapsed="false">
      <c r="B34" s="12" t="n">
        <v>29</v>
      </c>
      <c r="C34" s="16" t="n">
        <f aca="false">'Datos INEGI'!M42/('Datos INEGI'!P42+'Datos INEGI'!M42/2)</f>
        <v>0.000805860884290956</v>
      </c>
      <c r="D34" s="14" t="n">
        <f aca="false">D33-E33</f>
        <v>97646.1576410956</v>
      </c>
      <c r="E34" s="14" t="n">
        <f aca="false">D34*C34</f>
        <v>78.6892189442673</v>
      </c>
      <c r="F34" s="14" t="n">
        <f aca="false">D35+(E34/2)</f>
        <v>97606.8130316234</v>
      </c>
      <c r="G34" s="14" t="n">
        <f aca="false">SUM(F34:F$105)</f>
        <v>5057937.49205839</v>
      </c>
      <c r="H34" s="15" t="n">
        <f aca="false">G34/D34</f>
        <v>51.7986330875318</v>
      </c>
    </row>
    <row r="35" customFormat="false" ht="15" hidden="false" customHeight="false" outlineLevel="0" collapsed="false">
      <c r="B35" s="12" t="n">
        <v>30</v>
      </c>
      <c r="C35" s="16" t="n">
        <f aca="false">'Datos INEGI'!M43/('Datos INEGI'!P43+'Datos INEGI'!M43/2)</f>
        <v>0.000809653762187137</v>
      </c>
      <c r="D35" s="14" t="n">
        <f aca="false">D34-E34</f>
        <v>97567.4684221513</v>
      </c>
      <c r="E35" s="14" t="n">
        <f aca="false">D35*C35</f>
        <v>78.9958678750695</v>
      </c>
      <c r="F35" s="14" t="n">
        <f aca="false">D36+(E35/2)</f>
        <v>97527.9704882138</v>
      </c>
      <c r="G35" s="14" t="n">
        <f aca="false">SUM(F35:F$105)</f>
        <v>4960330.67902677</v>
      </c>
      <c r="H35" s="15" t="n">
        <f aca="false">G35/D35</f>
        <v>50.8400059901585</v>
      </c>
    </row>
    <row r="36" customFormat="false" ht="15" hidden="false" customHeight="false" outlineLevel="0" collapsed="false">
      <c r="B36" s="12" t="n">
        <v>31</v>
      </c>
      <c r="C36" s="16" t="n">
        <f aca="false">'Datos INEGI'!M44/('Datos INEGI'!P44+'Datos INEGI'!M44/2)</f>
        <v>0.000858225310174571</v>
      </c>
      <c r="D36" s="14" t="n">
        <f aca="false">D35-E35</f>
        <v>97488.4725542762</v>
      </c>
      <c r="E36" s="14" t="n">
        <f aca="false">D36*C36</f>
        <v>83.6670745963389</v>
      </c>
      <c r="F36" s="14" t="n">
        <f aca="false">D37+(E36/2)</f>
        <v>97446.6390169781</v>
      </c>
      <c r="G36" s="14" t="n">
        <f aca="false">SUM(F36:F$105)</f>
        <v>4862802.70853856</v>
      </c>
      <c r="H36" s="15" t="n">
        <f aca="false">G36/D36</f>
        <v>49.880796991985</v>
      </c>
    </row>
    <row r="37" customFormat="false" ht="15" hidden="false" customHeight="false" outlineLevel="0" collapsed="false">
      <c r="B37" s="12" t="n">
        <v>32</v>
      </c>
      <c r="C37" s="16" t="n">
        <f aca="false">'Datos INEGI'!M45/('Datos INEGI'!P45+'Datos INEGI'!M45/2)</f>
        <v>0.000898216114997984</v>
      </c>
      <c r="D37" s="14" t="n">
        <f aca="false">D36-E36</f>
        <v>97404.8054796799</v>
      </c>
      <c r="E37" s="14" t="n">
        <f aca="false">D37*C37</f>
        <v>87.4905659600924</v>
      </c>
      <c r="F37" s="14" t="n">
        <f aca="false">D38+(E37/2)</f>
        <v>97361.0601966999</v>
      </c>
      <c r="G37" s="14" t="n">
        <f aca="false">SUM(F37:F$105)</f>
        <v>4765356.06952158</v>
      </c>
      <c r="H37" s="15" t="n">
        <f aca="false">G37/D37</f>
        <v>48.9232132445016</v>
      </c>
    </row>
    <row r="38" customFormat="false" ht="15" hidden="false" customHeight="false" outlineLevel="0" collapsed="false">
      <c r="B38" s="12" t="n">
        <v>33</v>
      </c>
      <c r="C38" s="16" t="n">
        <f aca="false">'Datos INEGI'!M46/('Datos INEGI'!P46+'Datos INEGI'!M46/2)</f>
        <v>0.000968226271620257</v>
      </c>
      <c r="D38" s="14" t="n">
        <f aca="false">D37-E37</f>
        <v>97317.3149137198</v>
      </c>
      <c r="E38" s="14" t="n">
        <f aca="false">D38*C38</f>
        <v>94.2251809830054</v>
      </c>
      <c r="F38" s="14" t="n">
        <f aca="false">D39+(E38/2)</f>
        <v>97270.2023232283</v>
      </c>
      <c r="G38" s="14" t="n">
        <f aca="false">SUM(F38:F$105)</f>
        <v>4667995.00932488</v>
      </c>
      <c r="H38" s="15" t="n">
        <f aca="false">G38/D38</f>
        <v>47.9667468575706</v>
      </c>
    </row>
    <row r="39" customFormat="false" ht="15" hidden="false" customHeight="false" outlineLevel="0" collapsed="false">
      <c r="B39" s="12" t="n">
        <v>34</v>
      </c>
      <c r="C39" s="16" t="n">
        <f aca="false">'Datos INEGI'!M47/('Datos INEGI'!P47+'Datos INEGI'!M47/2)</f>
        <v>0.000981931112392762</v>
      </c>
      <c r="D39" s="14" t="n">
        <f aca="false">D38-E38</f>
        <v>97223.0897327368</v>
      </c>
      <c r="E39" s="14" t="n">
        <f aca="false">D39*C39</f>
        <v>95.4663766515276</v>
      </c>
      <c r="F39" s="14" t="n">
        <f aca="false">D40+(E39/2)</f>
        <v>97175.356544411</v>
      </c>
      <c r="G39" s="14" t="n">
        <f aca="false">SUM(F39:F$105)</f>
        <v>4570724.80700165</v>
      </c>
      <c r="H39" s="15" t="n">
        <f aca="false">G39/D39</f>
        <v>47.0127499503094</v>
      </c>
    </row>
    <row r="40" customFormat="false" ht="15" hidden="false" customHeight="false" outlineLevel="0" collapsed="false">
      <c r="B40" s="12" t="n">
        <v>35</v>
      </c>
      <c r="C40" s="16" t="n">
        <f aca="false">'Datos INEGI'!M48/('Datos INEGI'!P48+'Datos INEGI'!M48/2)</f>
        <v>0.00107774473615685</v>
      </c>
      <c r="D40" s="14" t="n">
        <f aca="false">D39-E39</f>
        <v>97127.6233560853</v>
      </c>
      <c r="E40" s="14" t="n">
        <f aca="false">D40*C40</f>
        <v>104.678784807446</v>
      </c>
      <c r="F40" s="14" t="n">
        <f aca="false">D41+(E40/2)</f>
        <v>97075.2839636816</v>
      </c>
      <c r="G40" s="14" t="n">
        <f aca="false">SUM(F40:F$105)</f>
        <v>4473549.45045724</v>
      </c>
      <c r="H40" s="15" t="n">
        <f aca="false">G40/D40</f>
        <v>46.058467157757</v>
      </c>
    </row>
    <row r="41" customFormat="false" ht="15" hidden="false" customHeight="false" outlineLevel="0" collapsed="false">
      <c r="B41" s="12" t="n">
        <v>36</v>
      </c>
      <c r="C41" s="16" t="n">
        <f aca="false">'Datos INEGI'!M49/('Datos INEGI'!P49+'Datos INEGI'!M49/2)</f>
        <v>0.00111032866135041</v>
      </c>
      <c r="D41" s="14" t="n">
        <f aca="false">D40-E40</f>
        <v>97022.9445712778</v>
      </c>
      <c r="E41" s="14" t="n">
        <f aca="false">D41*C41</f>
        <v>107.727356166102</v>
      </c>
      <c r="F41" s="14" t="n">
        <f aca="false">D42+(E41/2)</f>
        <v>96969.0808931948</v>
      </c>
      <c r="G41" s="14" t="n">
        <f aca="false">SUM(F41:F$105)</f>
        <v>4376474.16649356</v>
      </c>
      <c r="H41" s="15" t="n">
        <f aca="false">G41/D41</f>
        <v>45.1076205307126</v>
      </c>
    </row>
    <row r="42" customFormat="false" ht="15" hidden="false" customHeight="false" outlineLevel="0" collapsed="false">
      <c r="B42" s="12" t="n">
        <v>37</v>
      </c>
      <c r="C42" s="16" t="n">
        <f aca="false">'Datos INEGI'!M50/('Datos INEGI'!P50+'Datos INEGI'!M50/2)</f>
        <v>0.00119926978773346</v>
      </c>
      <c r="D42" s="14" t="n">
        <f aca="false">D41-E41</f>
        <v>96915.2172151117</v>
      </c>
      <c r="E42" s="14" t="n">
        <f aca="false">D42*C42</f>
        <v>116.227491977709</v>
      </c>
      <c r="F42" s="14" t="n">
        <f aca="false">D43+(E42/2)</f>
        <v>96857.1034691229</v>
      </c>
      <c r="G42" s="14" t="n">
        <f aca="false">SUM(F42:F$105)</f>
        <v>4279505.08560036</v>
      </c>
      <c r="H42" s="15" t="n">
        <f aca="false">G42/D42</f>
        <v>44.1572047050324</v>
      </c>
    </row>
    <row r="43" customFormat="false" ht="15" hidden="false" customHeight="false" outlineLevel="0" collapsed="false">
      <c r="B43" s="12" t="n">
        <v>38</v>
      </c>
      <c r="C43" s="16" t="n">
        <f aca="false">'Datos INEGI'!M51/('Datos INEGI'!P51+'Datos INEGI'!M51/2)</f>
        <v>0.00123999794244944</v>
      </c>
      <c r="D43" s="14" t="n">
        <f aca="false">D42-E42</f>
        <v>96798.989723134</v>
      </c>
      <c r="E43" s="14" t="n">
        <f aca="false">D43*C43</f>
        <v>120.030548087871</v>
      </c>
      <c r="F43" s="14" t="n">
        <f aca="false">D44+(E43/2)</f>
        <v>96738.9744490901</v>
      </c>
      <c r="G43" s="14" t="n">
        <f aca="false">SUM(F43:F$105)</f>
        <v>4182647.98213124</v>
      </c>
      <c r="H43" s="15" t="n">
        <f aca="false">G43/D43</f>
        <v>43.2096243369328</v>
      </c>
    </row>
    <row r="44" customFormat="false" ht="15" hidden="false" customHeight="false" outlineLevel="0" collapsed="false">
      <c r="B44" s="12" t="n">
        <v>39</v>
      </c>
      <c r="C44" s="16" t="n">
        <f aca="false">'Datos INEGI'!M52/('Datos INEGI'!P52+'Datos INEGI'!M52/2)</f>
        <v>0.00139642461188012</v>
      </c>
      <c r="D44" s="14" t="n">
        <f aca="false">D43-E43</f>
        <v>96678.9591750461</v>
      </c>
      <c r="E44" s="14" t="n">
        <f aca="false">D44*C44</f>
        <v>135.004878042988</v>
      </c>
      <c r="F44" s="14" t="n">
        <f aca="false">D45+(E44/2)</f>
        <v>96611.4567360246</v>
      </c>
      <c r="G44" s="14" t="n">
        <f aca="false">SUM(F44:F$105)</f>
        <v>4085909.00768215</v>
      </c>
      <c r="H44" s="15" t="n">
        <f aca="false">G44/D44</f>
        <v>42.2626499348657</v>
      </c>
    </row>
    <row r="45" customFormat="false" ht="15" hidden="false" customHeight="false" outlineLevel="0" collapsed="false">
      <c r="B45" s="12" t="n">
        <v>40</v>
      </c>
      <c r="C45" s="16" t="n">
        <f aca="false">'Datos INEGI'!M53/('Datos INEGI'!P53+'Datos INEGI'!M53/2)</f>
        <v>0.00144560346175557</v>
      </c>
      <c r="D45" s="14" t="n">
        <f aca="false">D44-E44</f>
        <v>96543.9542970032</v>
      </c>
      <c r="E45" s="14" t="n">
        <f aca="false">D45*C45</f>
        <v>139.56427454332</v>
      </c>
      <c r="F45" s="14" t="n">
        <f aca="false">D46+(E45/2)</f>
        <v>96474.1721597315</v>
      </c>
      <c r="G45" s="14" t="n">
        <f aca="false">SUM(F45:F$105)</f>
        <v>3989297.55094613</v>
      </c>
      <c r="H45" s="15" t="n">
        <f aca="false">G45/D45</f>
        <v>41.3210498782103</v>
      </c>
    </row>
    <row r="46" customFormat="false" ht="15" hidden="false" customHeight="false" outlineLevel="0" collapsed="false">
      <c r="B46" s="12" t="n">
        <v>41</v>
      </c>
      <c r="C46" s="16" t="n">
        <f aca="false">'Datos INEGI'!M54/('Datos INEGI'!P54+'Datos INEGI'!M54/2)</f>
        <v>0.001583205051921</v>
      </c>
      <c r="D46" s="14" t="n">
        <f aca="false">D45-E45</f>
        <v>96404.3900224598</v>
      </c>
      <c r="E46" s="14" t="n">
        <f aca="false">D46*C46</f>
        <v>152.627917310921</v>
      </c>
      <c r="F46" s="14" t="n">
        <f aca="false">D47+(E46/2)</f>
        <v>96328.0760638044</v>
      </c>
      <c r="G46" s="14" t="n">
        <f aca="false">SUM(F46:F$105)</f>
        <v>3892823.3787864</v>
      </c>
      <c r="H46" s="15" t="n">
        <f aca="false">G46/D46</f>
        <v>40.3801463593044</v>
      </c>
    </row>
    <row r="47" customFormat="false" ht="15" hidden="false" customHeight="false" outlineLevel="0" collapsed="false">
      <c r="B47" s="12" t="n">
        <v>42</v>
      </c>
      <c r="C47" s="16" t="n">
        <f aca="false">'Datos INEGI'!M55/('Datos INEGI'!P55+'Datos INEGI'!M55/2)</f>
        <v>0.00175514424679035</v>
      </c>
      <c r="D47" s="14" t="n">
        <f aca="false">D46-E46</f>
        <v>96251.7621051489</v>
      </c>
      <c r="E47" s="14" t="n">
        <f aca="false">D47*C47</f>
        <v>168.935726502286</v>
      </c>
      <c r="F47" s="14" t="n">
        <f aca="false">D48+(E47/2)</f>
        <v>96167.2942418978</v>
      </c>
      <c r="G47" s="14" t="n">
        <f aca="false">SUM(F47:F$105)</f>
        <v>3796495.30272259</v>
      </c>
      <c r="H47" s="15" t="n">
        <f aca="false">G47/D47</f>
        <v>39.4433849281134</v>
      </c>
    </row>
    <row r="48" customFormat="false" ht="15" hidden="false" customHeight="false" outlineLevel="0" collapsed="false">
      <c r="B48" s="12" t="n">
        <v>43</v>
      </c>
      <c r="C48" s="16" t="n">
        <f aca="false">'Datos INEGI'!M56/('Datos INEGI'!P56+'Datos INEGI'!M56/2)</f>
        <v>0.00196837523273821</v>
      </c>
      <c r="D48" s="14" t="n">
        <f aca="false">D47-E47</f>
        <v>96082.8263786466</v>
      </c>
      <c r="E48" s="14" t="n">
        <f aca="false">D48*C48</f>
        <v>189.127055735213</v>
      </c>
      <c r="F48" s="14" t="n">
        <f aca="false">D49+(E48/2)</f>
        <v>95988.262850779</v>
      </c>
      <c r="G48" s="14" t="n">
        <f aca="false">SUM(F48:F$105)</f>
        <v>3700328.00848069</v>
      </c>
      <c r="H48" s="15" t="n">
        <f aca="false">G48/D48</f>
        <v>38.5118563633662</v>
      </c>
    </row>
    <row r="49" customFormat="false" ht="15" hidden="false" customHeight="false" outlineLevel="0" collapsed="false">
      <c r="B49" s="12" t="n">
        <v>44</v>
      </c>
      <c r="C49" s="16" t="n">
        <f aca="false">'Datos INEGI'!M57/('Datos INEGI'!P57+'Datos INEGI'!M57/2)</f>
        <v>0.00209502890251431</v>
      </c>
      <c r="D49" s="14" t="n">
        <f aca="false">D48-E48</f>
        <v>95893.6993229114</v>
      </c>
      <c r="E49" s="14" t="n">
        <f aca="false">D49*C49</f>
        <v>200.900071650516</v>
      </c>
      <c r="F49" s="14" t="n">
        <f aca="false">D50+(E49/2)</f>
        <v>95793.2492870862</v>
      </c>
      <c r="G49" s="14" t="n">
        <f aca="false">SUM(F49:F$105)</f>
        <v>3604339.74562991</v>
      </c>
      <c r="H49" s="15" t="n">
        <f aca="false">G49/D49</f>
        <v>37.586825527428</v>
      </c>
    </row>
    <row r="50" customFormat="false" ht="15" hidden="false" customHeight="false" outlineLevel="0" collapsed="false">
      <c r="B50" s="12" t="n">
        <v>45</v>
      </c>
      <c r="C50" s="16" t="n">
        <f aca="false">'Datos INEGI'!M58/('Datos INEGI'!P58+'Datos INEGI'!M58/2)</f>
        <v>0.0023994259993959</v>
      </c>
      <c r="D50" s="14" t="n">
        <f aca="false">D49-E49</f>
        <v>95692.7992512609</v>
      </c>
      <c r="E50" s="14" t="n">
        <f aca="false">D50*C50</f>
        <v>229.607790478448</v>
      </c>
      <c r="F50" s="14" t="n">
        <f aca="false">D51+(E50/2)</f>
        <v>95577.9953560217</v>
      </c>
      <c r="G50" s="14" t="n">
        <f aca="false">SUM(F50:F$105)</f>
        <v>3508546.49634283</v>
      </c>
      <c r="H50" s="15" t="n">
        <f aca="false">G50/D50</f>
        <v>36.6646866200499</v>
      </c>
    </row>
    <row r="51" customFormat="false" ht="15" hidden="false" customHeight="false" outlineLevel="0" collapsed="false">
      <c r="B51" s="12" t="n">
        <v>46</v>
      </c>
      <c r="C51" s="16" t="n">
        <f aca="false">'Datos INEGI'!M59/('Datos INEGI'!P59+'Datos INEGI'!M59/2)</f>
        <v>0.00258291882382596</v>
      </c>
      <c r="D51" s="14" t="n">
        <f aca="false">D50-E50</f>
        <v>95463.1914607825</v>
      </c>
      <c r="E51" s="14" t="n">
        <f aca="false">D51*C51</f>
        <v>246.573674206557</v>
      </c>
      <c r="F51" s="14" t="n">
        <f aca="false">D52+(E51/2)</f>
        <v>95339.9046236792</v>
      </c>
      <c r="G51" s="14" t="n">
        <f aca="false">SUM(F51:F$105)</f>
        <v>3412968.50098681</v>
      </c>
      <c r="H51" s="15" t="n">
        <f aca="false">G51/D51</f>
        <v>35.7516698191355</v>
      </c>
    </row>
    <row r="52" customFormat="false" ht="15" hidden="false" customHeight="false" outlineLevel="0" collapsed="false">
      <c r="B52" s="12" t="n">
        <v>47</v>
      </c>
      <c r="C52" s="16" t="n">
        <f aca="false">'Datos INEGI'!M60/('Datos INEGI'!P60+'Datos INEGI'!M60/2)</f>
        <v>0.00273832406078293</v>
      </c>
      <c r="D52" s="14" t="n">
        <f aca="false">D51-E51</f>
        <v>95216.6177865759</v>
      </c>
      <c r="E52" s="14" t="n">
        <f aca="false">D52*C52</f>
        <v>260.733955471353</v>
      </c>
      <c r="F52" s="14" t="n">
        <f aca="false">D53+(E52/2)</f>
        <v>95086.2508088402</v>
      </c>
      <c r="G52" s="14" t="n">
        <f aca="false">SUM(F52:F$105)</f>
        <v>3317628.59636313</v>
      </c>
      <c r="H52" s="15" t="n">
        <f aca="false">G52/D52</f>
        <v>34.842957810153</v>
      </c>
    </row>
    <row r="53" customFormat="false" ht="15" hidden="false" customHeight="false" outlineLevel="0" collapsed="false">
      <c r="B53" s="12" t="n">
        <v>48</v>
      </c>
      <c r="C53" s="16" t="n">
        <f aca="false">'Datos INEGI'!M61/('Datos INEGI'!P61+'Datos INEGI'!M61/2)</f>
        <v>0.00290662307442943</v>
      </c>
      <c r="D53" s="14" t="n">
        <f aca="false">D52-E52</f>
        <v>94955.8838311045</v>
      </c>
      <c r="E53" s="14" t="n">
        <f aca="false">D53*C53</f>
        <v>276.000962996328</v>
      </c>
      <c r="F53" s="14" t="n">
        <f aca="false">D54+(E53/2)</f>
        <v>94817.8833496064</v>
      </c>
      <c r="G53" s="14" t="n">
        <f aca="false">SUM(F53:F$105)</f>
        <v>3222542.34555429</v>
      </c>
      <c r="H53" s="15" t="n">
        <f aca="false">G53/D53</f>
        <v>33.9372581828224</v>
      </c>
    </row>
    <row r="54" customFormat="false" ht="15" hidden="false" customHeight="false" outlineLevel="0" collapsed="false">
      <c r="B54" s="12" t="n">
        <v>49</v>
      </c>
      <c r="C54" s="16" t="n">
        <f aca="false">'Datos INEGI'!M62/('Datos INEGI'!P62+'Datos INEGI'!M62/2)</f>
        <v>0.00321511245812439</v>
      </c>
      <c r="D54" s="14" t="n">
        <f aca="false">D53-E53</f>
        <v>94679.8828681082</v>
      </c>
      <c r="E54" s="14" t="n">
        <f aca="false">D54*C54</f>
        <v>304.406470943013</v>
      </c>
      <c r="F54" s="14" t="n">
        <f aca="false">D55+(E54/2)</f>
        <v>94527.6796326367</v>
      </c>
      <c r="G54" s="14" t="n">
        <f aca="false">SUM(F54:F$105)</f>
        <v>3127724.46220468</v>
      </c>
      <c r="H54" s="15" t="n">
        <f aca="false">G54/D54</f>
        <v>33.0347310057585</v>
      </c>
    </row>
    <row r="55" customFormat="false" ht="15" hidden="false" customHeight="false" outlineLevel="0" collapsed="false">
      <c r="B55" s="12" t="n">
        <v>50</v>
      </c>
      <c r="C55" s="16" t="n">
        <f aca="false">'Datos INEGI'!M63/('Datos INEGI'!P63+'Datos INEGI'!M63/2)</f>
        <v>0.00336798565821649</v>
      </c>
      <c r="D55" s="14" t="n">
        <f aca="false">D54-E54</f>
        <v>94375.4763971652</v>
      </c>
      <c r="E55" s="14" t="n">
        <f aca="false">D55*C55</f>
        <v>317.855250993001</v>
      </c>
      <c r="F55" s="14" t="n">
        <f aca="false">D56+(E55/2)</f>
        <v>94216.5487716687</v>
      </c>
      <c r="G55" s="14" t="n">
        <f aca="false">SUM(F55:F$105)</f>
        <v>3033196.78257204</v>
      </c>
      <c r="H55" s="15" t="n">
        <f aca="false">G55/D55</f>
        <v>32.1396712193249</v>
      </c>
    </row>
    <row r="56" customFormat="false" ht="15" hidden="false" customHeight="false" outlineLevel="0" collapsed="false">
      <c r="B56" s="12" t="n">
        <v>51</v>
      </c>
      <c r="C56" s="16" t="n">
        <f aca="false">'Datos INEGI'!M64/('Datos INEGI'!P64+'Datos INEGI'!M64/2)</f>
        <v>0.00371215948629914</v>
      </c>
      <c r="D56" s="14" t="n">
        <f aca="false">D55-E55</f>
        <v>94057.6211461722</v>
      </c>
      <c r="E56" s="14" t="n">
        <f aca="false">D56*C56</f>
        <v>349.156890596494</v>
      </c>
      <c r="F56" s="14" t="n">
        <f aca="false">D57+(E56/2)</f>
        <v>93883.042700874</v>
      </c>
      <c r="G56" s="14" t="n">
        <f aca="false">SUM(F56:F$105)</f>
        <v>2938980.23380037</v>
      </c>
      <c r="H56" s="15" t="n">
        <f aca="false">G56/D56</f>
        <v>31.2465932902236</v>
      </c>
    </row>
    <row r="57" customFormat="false" ht="15" hidden="false" customHeight="false" outlineLevel="0" collapsed="false">
      <c r="B57" s="12" t="n">
        <v>52</v>
      </c>
      <c r="C57" s="16" t="n">
        <f aca="false">'Datos INEGI'!M65/('Datos INEGI'!P65+'Datos INEGI'!M65/2)</f>
        <v>0.00399753335868273</v>
      </c>
      <c r="D57" s="14" t="n">
        <f aca="false">D56-E56</f>
        <v>93708.4642555757</v>
      </c>
      <c r="E57" s="14" t="n">
        <f aca="false">D57*C57</f>
        <v>374.602711852592</v>
      </c>
      <c r="F57" s="14" t="n">
        <f aca="false">D58+(E57/2)</f>
        <v>93521.1628996494</v>
      </c>
      <c r="G57" s="14" t="n">
        <f aca="false">SUM(F57:F$105)</f>
        <v>2845097.1910995</v>
      </c>
      <c r="H57" s="15" t="n">
        <f aca="false">G57/D57</f>
        <v>30.3611548188425</v>
      </c>
    </row>
    <row r="58" customFormat="false" ht="15" hidden="false" customHeight="false" outlineLevel="0" collapsed="false">
      <c r="B58" s="12" t="n">
        <v>53</v>
      </c>
      <c r="C58" s="16" t="n">
        <f aca="false">'Datos INEGI'!M66/('Datos INEGI'!P66+'Datos INEGI'!M66/2)</f>
        <v>0.00458016457035933</v>
      </c>
      <c r="D58" s="14" t="n">
        <f aca="false">D57-E57</f>
        <v>93333.8615437231</v>
      </c>
      <c r="E58" s="14" t="n">
        <f aca="false">D58*C58</f>
        <v>427.484445857384</v>
      </c>
      <c r="F58" s="14" t="n">
        <f aca="false">D59+(E58/2)</f>
        <v>93120.1193207944</v>
      </c>
      <c r="G58" s="14" t="n">
        <f aca="false">SUM(F58:F$105)</f>
        <v>2751576.02819985</v>
      </c>
      <c r="H58" s="15" t="n">
        <f aca="false">G58/D58</f>
        <v>29.4810048860011</v>
      </c>
    </row>
    <row r="59" customFormat="false" ht="15" hidden="false" customHeight="false" outlineLevel="0" collapsed="false">
      <c r="B59" s="12" t="n">
        <v>54</v>
      </c>
      <c r="C59" s="16" t="n">
        <f aca="false">'Datos INEGI'!M67/('Datos INEGI'!P67+'Datos INEGI'!M67/2)</f>
        <v>0.0047533906414439</v>
      </c>
      <c r="D59" s="14" t="n">
        <f aca="false">D58-E58</f>
        <v>92906.3770978657</v>
      </c>
      <c r="E59" s="14" t="n">
        <f aca="false">D59*C59</f>
        <v>441.620303427453</v>
      </c>
      <c r="F59" s="14" t="n">
        <f aca="false">D60+(E59/2)</f>
        <v>92685.566946152</v>
      </c>
      <c r="G59" s="14" t="n">
        <f aca="false">SUM(F59:F$105)</f>
        <v>2658455.90887906</v>
      </c>
      <c r="H59" s="15" t="n">
        <f aca="false">G59/D59</f>
        <v>28.614353416006</v>
      </c>
    </row>
    <row r="60" customFormat="false" ht="15" hidden="false" customHeight="false" outlineLevel="0" collapsed="false">
      <c r="B60" s="12" t="n">
        <v>55</v>
      </c>
      <c r="C60" s="16" t="n">
        <f aca="false">'Datos INEGI'!M68/('Datos INEGI'!P68+'Datos INEGI'!M68/2)</f>
        <v>0.00538729634927302</v>
      </c>
      <c r="D60" s="14" t="n">
        <f aca="false">D59-E59</f>
        <v>92464.7567944383</v>
      </c>
      <c r="E60" s="14" t="n">
        <f aca="false">D60*C60</f>
        <v>498.135046715095</v>
      </c>
      <c r="F60" s="14" t="n">
        <f aca="false">D61+(E60/2)</f>
        <v>92215.6892710807</v>
      </c>
      <c r="G60" s="14" t="n">
        <f aca="false">SUM(F60:F$105)</f>
        <v>2565770.34193291</v>
      </c>
      <c r="H60" s="15" t="n">
        <f aca="false">G60/D60</f>
        <v>27.7486301903866</v>
      </c>
    </row>
    <row r="61" customFormat="false" ht="15" hidden="false" customHeight="false" outlineLevel="0" collapsed="false">
      <c r="B61" s="12" t="n">
        <v>56</v>
      </c>
      <c r="C61" s="16" t="n">
        <f aca="false">'Datos INEGI'!M69/('Datos INEGI'!P69+'Datos INEGI'!M69/2)</f>
        <v>0.00590009135232427</v>
      </c>
      <c r="D61" s="14" t="n">
        <f aca="false">D60-E60</f>
        <v>91966.6217477232</v>
      </c>
      <c r="E61" s="14" t="n">
        <f aca="false">D61*C61</f>
        <v>542.611469676219</v>
      </c>
      <c r="F61" s="14" t="n">
        <f aca="false">D62+(E61/2)</f>
        <v>91695.3160128851</v>
      </c>
      <c r="G61" s="14" t="n">
        <f aca="false">SUM(F61:F$105)</f>
        <v>2473554.65266182</v>
      </c>
      <c r="H61" s="15" t="n">
        <f aca="false">G61/D61</f>
        <v>26.8962217558357</v>
      </c>
    </row>
    <row r="62" customFormat="false" ht="15" hidden="false" customHeight="false" outlineLevel="0" collapsed="false">
      <c r="B62" s="12" t="n">
        <v>57</v>
      </c>
      <c r="C62" s="16" t="n">
        <f aca="false">'Datos INEGI'!M70/('Datos INEGI'!P70+'Datos INEGI'!M70/2)</f>
        <v>0.00661506110589564</v>
      </c>
      <c r="D62" s="14" t="n">
        <f aca="false">D61-E61</f>
        <v>91424.010278047</v>
      </c>
      <c r="E62" s="14" t="n">
        <f aca="false">D62*C62</f>
        <v>604.775414535312</v>
      </c>
      <c r="F62" s="14" t="n">
        <f aca="false">D63+(E62/2)</f>
        <v>91121.6225707793</v>
      </c>
      <c r="G62" s="14" t="n">
        <f aca="false">SUM(F62:F$105)</f>
        <v>2381859.33664894</v>
      </c>
      <c r="H62" s="15" t="n">
        <f aca="false">G62/D62</f>
        <v>26.0528862101434</v>
      </c>
    </row>
    <row r="63" customFormat="false" ht="15" hidden="false" customHeight="false" outlineLevel="0" collapsed="false">
      <c r="B63" s="12" t="n">
        <v>58</v>
      </c>
      <c r="C63" s="16" t="n">
        <f aca="false">'Datos INEGI'!M71/('Datos INEGI'!P71+'Datos INEGI'!M71/2)</f>
        <v>0.0069363143562482</v>
      </c>
      <c r="D63" s="14" t="n">
        <f aca="false">D62-E62</f>
        <v>90819.2348635117</v>
      </c>
      <c r="E63" s="14" t="n">
        <f aca="false">D63*C63</f>
        <v>629.950762607252</v>
      </c>
      <c r="F63" s="14" t="n">
        <f aca="false">D64+(E63/2)</f>
        <v>90504.259482208</v>
      </c>
      <c r="G63" s="14" t="n">
        <f aca="false">SUM(F63:F$105)</f>
        <v>2290737.71407816</v>
      </c>
      <c r="H63" s="15" t="n">
        <f aca="false">G63/D63</f>
        <v>25.2230457294736</v>
      </c>
    </row>
    <row r="64" customFormat="false" ht="15" hidden="false" customHeight="false" outlineLevel="0" collapsed="false">
      <c r="B64" s="12" t="n">
        <v>59</v>
      </c>
      <c r="C64" s="16" t="n">
        <f aca="false">'Datos INEGI'!M72/('Datos INEGI'!P72+'Datos INEGI'!M72/2)</f>
        <v>0.00790144606563768</v>
      </c>
      <c r="D64" s="14" t="n">
        <f aca="false">D63-E63</f>
        <v>90189.2841009044</v>
      </c>
      <c r="E64" s="14" t="n">
        <f aca="false">D64*C64</f>
        <v>712.62576402177</v>
      </c>
      <c r="F64" s="14" t="n">
        <f aca="false">D65+(E64/2)</f>
        <v>89832.9712188935</v>
      </c>
      <c r="G64" s="14" t="n">
        <f aca="false">SUM(F64:F$105)</f>
        <v>2200233.45459595</v>
      </c>
      <c r="H64" s="15" t="n">
        <f aca="false">G64/D64</f>
        <v>24.3957303412489</v>
      </c>
    </row>
    <row r="65" customFormat="false" ht="15" hidden="false" customHeight="false" outlineLevel="0" collapsed="false">
      <c r="B65" s="12" t="n">
        <v>60</v>
      </c>
      <c r="C65" s="16" t="n">
        <f aca="false">'Datos INEGI'!M73/('Datos INEGI'!P73+'Datos INEGI'!M73/2)</f>
        <v>0.00836789812338597</v>
      </c>
      <c r="D65" s="14" t="n">
        <f aca="false">D64-E64</f>
        <v>89476.6583368826</v>
      </c>
      <c r="E65" s="14" t="n">
        <f aca="false">D65*C65</f>
        <v>748.731561384048</v>
      </c>
      <c r="F65" s="14" t="n">
        <f aca="false">D66+(E65/2)</f>
        <v>89102.2925561906</v>
      </c>
      <c r="G65" s="14" t="n">
        <f aca="false">SUM(F65:F$105)</f>
        <v>2110400.48337706</v>
      </c>
      <c r="H65" s="15" t="n">
        <f aca="false">G65/D65</f>
        <v>23.5860449261676</v>
      </c>
    </row>
    <row r="66" customFormat="false" ht="15" hidden="false" customHeight="false" outlineLevel="0" collapsed="false">
      <c r="B66" s="12" t="n">
        <v>61</v>
      </c>
      <c r="C66" s="16" t="n">
        <f aca="false">'Datos INEGI'!M74/('Datos INEGI'!P74+'Datos INEGI'!M74/2)</f>
        <v>0.00908325472241293</v>
      </c>
      <c r="D66" s="14" t="n">
        <f aca="false">D65-E65</f>
        <v>88727.9267754986</v>
      </c>
      <c r="E66" s="14" t="n">
        <f aca="false">D66*C66</f>
        <v>805.938359893456</v>
      </c>
      <c r="F66" s="14" t="n">
        <f aca="false">D67+(E66/2)</f>
        <v>88324.9575955519</v>
      </c>
      <c r="G66" s="14" t="n">
        <f aca="false">SUM(F66:F$105)</f>
        <v>2021298.19082087</v>
      </c>
      <c r="H66" s="15" t="n">
        <f aca="false">G66/D66</f>
        <v>22.7808567637921</v>
      </c>
    </row>
    <row r="67" customFormat="false" ht="15" hidden="false" customHeight="false" outlineLevel="0" collapsed="false">
      <c r="B67" s="12" t="n">
        <v>62</v>
      </c>
      <c r="C67" s="16" t="n">
        <f aca="false">'Datos INEGI'!M75/('Datos INEGI'!P75+'Datos INEGI'!M75/2)</f>
        <v>0.00968004320217864</v>
      </c>
      <c r="D67" s="14" t="n">
        <f aca="false">D66-E66</f>
        <v>87921.9884156051</v>
      </c>
      <c r="E67" s="14" t="n">
        <f aca="false">D67*C67</f>
        <v>851.088646284508</v>
      </c>
      <c r="F67" s="14" t="n">
        <f aca="false">D68+(E67/2)</f>
        <v>87496.4440924629</v>
      </c>
      <c r="G67" s="14" t="n">
        <f aca="false">SUM(F67:F$105)</f>
        <v>1932973.23322532</v>
      </c>
      <c r="H67" s="15" t="n">
        <f aca="false">G67/D67</f>
        <v>21.9850946055519</v>
      </c>
    </row>
    <row r="68" customFormat="false" ht="15" hidden="false" customHeight="false" outlineLevel="0" collapsed="false">
      <c r="B68" s="12" t="n">
        <v>63</v>
      </c>
      <c r="C68" s="16" t="n">
        <f aca="false">'Datos INEGI'!M76/('Datos INEGI'!P76+'Datos INEGI'!M76/2)</f>
        <v>0.0107896353451203</v>
      </c>
      <c r="D68" s="14" t="n">
        <f aca="false">D67-E67</f>
        <v>87070.8997693206</v>
      </c>
      <c r="E68" s="14" t="n">
        <f aca="false">D68*C68</f>
        <v>939.463257682489</v>
      </c>
      <c r="F68" s="14" t="n">
        <f aca="false">D69+(E68/2)</f>
        <v>86601.1681404794</v>
      </c>
      <c r="G68" s="14" t="n">
        <f aca="false">SUM(F68:F$105)</f>
        <v>1845476.78913285</v>
      </c>
      <c r="H68" s="15" t="n">
        <f aca="false">G68/D68</f>
        <v>21.1951041510094</v>
      </c>
    </row>
    <row r="69" customFormat="false" ht="15" hidden="false" customHeight="false" outlineLevel="0" collapsed="false">
      <c r="B69" s="12" t="n">
        <v>64</v>
      </c>
      <c r="C69" s="16" t="n">
        <f aca="false">'Datos INEGI'!M77/('Datos INEGI'!P77+'Datos INEGI'!M77/2)</f>
        <v>0.0113581446799003</v>
      </c>
      <c r="D69" s="14" t="n">
        <f aca="false">D68-E68</f>
        <v>86131.4365116381</v>
      </c>
      <c r="E69" s="14" t="n">
        <f aca="false">D69*C69</f>
        <v>978.293317386837</v>
      </c>
      <c r="F69" s="14" t="n">
        <f aca="false">D70+(E69/2)</f>
        <v>85642.2898529447</v>
      </c>
      <c r="G69" s="14" t="n">
        <f aca="false">SUM(F69:F$105)</f>
        <v>1758875.62099237</v>
      </c>
      <c r="H69" s="15" t="n">
        <f aca="false">G69/D69</f>
        <v>20.4208323026717</v>
      </c>
    </row>
    <row r="70" customFormat="false" ht="15" hidden="false" customHeight="false" outlineLevel="0" collapsed="false">
      <c r="B70" s="12" t="n">
        <v>65</v>
      </c>
      <c r="C70" s="16" t="n">
        <f aca="false">'Datos INEGI'!M78/('Datos INEGI'!P78+'Datos INEGI'!M78/2)</f>
        <v>0.0124258539717927</v>
      </c>
      <c r="D70" s="14" t="n">
        <f aca="false">D69-E69</f>
        <v>85153.1431942513</v>
      </c>
      <c r="E70" s="14" t="n">
        <f aca="false">D70*C70</f>
        <v>1058.10052257092</v>
      </c>
      <c r="F70" s="14" t="n">
        <f aca="false">D71+(E70/2)</f>
        <v>84624.0929329658</v>
      </c>
      <c r="G70" s="14" t="n">
        <f aca="false">SUM(F70:F$105)</f>
        <v>1673233.33113943</v>
      </c>
      <c r="H70" s="15" t="n">
        <f aca="false">G70/D70</f>
        <v>19.6496954589504</v>
      </c>
    </row>
    <row r="71" customFormat="false" ht="15" hidden="false" customHeight="false" outlineLevel="0" collapsed="false">
      <c r="B71" s="12" t="n">
        <v>66</v>
      </c>
      <c r="C71" s="16" t="n">
        <f aca="false">'Datos INEGI'!M79/('Datos INEGI'!P79+'Datos INEGI'!M79/2)</f>
        <v>0.0132454785620913</v>
      </c>
      <c r="D71" s="14" t="n">
        <f aca="false">D70-E70</f>
        <v>84095.0426716804</v>
      </c>
      <c r="E71" s="14" t="n">
        <f aca="false">D71*C71</f>
        <v>1113.87908488589</v>
      </c>
      <c r="F71" s="14" t="n">
        <f aca="false">D72+(E71/2)</f>
        <v>83538.1031292374</v>
      </c>
      <c r="G71" s="14" t="n">
        <f aca="false">SUM(F71:F$105)</f>
        <v>1588609.23820646</v>
      </c>
      <c r="H71" s="15" t="n">
        <f aca="false">G71/D71</f>
        <v>18.8906407290693</v>
      </c>
    </row>
    <row r="72" customFormat="false" ht="15" hidden="false" customHeight="false" outlineLevel="0" collapsed="false">
      <c r="B72" s="12" t="n">
        <v>67</v>
      </c>
      <c r="C72" s="16" t="n">
        <f aca="false">'Datos INEGI'!M80/('Datos INEGI'!P80+'Datos INEGI'!M80/2)</f>
        <v>0.0146419647416449</v>
      </c>
      <c r="D72" s="14" t="n">
        <f aca="false">D71-E71</f>
        <v>82981.1635867945</v>
      </c>
      <c r="E72" s="14" t="n">
        <f aca="false">D72*C72</f>
        <v>1215.00727145851</v>
      </c>
      <c r="F72" s="14" t="n">
        <f aca="false">D73+(E72/2)</f>
        <v>82373.6599510652</v>
      </c>
      <c r="G72" s="14" t="n">
        <f aca="false">SUM(F72:F$105)</f>
        <v>1505071.13507723</v>
      </c>
      <c r="H72" s="15" t="n">
        <f aca="false">G72/D72</f>
        <v>18.1375033805472</v>
      </c>
    </row>
    <row r="73" customFormat="false" ht="15" hidden="false" customHeight="false" outlineLevel="0" collapsed="false">
      <c r="B73" s="12" t="n">
        <v>68</v>
      </c>
      <c r="C73" s="16" t="n">
        <f aca="false">'Datos INEGI'!M81/('Datos INEGI'!P81+'Datos INEGI'!M81/2)</f>
        <v>0.0159592074702665</v>
      </c>
      <c r="D73" s="14" t="n">
        <f aca="false">D72-E72</f>
        <v>81766.156315336</v>
      </c>
      <c r="E73" s="14" t="n">
        <f aca="false">D73*C73</f>
        <v>1304.92305268269</v>
      </c>
      <c r="F73" s="14" t="n">
        <f aca="false">D74+(E73/2)</f>
        <v>81113.6947889946</v>
      </c>
      <c r="G73" s="14" t="n">
        <f aca="false">SUM(F73:F$105)</f>
        <v>1422697.47512616</v>
      </c>
      <c r="H73" s="15" t="n">
        <f aca="false">G73/D73</f>
        <v>17.3995885246146</v>
      </c>
    </row>
    <row r="74" customFormat="false" ht="15" hidden="false" customHeight="false" outlineLevel="0" collapsed="false">
      <c r="B74" s="12" t="n">
        <v>69</v>
      </c>
      <c r="C74" s="16" t="n">
        <f aca="false">'Datos INEGI'!M82/('Datos INEGI'!P82+'Datos INEGI'!M82/2)</f>
        <v>0.0176860545684273</v>
      </c>
      <c r="D74" s="14" t="n">
        <f aca="false">D73-E73</f>
        <v>80461.2332626533</v>
      </c>
      <c r="E74" s="14" t="n">
        <f aca="false">D74*C74</f>
        <v>1423.04176212625</v>
      </c>
      <c r="F74" s="14" t="n">
        <f aca="false">D75+(E74/2)</f>
        <v>79749.7123815902</v>
      </c>
      <c r="G74" s="14" t="n">
        <f aca="false">SUM(F74:F$105)</f>
        <v>1341583.78033717</v>
      </c>
      <c r="H74" s="15" t="n">
        <f aca="false">G74/D74</f>
        <v>16.6736666334429</v>
      </c>
    </row>
    <row r="75" customFormat="false" ht="15" hidden="false" customHeight="false" outlineLevel="0" collapsed="false">
      <c r="B75" s="12" t="n">
        <v>70</v>
      </c>
      <c r="C75" s="16" t="n">
        <f aca="false">'Datos INEGI'!M83/('Datos INEGI'!P83+'Datos INEGI'!M83/2)</f>
        <v>0.0186826147068789</v>
      </c>
      <c r="D75" s="14" t="n">
        <f aca="false">D74-E74</f>
        <v>79038.191500527</v>
      </c>
      <c r="E75" s="14" t="n">
        <f aca="false">D75*C75</f>
        <v>1476.64007893286</v>
      </c>
      <c r="F75" s="14" t="n">
        <f aca="false">D76+(E75/2)</f>
        <v>78299.8714610606</v>
      </c>
      <c r="G75" s="14" t="n">
        <f aca="false">SUM(F75:F$105)</f>
        <v>1261834.06795558</v>
      </c>
      <c r="H75" s="15" t="n">
        <f aca="false">G75/D75</f>
        <v>15.9648651367126</v>
      </c>
    </row>
    <row r="76" customFormat="false" ht="15" hidden="false" customHeight="false" outlineLevel="0" collapsed="false">
      <c r="B76" s="12" t="n">
        <v>71</v>
      </c>
      <c r="C76" s="16" t="n">
        <f aca="false">'Datos INEGI'!M84/('Datos INEGI'!P84+'Datos INEGI'!M84/2)</f>
        <v>0.0208767101899906</v>
      </c>
      <c r="D76" s="14" t="n">
        <f aca="false">D75-E75</f>
        <v>77561.5514215942</v>
      </c>
      <c r="E76" s="14" t="n">
        <f aca="false">D76*C76</f>
        <v>1619.23003091468</v>
      </c>
      <c r="F76" s="14" t="n">
        <f aca="false">D77+(E76/2)</f>
        <v>76751.9364061368</v>
      </c>
      <c r="G76" s="14" t="n">
        <f aca="false">SUM(F76:F$105)</f>
        <v>1183534.19649452</v>
      </c>
      <c r="H76" s="15" t="n">
        <f aca="false">G76/D76</f>
        <v>15.2592898775488</v>
      </c>
    </row>
    <row r="77" customFormat="false" ht="15" hidden="false" customHeight="false" outlineLevel="0" collapsed="false">
      <c r="B77" s="12" t="n">
        <v>72</v>
      </c>
      <c r="C77" s="16" t="n">
        <f aca="false">'Datos INEGI'!M85/('Datos INEGI'!P85+'Datos INEGI'!M85/2)</f>
        <v>0.0221291039399388</v>
      </c>
      <c r="D77" s="14" t="n">
        <f aca="false">D76-E76</f>
        <v>75942.3213906795</v>
      </c>
      <c r="E77" s="14" t="n">
        <f aca="false">D77*C77</f>
        <v>1680.53552349458</v>
      </c>
      <c r="F77" s="14" t="n">
        <f aca="false">D78+(E77/2)</f>
        <v>75102.0536289322</v>
      </c>
      <c r="G77" s="14" t="n">
        <f aca="false">SUM(F77:F$105)</f>
        <v>1106782.26008838</v>
      </c>
      <c r="H77" s="15" t="n">
        <f aca="false">G77/D77</f>
        <v>14.5739850958021</v>
      </c>
    </row>
    <row r="78" customFormat="false" ht="15" hidden="false" customHeight="false" outlineLevel="0" collapsed="false">
      <c r="B78" s="12" t="n">
        <v>73</v>
      </c>
      <c r="C78" s="16" t="n">
        <f aca="false">'Datos INEGI'!M86/('Datos INEGI'!P86+'Datos INEGI'!M86/2)</f>
        <v>0.0249865116223841</v>
      </c>
      <c r="D78" s="14" t="n">
        <f aca="false">D77-E77</f>
        <v>74261.7858671849</v>
      </c>
      <c r="E78" s="14" t="n">
        <f aca="false">D78*C78</f>
        <v>1855.54297566942</v>
      </c>
      <c r="F78" s="14" t="n">
        <f aca="false">D79+(E78/2)</f>
        <v>73334.0143793502</v>
      </c>
      <c r="G78" s="14" t="n">
        <f aca="false">SUM(F78:F$105)</f>
        <v>1031680.20645945</v>
      </c>
      <c r="H78" s="15" t="n">
        <f aca="false">G78/D78</f>
        <v>13.8924777314752</v>
      </c>
    </row>
    <row r="79" customFormat="false" ht="15" hidden="false" customHeight="false" outlineLevel="0" collapsed="false">
      <c r="B79" s="12" t="n">
        <v>74</v>
      </c>
      <c r="C79" s="16" t="n">
        <f aca="false">'Datos INEGI'!M87/('Datos INEGI'!P87+'Datos INEGI'!M87/2)</f>
        <v>0.0256824668778864</v>
      </c>
      <c r="D79" s="14" t="n">
        <f aca="false">D78-E78</f>
        <v>72406.2428915155</v>
      </c>
      <c r="E79" s="14" t="n">
        <f aca="false">D79*C79</f>
        <v>1859.57093481354</v>
      </c>
      <c r="F79" s="14" t="n">
        <f aca="false">D80+(E79/2)</f>
        <v>71476.4574241087</v>
      </c>
      <c r="G79" s="14" t="n">
        <f aca="false">SUM(F79:F$105)</f>
        <v>958346.192080096</v>
      </c>
      <c r="H79" s="15" t="n">
        <f aca="false">G79/D79</f>
        <v>13.2356845737178</v>
      </c>
    </row>
    <row r="80" customFormat="false" ht="15" hidden="false" customHeight="false" outlineLevel="0" collapsed="false">
      <c r="B80" s="12" t="n">
        <v>75</v>
      </c>
      <c r="C80" s="16" t="n">
        <f aca="false">'Datos INEGI'!M88/('Datos INEGI'!P88+'Datos INEGI'!M88/2)</f>
        <v>0.0291548944783257</v>
      </c>
      <c r="D80" s="14" t="n">
        <f aca="false">D79-E79</f>
        <v>70546.671956702</v>
      </c>
      <c r="E80" s="14" t="n">
        <f aca="false">D80*C80</f>
        <v>2056.7807766947</v>
      </c>
      <c r="F80" s="14" t="n">
        <f aca="false">D81+(E80/2)</f>
        <v>69518.2815683546</v>
      </c>
      <c r="G80" s="14" t="n">
        <f aca="false">SUM(F80:F$105)</f>
        <v>886869.734655987</v>
      </c>
      <c r="H80" s="15" t="n">
        <f aca="false">G80/D80</f>
        <v>12.5713901174573</v>
      </c>
    </row>
    <row r="81" customFormat="false" ht="15" hidden="false" customHeight="false" outlineLevel="0" collapsed="false">
      <c r="B81" s="12" t="n">
        <v>76</v>
      </c>
      <c r="C81" s="16" t="n">
        <f aca="false">'Datos INEGI'!M89/('Datos INEGI'!P89+'Datos INEGI'!M89/2)</f>
        <v>0.0317335171076379</v>
      </c>
      <c r="D81" s="14" t="n">
        <f aca="false">D80-E80</f>
        <v>68489.8911800072</v>
      </c>
      <c r="E81" s="14" t="n">
        <f aca="false">D81*C81</f>
        <v>2173.42513346102</v>
      </c>
      <c r="F81" s="14" t="n">
        <f aca="false">D82+(E81/2)</f>
        <v>67403.1786132767</v>
      </c>
      <c r="G81" s="14" t="n">
        <f aca="false">SUM(F81:F$105)</f>
        <v>817351.453087632</v>
      </c>
      <c r="H81" s="15" t="n">
        <f aca="false">G81/D81</f>
        <v>11.9338991346832</v>
      </c>
    </row>
    <row r="82" customFormat="false" ht="15" hidden="false" customHeight="false" outlineLevel="0" collapsed="false">
      <c r="B82" s="12" t="n">
        <v>77</v>
      </c>
      <c r="C82" s="16" t="n">
        <f aca="false">'Datos INEGI'!M90/('Datos INEGI'!P90+'Datos INEGI'!M90/2)</f>
        <v>0.0356284906233976</v>
      </c>
      <c r="D82" s="14" t="n">
        <f aca="false">D81-E81</f>
        <v>66316.4660465462</v>
      </c>
      <c r="E82" s="14" t="n">
        <f aca="false">D82*C82</f>
        <v>2362.75558871624</v>
      </c>
      <c r="F82" s="14" t="n">
        <f aca="false">D83+(E82/2)</f>
        <v>65135.0882521881</v>
      </c>
      <c r="G82" s="14" t="n">
        <f aca="false">SUM(F82:F$105)</f>
        <v>749948.274474356</v>
      </c>
      <c r="H82" s="15" t="n">
        <f aca="false">G82/D82</f>
        <v>11.3086284475409</v>
      </c>
    </row>
    <row r="83" customFormat="false" ht="15" hidden="false" customHeight="false" outlineLevel="0" collapsed="false">
      <c r="B83" s="12" t="n">
        <v>78</v>
      </c>
      <c r="C83" s="16" t="n">
        <f aca="false">'Datos INEGI'!M91/('Datos INEGI'!P91+'Datos INEGI'!M91/2)</f>
        <v>0.038709948290744</v>
      </c>
      <c r="D83" s="14" t="n">
        <f aca="false">D82-E82</f>
        <v>63953.71045783</v>
      </c>
      <c r="E83" s="14" t="n">
        <f aca="false">D83*C83</f>
        <v>2475.64482482382</v>
      </c>
      <c r="F83" s="14" t="n">
        <f aca="false">D84+(E83/2)</f>
        <v>62715.8880454181</v>
      </c>
      <c r="G83" s="14" t="n">
        <f aca="false">SUM(F83:F$105)</f>
        <v>684813.186222168</v>
      </c>
      <c r="H83" s="15" t="n">
        <f aca="false">G83/D83</f>
        <v>10.7079508181738</v>
      </c>
    </row>
    <row r="84" customFormat="false" ht="15" hidden="false" customHeight="false" outlineLevel="0" collapsed="false">
      <c r="B84" s="12" t="n">
        <v>79</v>
      </c>
      <c r="C84" s="16" t="n">
        <f aca="false">'Datos INEGI'!M92/('Datos INEGI'!P92+'Datos INEGI'!M92/2)</f>
        <v>0.0446018654907551</v>
      </c>
      <c r="D84" s="14" t="n">
        <f aca="false">D83-E83</f>
        <v>61478.0656330062</v>
      </c>
      <c r="E84" s="14" t="n">
        <f aca="false">D84*C84</f>
        <v>2742.03641399516</v>
      </c>
      <c r="F84" s="14" t="n">
        <f aca="false">D85+(E84/2)</f>
        <v>60107.0474260086</v>
      </c>
      <c r="G84" s="14" t="n">
        <f aca="false">SUM(F84:F$105)</f>
        <v>622097.29817675</v>
      </c>
      <c r="H84" s="15" t="n">
        <f aca="false">G84/D84</f>
        <v>10.1190122325963</v>
      </c>
    </row>
    <row r="85" customFormat="false" ht="15" hidden="false" customHeight="false" outlineLevel="0" collapsed="false">
      <c r="B85" s="12" t="n">
        <v>80</v>
      </c>
      <c r="C85" s="16" t="n">
        <f aca="false">'Datos INEGI'!M93/('Datos INEGI'!P93+'Datos INEGI'!M93/2)</f>
        <v>0.0483567965599985</v>
      </c>
      <c r="D85" s="14" t="n">
        <f aca="false">D84-E84</f>
        <v>58736.029219011</v>
      </c>
      <c r="E85" s="14" t="n">
        <f aca="false">D85*C85</f>
        <v>2840.28621568584</v>
      </c>
      <c r="F85" s="14" t="n">
        <f aca="false">D86+(E85/2)</f>
        <v>57315.8861111681</v>
      </c>
      <c r="G85" s="14" t="n">
        <f aca="false">SUM(F85:F$105)</f>
        <v>561990.250750741</v>
      </c>
      <c r="H85" s="15" t="n">
        <f aca="false">G85/D85</f>
        <v>9.56806679347065</v>
      </c>
    </row>
    <row r="86" customFormat="false" ht="15" hidden="false" customHeight="false" outlineLevel="0" collapsed="false">
      <c r="B86" s="12" t="n">
        <v>81</v>
      </c>
      <c r="C86" s="16" t="n">
        <f aca="false">'Datos INEGI'!M94/('Datos INEGI'!P94+'Datos INEGI'!M94/2)</f>
        <v>0.0546298418729502</v>
      </c>
      <c r="D86" s="14" t="n">
        <f aca="false">D85-E85</f>
        <v>55895.7430033252</v>
      </c>
      <c r="E86" s="14" t="n">
        <f aca="false">D86*C86</f>
        <v>3053.57560164271</v>
      </c>
      <c r="F86" s="14" t="n">
        <f aca="false">D87+(E86/2)</f>
        <v>54368.9552025038</v>
      </c>
      <c r="G86" s="14" t="n">
        <f aca="false">SUM(F86:F$105)</f>
        <v>504674.364639573</v>
      </c>
      <c r="H86" s="15" t="n">
        <f aca="false">G86/D86</f>
        <v>9.02885152827381</v>
      </c>
    </row>
    <row r="87" customFormat="false" ht="15" hidden="false" customHeight="false" outlineLevel="0" collapsed="false">
      <c r="B87" s="12" t="n">
        <v>82</v>
      </c>
      <c r="C87" s="16" t="n">
        <f aca="false">'Datos INEGI'!M95/('Datos INEGI'!P95+'Datos INEGI'!M95/2)</f>
        <v>0.0581882082166801</v>
      </c>
      <c r="D87" s="14" t="n">
        <f aca="false">D86-E86</f>
        <v>52842.1674016825</v>
      </c>
      <c r="E87" s="14" t="n">
        <f aca="false">D87*C87</f>
        <v>3074.79103938977</v>
      </c>
      <c r="F87" s="14" t="n">
        <f aca="false">D88+(E87/2)</f>
        <v>51304.7718819876</v>
      </c>
      <c r="G87" s="14" t="n">
        <f aca="false">SUM(F87:F$105)</f>
        <v>450305.409437069</v>
      </c>
      <c r="H87" s="15" t="n">
        <f aca="false">G87/D87</f>
        <v>8.52170589472701</v>
      </c>
    </row>
    <row r="88" customFormat="false" ht="15" hidden="false" customHeight="false" outlineLevel="0" collapsed="false">
      <c r="B88" s="12" t="n">
        <v>83</v>
      </c>
      <c r="C88" s="16" t="n">
        <f aca="false">'Datos INEGI'!M96/('Datos INEGI'!P96+'Datos INEGI'!M96/2)</f>
        <v>0.0671264072300001</v>
      </c>
      <c r="D88" s="14" t="n">
        <f aca="false">D87-E87</f>
        <v>49767.3763622927</v>
      </c>
      <c r="E88" s="14" t="n">
        <f aca="false">D88*C88</f>
        <v>3340.70517246394</v>
      </c>
      <c r="F88" s="14" t="n">
        <f aca="false">D89+(E88/2)</f>
        <v>48097.0237760607</v>
      </c>
      <c r="G88" s="14" t="n">
        <f aca="false">SUM(F88:F$105)</f>
        <v>399000.637555081</v>
      </c>
      <c r="H88" s="15" t="n">
        <f aca="false">G88/D88</f>
        <v>8.01731308177605</v>
      </c>
    </row>
    <row r="89" customFormat="false" ht="15" hidden="false" customHeight="false" outlineLevel="0" collapsed="false">
      <c r="B89" s="12" t="n">
        <v>84</v>
      </c>
      <c r="C89" s="16" t="n">
        <f aca="false">'Datos INEGI'!M97/('Datos INEGI'!P97+'Datos INEGI'!M97/2)</f>
        <v>0.0687319974044274</v>
      </c>
      <c r="D89" s="14" t="n">
        <f aca="false">D88-E88</f>
        <v>46426.6711898288</v>
      </c>
      <c r="E89" s="14" t="n">
        <f aca="false">D89*C89</f>
        <v>3190.99784371551</v>
      </c>
      <c r="F89" s="14" t="n">
        <f aca="false">D90+(E89/2)</f>
        <v>44831.172267971</v>
      </c>
      <c r="G89" s="14" t="n">
        <f aca="false">SUM(F89:F$105)</f>
        <v>350903.613779021</v>
      </c>
      <c r="H89" s="15" t="n">
        <f aca="false">G89/D89</f>
        <v>7.5582333341163</v>
      </c>
    </row>
    <row r="90" customFormat="false" ht="15" hidden="false" customHeight="false" outlineLevel="0" collapsed="false">
      <c r="B90" s="12" t="n">
        <v>85</v>
      </c>
      <c r="C90" s="16" t="n">
        <f aca="false">'Datos INEGI'!M98/('Datos INEGI'!P98+'Datos INEGI'!M98/2)</f>
        <v>0.0748275158455537</v>
      </c>
      <c r="D90" s="14" t="n">
        <f aca="false">D89-E89</f>
        <v>43235.6733461132</v>
      </c>
      <c r="E90" s="14" t="n">
        <f aca="false">D90*C90</f>
        <v>3235.21803239947</v>
      </c>
      <c r="F90" s="14" t="n">
        <f aca="false">D91+(E90/2)</f>
        <v>41618.0643299135</v>
      </c>
      <c r="G90" s="14" t="n">
        <f aca="false">SUM(F90:F$105)</f>
        <v>306072.44151105</v>
      </c>
      <c r="H90" s="15" t="n">
        <f aca="false">G90/D90</f>
        <v>7.07916444508351</v>
      </c>
    </row>
    <row r="91" customFormat="false" ht="15" hidden="false" customHeight="false" outlineLevel="0" collapsed="false">
      <c r="B91" s="12" t="n">
        <v>86</v>
      </c>
      <c r="C91" s="16" t="n">
        <f aca="false">'Datos INEGI'!M99/('Datos INEGI'!P99+'Datos INEGI'!M99/2)</f>
        <v>0.0835879436695441</v>
      </c>
      <c r="D91" s="14" t="n">
        <f aca="false">D90-E90</f>
        <v>40000.4553137138</v>
      </c>
      <c r="E91" s="14" t="n">
        <f aca="false">D91*C91</f>
        <v>3343.55580551882</v>
      </c>
      <c r="F91" s="14" t="n">
        <f aca="false">D92+(E91/2)</f>
        <v>38328.6774109544</v>
      </c>
      <c r="G91" s="14" t="n">
        <f aca="false">SUM(F91:F$105)</f>
        <v>264454.377181136</v>
      </c>
      <c r="H91" s="15" t="n">
        <f aca="false">G91/D91</f>
        <v>6.61128417431965</v>
      </c>
    </row>
    <row r="92" customFormat="false" ht="15" hidden="false" customHeight="false" outlineLevel="0" collapsed="false">
      <c r="B92" s="12" t="n">
        <v>87</v>
      </c>
      <c r="C92" s="16" t="n">
        <f aca="false">'Datos INEGI'!M100/('Datos INEGI'!P100+'Datos INEGI'!M100/2)</f>
        <v>0.0947177423800112</v>
      </c>
      <c r="D92" s="14" t="n">
        <f aca="false">D91-E91</f>
        <v>36656.899508195</v>
      </c>
      <c r="E92" s="14" t="n">
        <f aca="false">D92*C92</f>
        <v>3472.05876406717</v>
      </c>
      <c r="F92" s="14" t="n">
        <f aca="false">D93+(E92/2)</f>
        <v>34920.8701261614</v>
      </c>
      <c r="G92" s="14" t="n">
        <f aca="false">SUM(F92:F$105)</f>
        <v>226125.699770182</v>
      </c>
      <c r="H92" s="15" t="n">
        <f aca="false">G92/D92</f>
        <v>6.16870774135247</v>
      </c>
    </row>
    <row r="93" customFormat="false" ht="15" hidden="false" customHeight="false" outlineLevel="0" collapsed="false">
      <c r="B93" s="12" t="n">
        <v>88</v>
      </c>
      <c r="C93" s="16" t="n">
        <f aca="false">'Datos INEGI'!M101/('Datos INEGI'!P101+'Datos INEGI'!M101/2)</f>
        <v>0.10357782114734</v>
      </c>
      <c r="D93" s="14" t="n">
        <f aca="false">D92-E92</f>
        <v>33184.8407441278</v>
      </c>
      <c r="E93" s="14" t="n">
        <f aca="false">D93*C93</f>
        <v>3437.21349939824</v>
      </c>
      <c r="F93" s="14" t="n">
        <f aca="false">D94+(E93/2)</f>
        <v>31466.2339944287</v>
      </c>
      <c r="G93" s="14" t="n">
        <f aca="false">SUM(F93:F$105)</f>
        <v>191204.829644021</v>
      </c>
      <c r="H93" s="15" t="n">
        <f aca="false">G93/D93</f>
        <v>5.76181248294389</v>
      </c>
    </row>
    <row r="94" customFormat="false" ht="15" hidden="false" customHeight="false" outlineLevel="0" collapsed="false">
      <c r="B94" s="12" t="n">
        <v>89</v>
      </c>
      <c r="C94" s="16" t="n">
        <f aca="false">'Datos INEGI'!M102/('Datos INEGI'!P102+'Datos INEGI'!M102/2)</f>
        <v>0.118723276474155</v>
      </c>
      <c r="D94" s="14" t="n">
        <f aca="false">D93-E93</f>
        <v>29747.6272447295</v>
      </c>
      <c r="E94" s="14" t="n">
        <f aca="false">D94*C94</f>
        <v>3531.73577382613</v>
      </c>
      <c r="F94" s="14" t="n">
        <f aca="false">D95+(E94/2)</f>
        <v>27981.7593578165</v>
      </c>
      <c r="G94" s="14" t="n">
        <f aca="false">SUM(F94:F$105)</f>
        <v>159738.595649592</v>
      </c>
      <c r="H94" s="15" t="n">
        <f aca="false">G94/D94</f>
        <v>5.36979283542331</v>
      </c>
    </row>
    <row r="95" customFormat="false" ht="15" hidden="false" customHeight="false" outlineLevel="0" collapsed="false">
      <c r="B95" s="12" t="n">
        <v>90</v>
      </c>
      <c r="C95" s="16" t="n">
        <f aca="false">'Datos INEGI'!M103/('Datos INEGI'!P103+'Datos INEGI'!M103/2)</f>
        <v>0.130183387691084</v>
      </c>
      <c r="D95" s="14" t="n">
        <f aca="false">D94-E94</f>
        <v>26215.8914709034</v>
      </c>
      <c r="E95" s="14" t="n">
        <f aca="false">D95*C95</f>
        <v>3412.873563024</v>
      </c>
      <c r="F95" s="14" t="n">
        <f aca="false">D96+(E95/2)</f>
        <v>24509.4546893914</v>
      </c>
      <c r="G95" s="14" t="n">
        <f aca="false">SUM(F95:F$105)</f>
        <v>131756.836291775</v>
      </c>
      <c r="H95" s="15" t="n">
        <f aca="false">G95/D95</f>
        <v>5.02583848571429</v>
      </c>
    </row>
    <row r="96" customFormat="false" ht="15" hidden="false" customHeight="false" outlineLevel="0" collapsed="false">
      <c r="B96" s="12" t="n">
        <v>91</v>
      </c>
      <c r="C96" s="16" t="n">
        <f aca="false">'Datos INEGI'!M104/('Datos INEGI'!P104+'Datos INEGI'!M104/2)</f>
        <v>0.1378815234074</v>
      </c>
      <c r="D96" s="14" t="n">
        <f aca="false">D95-E95</f>
        <v>22803.0179078794</v>
      </c>
      <c r="E96" s="14" t="n">
        <f aca="false">D96*C96</f>
        <v>3144.11484742465</v>
      </c>
      <c r="F96" s="14" t="n">
        <f aca="false">D97+(E96/2)</f>
        <v>21230.9604841671</v>
      </c>
      <c r="G96" s="14" t="n">
        <f aca="false">SUM(F96:F$105)</f>
        <v>107247.381602384</v>
      </c>
      <c r="H96" s="15" t="n">
        <f aca="false">G96/D96</f>
        <v>4.70320998894297</v>
      </c>
    </row>
    <row r="97" customFormat="false" ht="15" hidden="false" customHeight="false" outlineLevel="0" collapsed="false">
      <c r="B97" s="12" t="n">
        <v>92</v>
      </c>
      <c r="C97" s="16" t="n">
        <f aca="false">'Datos INEGI'!M105/('Datos INEGI'!P105+'Datos INEGI'!M105/2)</f>
        <v>0.146297449217879</v>
      </c>
      <c r="D97" s="14" t="n">
        <f aca="false">D96-E96</f>
        <v>19658.9030604548</v>
      </c>
      <c r="E97" s="14" t="n">
        <f aca="false">D97*C97</f>
        <v>2876.04737216609</v>
      </c>
      <c r="F97" s="14" t="n">
        <f aca="false">D98+(E97/2)</f>
        <v>18220.8793743717</v>
      </c>
      <c r="G97" s="14" t="n">
        <f aca="false">SUM(F97:F$105)</f>
        <v>86016.4211182169</v>
      </c>
      <c r="H97" s="15" t="n">
        <f aca="false">G97/D97</f>
        <v>4.37544357656683</v>
      </c>
    </row>
    <row r="98" customFormat="false" ht="15" hidden="false" customHeight="false" outlineLevel="0" collapsed="false">
      <c r="B98" s="12" t="n">
        <v>93</v>
      </c>
      <c r="C98" s="16" t="n">
        <f aca="false">'Datos INEGI'!M106/('Datos INEGI'!P106+'Datos INEGI'!M106/2)</f>
        <v>0.170425455594858</v>
      </c>
      <c r="D98" s="14" t="n">
        <f aca="false">D97-E97</f>
        <v>16782.8556882887</v>
      </c>
      <c r="E98" s="14" t="n">
        <f aca="false">D98*C98</f>
        <v>2860.22582685935</v>
      </c>
      <c r="F98" s="14" t="n">
        <f aca="false">D99+(E98/2)</f>
        <v>15352.742774859</v>
      </c>
      <c r="G98" s="14" t="n">
        <f aca="false">SUM(F98:F$105)</f>
        <v>67795.5417438451</v>
      </c>
      <c r="H98" s="15" t="n">
        <f aca="false">G98/D98</f>
        <v>4.03957127458075</v>
      </c>
    </row>
    <row r="99" customFormat="false" ht="15" hidden="false" customHeight="false" outlineLevel="0" collapsed="false">
      <c r="B99" s="12" t="n">
        <v>94</v>
      </c>
      <c r="C99" s="16" t="n">
        <f aca="false">'Datos INEGI'!M107/('Datos INEGI'!P107+'Datos INEGI'!M107/2)</f>
        <v>0.166403851517961</v>
      </c>
      <c r="D99" s="14" t="n">
        <f aca="false">D98-E98</f>
        <v>13922.6298614293</v>
      </c>
      <c r="E99" s="14" t="n">
        <f aca="false">D99*C99</f>
        <v>2316.77923220082</v>
      </c>
      <c r="F99" s="14" t="n">
        <f aca="false">D100+(E99/2)</f>
        <v>12764.2402453289</v>
      </c>
      <c r="G99" s="14" t="n">
        <f aca="false">SUM(F99:F$105)</f>
        <v>52442.7989689861</v>
      </c>
      <c r="H99" s="15" t="n">
        <f aca="false">G99/D99</f>
        <v>3.76673081816758</v>
      </c>
    </row>
    <row r="100" customFormat="false" ht="15" hidden="false" customHeight="false" outlineLevel="0" collapsed="false">
      <c r="B100" s="12" t="n">
        <v>95</v>
      </c>
      <c r="C100" s="16" t="n">
        <f aca="false">'Datos INEGI'!M108/('Datos INEGI'!P108+'Datos INEGI'!M108/2)</f>
        <v>0.174205045264211</v>
      </c>
      <c r="D100" s="14" t="n">
        <f aca="false">D99-E99</f>
        <v>11605.8506292285</v>
      </c>
      <c r="E100" s="14" t="n">
        <f aca="false">D100*C100</f>
        <v>2021.79773419443</v>
      </c>
      <c r="F100" s="14" t="n">
        <f aca="false">D101+(E100/2)</f>
        <v>10594.9517621313</v>
      </c>
      <c r="G100" s="14" t="n">
        <f aca="false">SUM(F100:F$105)</f>
        <v>39678.5587236572</v>
      </c>
      <c r="H100" s="15" t="n">
        <f aca="false">G100/D100</f>
        <v>3.41884106484445</v>
      </c>
    </row>
    <row r="101" customFormat="false" ht="15" hidden="false" customHeight="false" outlineLevel="0" collapsed="false">
      <c r="B101" s="12" t="n">
        <v>96</v>
      </c>
      <c r="C101" s="16" t="n">
        <f aca="false">'Datos INEGI'!M109/('Datos INEGI'!P109+'Datos INEGI'!M109/2)</f>
        <v>0.173203904506611</v>
      </c>
      <c r="D101" s="14" t="n">
        <f aca="false">D100-E100</f>
        <v>9584.05289503408</v>
      </c>
      <c r="E101" s="14" t="n">
        <f aca="false">D101*C101</f>
        <v>1659.9953824178</v>
      </c>
      <c r="F101" s="14" t="n">
        <f aca="false">D102+(E101/2)</f>
        <v>8754.05520382518</v>
      </c>
      <c r="G101" s="14" t="n">
        <f aca="false">SUM(F101:F$105)</f>
        <v>29083.6069615259</v>
      </c>
      <c r="H101" s="15" t="n">
        <f aca="false">G101/D101</f>
        <v>3.03458331042762</v>
      </c>
    </row>
    <row r="102" customFormat="false" ht="15" hidden="false" customHeight="false" outlineLevel="0" collapsed="false">
      <c r="B102" s="12" t="n">
        <v>97</v>
      </c>
      <c r="C102" s="16" t="n">
        <f aca="false">'Datos INEGI'!M110/('Datos INEGI'!P110+'Datos INEGI'!M110/2)</f>
        <v>0.175404455254156</v>
      </c>
      <c r="D102" s="14" t="n">
        <f aca="false">D101-E101</f>
        <v>7924.05751261629</v>
      </c>
      <c r="E102" s="14" t="n">
        <f aca="false">D102*C102</f>
        <v>1389.91499140306</v>
      </c>
      <c r="F102" s="14" t="n">
        <f aca="false">D103+(E102/2)</f>
        <v>7229.10001691476</v>
      </c>
      <c r="G102" s="14" t="n">
        <f aca="false">SUM(F102:F$105)</f>
        <v>20329.5517577007</v>
      </c>
      <c r="H102" s="15" t="n">
        <f aca="false">G102/D102</f>
        <v>2.56554823401181</v>
      </c>
    </row>
    <row r="103" customFormat="false" ht="15" hidden="false" customHeight="false" outlineLevel="0" collapsed="false">
      <c r="B103" s="12" t="n">
        <v>98</v>
      </c>
      <c r="C103" s="16" t="n">
        <f aca="false">'Datos INEGI'!M111/('Datos INEGI'!P111+'Datos INEGI'!M111/2)</f>
        <v>0.173488096489256</v>
      </c>
      <c r="D103" s="14" t="n">
        <f aca="false">D102-E102</f>
        <v>6534.14252121322</v>
      </c>
      <c r="E103" s="14" t="n">
        <f aca="false">D103*C103</f>
        <v>1133.59594819479</v>
      </c>
      <c r="F103" s="14" t="n">
        <f aca="false">D104+(E103/2)</f>
        <v>5967.34454711583</v>
      </c>
      <c r="G103" s="14" t="n">
        <f aca="false">SUM(F103:F$105)</f>
        <v>13100.451740786</v>
      </c>
      <c r="H103" s="15" t="n">
        <f aca="false">G103/D103</f>
        <v>2.0049228645159</v>
      </c>
    </row>
    <row r="104" customFormat="false" ht="15" hidden="false" customHeight="false" outlineLevel="0" collapsed="false">
      <c r="B104" s="12" t="n">
        <v>99</v>
      </c>
      <c r="C104" s="16" t="n">
        <f aca="false">'Datos INEGI'!M112/('Datos INEGI'!P112+'Datos INEGI'!M112/2)</f>
        <v>0.179187912329517</v>
      </c>
      <c r="D104" s="14" t="n">
        <f aca="false">D103-E103</f>
        <v>5400.54657301844</v>
      </c>
      <c r="E104" s="14" t="n">
        <f aca="false">D104*C104</f>
        <v>967.712665857501</v>
      </c>
      <c r="F104" s="14" t="n">
        <f aca="false">D105+(E104/2)</f>
        <v>4916.69024008969</v>
      </c>
      <c r="G104" s="14" t="n">
        <f aca="false">SUM(F104:F$105)</f>
        <v>7133.10719367016</v>
      </c>
      <c r="H104" s="15" t="n">
        <f aca="false">G104/D104</f>
        <v>1.32081208767048</v>
      </c>
    </row>
    <row r="105" customFormat="false" ht="15" hidden="false" customHeight="false" outlineLevel="0" collapsed="false">
      <c r="B105" s="20" t="n">
        <v>100</v>
      </c>
      <c r="C105" s="21" t="n">
        <v>1</v>
      </c>
      <c r="D105" s="14" t="n">
        <f aca="false">D104-E104</f>
        <v>4432.83390716094</v>
      </c>
      <c r="E105" s="14" t="n">
        <f aca="false">D105*C105</f>
        <v>4432.83390716094</v>
      </c>
      <c r="F105" s="14" t="n">
        <f aca="false">E105/2</f>
        <v>2216.41695358047</v>
      </c>
      <c r="G105" s="14" t="n">
        <f aca="false">SUM(F105:F$105)</f>
        <v>2216.41695358047</v>
      </c>
      <c r="H105" s="15" t="n">
        <f aca="false">G105/D105</f>
        <v>0.5</v>
      </c>
    </row>
  </sheetData>
  <mergeCells count="2">
    <mergeCell ref="B1:N1"/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7"/>
  </cols>
  <sheetData>
    <row r="1" customFormat="false" ht="17.35" hidden="false" customHeight="false" outlineLevel="0" collapsed="false">
      <c r="A1" s="1" t="s">
        <v>49</v>
      </c>
    </row>
    <row r="3" customFormat="false" ht="23.85" hidden="false" customHeight="false" outlineLevel="0" collapsed="false">
      <c r="A3" s="24" t="s">
        <v>50</v>
      </c>
      <c r="B3" s="25" t="s">
        <v>51</v>
      </c>
      <c r="C3" s="26" t="s">
        <v>52</v>
      </c>
      <c r="D3" s="27" t="s">
        <v>53</v>
      </c>
      <c r="E3" s="24" t="s">
        <v>54</v>
      </c>
    </row>
    <row r="4" customFormat="false" ht="15" hidden="false" customHeight="false" outlineLevel="0" collapsed="false">
      <c r="A4" s="28" t="s">
        <v>55</v>
      </c>
      <c r="B4" s="29" t="n">
        <f aca="false">'Tabla hombres'!H5</f>
        <v>72.8950124093887</v>
      </c>
      <c r="C4" s="29" t="n">
        <f aca="false">'Tabla mujeres'!H5</f>
        <v>79.114598898827</v>
      </c>
      <c r="D4" s="29" t="n">
        <f aca="false">'Tabla ambos sexos'!H5</f>
        <v>75.9880421478919</v>
      </c>
      <c r="E4" s="30" t="n">
        <f aca="false">C4-B4</f>
        <v>6.21958648943831</v>
      </c>
    </row>
    <row r="5" customFormat="false" ht="15" hidden="false" customHeight="false" outlineLevel="0" collapsed="false">
      <c r="A5" s="28" t="s">
        <v>56</v>
      </c>
      <c r="B5" s="29" t="n">
        <f aca="false">'Tabla hombres'!H6</f>
        <v>72.8965204178067</v>
      </c>
      <c r="C5" s="29" t="n">
        <f aca="false">'Tabla mujeres'!H6</f>
        <v>78.9922845404574</v>
      </c>
      <c r="D5" s="29" t="n">
        <f aca="false">'Tabla ambos sexos'!H6</f>
        <v>75.9376737187187</v>
      </c>
      <c r="E5" s="30" t="n">
        <f aca="false">C5-B5</f>
        <v>6.09576412265062</v>
      </c>
    </row>
    <row r="6" customFormat="false" ht="15" hidden="false" customHeight="false" outlineLevel="0" collapsed="false">
      <c r="A6" s="28" t="s">
        <v>57</v>
      </c>
      <c r="B6" s="29" t="n">
        <f aca="false">'Tabla hombres'!H20</f>
        <v>59.2716004958957</v>
      </c>
      <c r="C6" s="29" t="n">
        <f aca="false">'Tabla mujeres'!H20</f>
        <v>65.3238346635173</v>
      </c>
      <c r="D6" s="29" t="n">
        <f aca="false">'Tabla ambos sexos'!H20</f>
        <v>62.2933355173963</v>
      </c>
      <c r="E6" s="30" t="n">
        <f aca="false">C6-B6</f>
        <v>6.05223416762163</v>
      </c>
    </row>
    <row r="7" customFormat="false" ht="15" hidden="false" customHeight="false" outlineLevel="0" collapsed="false">
      <c r="A7" s="28" t="s">
        <v>58</v>
      </c>
      <c r="B7" s="29" t="n">
        <f aca="false">'Tabla hombres'!H70</f>
        <v>17.7689359402637</v>
      </c>
      <c r="C7" s="29" t="n">
        <f aca="false">'Tabla mujeres'!H70</f>
        <v>19.6496954589504</v>
      </c>
      <c r="D7" s="29" t="n">
        <f aca="false">'Tabla ambos sexos'!H70</f>
        <v>18.7386355456342</v>
      </c>
      <c r="E7" s="30" t="n">
        <f aca="false">C7-B7</f>
        <v>1.88075951868668</v>
      </c>
    </row>
    <row r="8" customFormat="false" ht="15" hidden="false" customHeight="false" outlineLevel="0" collapsed="false">
      <c r="A8" s="28" t="s">
        <v>59</v>
      </c>
      <c r="B8" s="29" t="n">
        <f aca="false">'Tabla hombres'!H85</f>
        <v>8.83736048613723</v>
      </c>
      <c r="C8" s="29" t="n">
        <f aca="false">'Tabla mujeres'!H85</f>
        <v>9.56806679347065</v>
      </c>
      <c r="D8" s="29" t="n">
        <f aca="false">'Tabla ambos sexos'!H85</f>
        <v>9.23079231468493</v>
      </c>
      <c r="E8" s="30" t="n">
        <f aca="false">C8-B8</f>
        <v>0.730706307333421</v>
      </c>
    </row>
    <row r="9" customFormat="false" ht="15" hidden="false" customHeight="false" outlineLevel="0" collapsed="false">
      <c r="A9" s="28" t="s">
        <v>60</v>
      </c>
      <c r="B9" s="29" t="n">
        <f aca="false">'Tabla hombres'!C5*1000</f>
        <v>13.6451701350009</v>
      </c>
      <c r="C9" s="29" t="n">
        <f aca="false">'Tabla mujeres'!C5*1000</f>
        <v>11.0411425046369</v>
      </c>
      <c r="D9" s="29" t="n">
        <f aca="false">'Tabla ambos sexos'!C5*1000</f>
        <v>12.423606379248</v>
      </c>
      <c r="E9" s="30" t="n">
        <f aca="false">C9-B9</f>
        <v>-2.60402763036395</v>
      </c>
    </row>
    <row r="10" customFormat="false" ht="15" hidden="false" customHeight="false" outlineLevel="0" collapsed="false">
      <c r="A10" s="28" t="s">
        <v>61</v>
      </c>
      <c r="B10" s="29" t="n">
        <f aca="false">(1-'Tabla hombres'!D10/'Tabla hombres'!D5)*1000</f>
        <v>16.076010434669</v>
      </c>
      <c r="C10" s="29" t="n">
        <f aca="false">(1-'Tabla mujeres'!D10/'Tabla mujeres'!D5)*1000</f>
        <v>13.1854695926703</v>
      </c>
      <c r="D10" s="29" t="n">
        <f aca="false">(1-'Tabla ambos sexos'!D10/'Tabla ambos sexos'!D5)*1000</f>
        <v>14.714827381643</v>
      </c>
      <c r="E10" s="30" t="n">
        <f aca="false">C10-B10</f>
        <v>-2.89054084199869</v>
      </c>
    </row>
    <row r="11" customFormat="false" ht="15" hidden="false" customHeight="false" outlineLevel="0" collapsed="false">
      <c r="A11" s="28" t="s">
        <v>62</v>
      </c>
      <c r="B11" s="31" t="n">
        <f aca="false">'Tabla hombres'!D20/'Tabla hombres'!D5</f>
        <v>0.980849071648212</v>
      </c>
      <c r="C11" s="31" t="n">
        <f aca="false">'Tabla mujeres'!D20/'Tabla mujeres'!D5</f>
        <v>0.984517984571651</v>
      </c>
      <c r="D11" s="31" t="n">
        <f aca="false">'Tabla ambos sexos'!D20/'Tabla ambos sexos'!D5</f>
        <v>0.982592506168735</v>
      </c>
      <c r="E11" s="32" t="n">
        <f aca="false">C11-B11</f>
        <v>0.00366891292343896</v>
      </c>
    </row>
    <row r="12" customFormat="false" ht="15" hidden="false" customHeight="false" outlineLevel="0" collapsed="false">
      <c r="A12" s="28" t="s">
        <v>63</v>
      </c>
      <c r="B12" s="31" t="n">
        <f aca="false">'Tabla hombres'!D70/'Tabla hombres'!D5</f>
        <v>0.736119091849009</v>
      </c>
      <c r="C12" s="31" t="n">
        <f aca="false">'Tabla mujeres'!D70/'Tabla mujeres'!D5</f>
        <v>0.851531431942513</v>
      </c>
      <c r="D12" s="31" t="n">
        <f aca="false">'Tabla ambos sexos'!D70/'Tabla ambos sexos'!D5</f>
        <v>0.794159844895443</v>
      </c>
      <c r="E12" s="32" t="n">
        <f aca="false">C12-B12</f>
        <v>0.115412340093504</v>
      </c>
    </row>
    <row r="13" customFormat="false" ht="15" hidden="false" customHeight="false" outlineLevel="0" collapsed="false">
      <c r="A13" s="28" t="s">
        <v>64</v>
      </c>
      <c r="B13" s="31" t="n">
        <f aca="false">'Tabla hombres'!D85/'Tabla hombres'!D5</f>
        <v>0.447572575866947</v>
      </c>
      <c r="C13" s="31" t="n">
        <f aca="false">'Tabla mujeres'!D85/'Tabla mujeres'!D5</f>
        <v>0.58736029219011</v>
      </c>
      <c r="D13" s="31" t="n">
        <f aca="false">'Tabla ambos sexos'!D85/'Tabla ambos sexos'!D5</f>
        <v>0.516353069612062</v>
      </c>
      <c r="E13" s="32" t="n">
        <f aca="false">C13-B13</f>
        <v>0.139787716323163</v>
      </c>
    </row>
    <row r="14" customFormat="false" ht="15" hidden="false" customHeight="false" outlineLevel="0" collapsed="false">
      <c r="A14" s="28" t="s">
        <v>65</v>
      </c>
      <c r="B14" s="33" t="n">
        <f aca="false">INDEX('Tabla hombres'!B5:B105,MATCH(Radix/2,'Tabla hombres'!D5:D105,-1))</f>
        <v>77</v>
      </c>
      <c r="C14" s="33" t="n">
        <f aca="false">INDEX('Tabla mujeres'!B5:B105,MATCH(Radix/2,'Tabla mujeres'!D5:D105,-1))</f>
        <v>82</v>
      </c>
      <c r="D14" s="33" t="n">
        <f aca="false">INDEX('Tabla ambos sexos'!B5:B105,MATCH(Radix/2,'Tabla ambos sexos'!D5:D105,-1))</f>
        <v>80</v>
      </c>
    </row>
    <row r="15" customFormat="false" ht="15" hidden="false" customHeight="false" outlineLevel="0" collapsed="false">
      <c r="A15" s="28" t="s">
        <v>66</v>
      </c>
      <c r="B15" s="33" t="n">
        <f aca="false">INDEX('Tabla hombres'!B20:B104,MATCH(MAX('Tabla hombres'!E20:E104),'Tabla hombres'!E20:E104,0))</f>
        <v>83</v>
      </c>
      <c r="C15" s="33" t="n">
        <f aca="false">INDEX('Tabla mujeres'!B20:B104,MATCH(MAX('Tabla mujeres'!E20:E104),'Tabla mujeres'!E20:E104,0))</f>
        <v>89</v>
      </c>
      <c r="D15" s="33" t="n">
        <f aca="false">INDEX('Tabla ambos sexos'!B20:B104,MATCH(MAX('Tabla ambos sexos'!E20:E104),'Tabla ambos sexos'!E20:E104,0))</f>
        <v>83</v>
      </c>
    </row>
    <row r="18" customFormat="false" ht="15" hidden="false" customHeight="false" outlineLevel="0" collapsed="false">
      <c r="A18" s="34" t="s">
        <v>67</v>
      </c>
    </row>
    <row r="19" customFormat="false" ht="15" hidden="false" customHeight="false" outlineLevel="0" collapsed="false">
      <c r="A19" s="24" t="s">
        <v>68</v>
      </c>
      <c r="B19" s="25" t="s">
        <v>51</v>
      </c>
      <c r="C19" s="26" t="s">
        <v>52</v>
      </c>
      <c r="D19" s="27" t="s">
        <v>53</v>
      </c>
    </row>
    <row r="20" customFormat="false" ht="15" hidden="false" customHeight="false" outlineLevel="0" collapsed="false">
      <c r="A20" s="28" t="s">
        <v>69</v>
      </c>
      <c r="B20" s="15" t="n">
        <f aca="false">B4</f>
        <v>72.8950124093887</v>
      </c>
      <c r="C20" s="15" t="n">
        <f aca="false">C4</f>
        <v>79.114598898827</v>
      </c>
      <c r="D20" s="15" t="n">
        <f aca="false">D4</f>
        <v>75.9880421478919</v>
      </c>
    </row>
    <row r="21" customFormat="false" ht="15" hidden="false" customHeight="false" outlineLevel="0" collapsed="false">
      <c r="A21" s="28" t="s">
        <v>70</v>
      </c>
      <c r="B21" s="29" t="n">
        <f aca="false">'Datos INEGI'!B7</f>
        <v>71.5867</v>
      </c>
      <c r="C21" s="29" t="n">
        <f aca="false">'Datos INEGI'!C7</f>
        <v>77.4224</v>
      </c>
      <c r="D21" s="29" t="n">
        <f aca="false">'Datos INEGI'!D7</f>
        <v>74.5302</v>
      </c>
    </row>
    <row r="22" customFormat="false" ht="15" hidden="false" customHeight="false" outlineLevel="0" collapsed="false">
      <c r="A22" s="28" t="s">
        <v>71</v>
      </c>
      <c r="B22" s="35" t="n">
        <f aca="false">B20-B21</f>
        <v>1.30831240938871</v>
      </c>
      <c r="C22" s="35" t="n">
        <f aca="false">C20-C21</f>
        <v>1.69219889882702</v>
      </c>
      <c r="D22" s="35" t="n">
        <f aca="false">D20-D21</f>
        <v>1.45784214789192</v>
      </c>
    </row>
    <row r="23" customFormat="false" ht="15" hidden="false" customHeight="false" outlineLevel="0" collapsed="false">
      <c r="A23" s="28" t="s">
        <v>72</v>
      </c>
      <c r="B23" s="36" t="n">
        <f aca="false">B22/B21</f>
        <v>0.0182759145118954</v>
      </c>
      <c r="C23" s="36" t="n">
        <f aca="false">C22/C21</f>
        <v>0.0218567094126121</v>
      </c>
      <c r="D23" s="36" t="n">
        <f aca="false">D22/D21</f>
        <v>0.0195604217873013</v>
      </c>
    </row>
    <row r="26" customFormat="false" ht="15" hidden="false" customHeight="false" outlineLevel="0" collapsed="false">
      <c r="A26" s="37" t="s">
        <v>73</v>
      </c>
    </row>
    <row r="27" customFormat="false" ht="15" hidden="false" customHeight="false" outlineLevel="0" collapsed="false">
      <c r="A27" s="10" t="s">
        <v>74</v>
      </c>
    </row>
    <row r="28" customFormat="false" ht="66" hidden="false" customHeight="true" outlineLevel="0" collapsed="false">
      <c r="A28" s="6" t="s">
        <v>75</v>
      </c>
      <c r="B28" s="6"/>
      <c r="C28" s="6"/>
      <c r="D28" s="6"/>
      <c r="E28" s="6"/>
    </row>
    <row r="29" customFormat="false" ht="15" hidden="false" customHeight="false" outlineLevel="0" collapsed="false">
      <c r="A29" s="10" t="s">
        <v>76</v>
      </c>
    </row>
    <row r="30" customFormat="false" ht="66" hidden="false" customHeight="true" outlineLevel="0" collapsed="false">
      <c r="A30" s="6" t="s">
        <v>77</v>
      </c>
      <c r="B30" s="6"/>
      <c r="C30" s="6"/>
      <c r="D30" s="6"/>
      <c r="E30" s="6"/>
    </row>
    <row r="31" customFormat="false" ht="15" hidden="false" customHeight="false" outlineLevel="0" collapsed="false">
      <c r="A31" s="10" t="s">
        <v>78</v>
      </c>
    </row>
    <row r="32" customFormat="false" ht="66" hidden="false" customHeight="true" outlineLevel="0" collapsed="false">
      <c r="A32" s="6" t="s">
        <v>79</v>
      </c>
      <c r="B32" s="6"/>
      <c r="C32" s="6"/>
      <c r="D32" s="6"/>
      <c r="E32" s="6"/>
    </row>
    <row r="33" customFormat="false" ht="15" hidden="false" customHeight="false" outlineLevel="0" collapsed="false">
      <c r="A33" s="10" t="s">
        <v>80</v>
      </c>
    </row>
    <row r="34" customFormat="false" ht="81" hidden="false" customHeight="true" outlineLevel="0" collapsed="false">
      <c r="A34" s="6" t="s">
        <v>81</v>
      </c>
      <c r="B34" s="6"/>
      <c r="C34" s="6"/>
      <c r="D34" s="6"/>
      <c r="E34" s="6"/>
    </row>
    <row r="35" customFormat="false" ht="15" hidden="false" customHeight="false" outlineLevel="0" collapsed="false">
      <c r="A35" s="10" t="s">
        <v>82</v>
      </c>
    </row>
    <row r="36" customFormat="false" ht="96" hidden="false" customHeight="true" outlineLevel="0" collapsed="false">
      <c r="A36" s="6" t="s">
        <v>83</v>
      </c>
      <c r="B36" s="6"/>
      <c r="C36" s="6"/>
      <c r="D36" s="6"/>
      <c r="E36" s="6"/>
    </row>
    <row r="38" customFormat="false" ht="15" hidden="false" customHeight="false" outlineLevel="0" collapsed="false">
      <c r="A38" s="3" t="s">
        <v>84</v>
      </c>
    </row>
  </sheetData>
  <mergeCells count="5">
    <mergeCell ref="A28:E28"/>
    <mergeCell ref="A30:E30"/>
    <mergeCell ref="A32:E32"/>
    <mergeCell ref="A34:E34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Q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7" min="2" style="0" width="13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3" t="s">
        <v>88</v>
      </c>
    </row>
    <row r="3" customFormat="false" ht="23.85" hidden="false" customHeight="false" outlineLevel="0" collapsed="false">
      <c r="A3" s="24" t="s">
        <v>89</v>
      </c>
      <c r="B3" s="24" t="s">
        <v>51</v>
      </c>
      <c r="C3" s="24" t="s">
        <v>52</v>
      </c>
      <c r="D3" s="24" t="s">
        <v>90</v>
      </c>
      <c r="E3" s="24" t="s">
        <v>91</v>
      </c>
    </row>
    <row r="4" customFormat="false" ht="15" hidden="false" customHeight="false" outlineLevel="0" collapsed="false">
      <c r="A4" s="10" t="s">
        <v>36</v>
      </c>
      <c r="B4" s="38" t="n">
        <v>938974</v>
      </c>
      <c r="C4" s="38" t="n">
        <v>905926</v>
      </c>
      <c r="D4" s="38" t="n">
        <v>13</v>
      </c>
      <c r="E4" s="39" t="n">
        <f aca="false">SUM(B4:D4)</f>
        <v>1844913</v>
      </c>
      <c r="F4" s="3" t="s">
        <v>92</v>
      </c>
    </row>
    <row r="6" customFormat="false" ht="23.85" hidden="false" customHeight="false" outlineLevel="0" collapsed="false">
      <c r="A6" s="24" t="s">
        <v>93</v>
      </c>
      <c r="B6" s="24" t="s">
        <v>51</v>
      </c>
      <c r="C6" s="24" t="s">
        <v>52</v>
      </c>
      <c r="D6" s="24" t="s">
        <v>53</v>
      </c>
    </row>
    <row r="7" customFormat="false" ht="15" hidden="false" customHeight="false" outlineLevel="0" collapsed="false">
      <c r="A7" s="10" t="s">
        <v>94</v>
      </c>
      <c r="B7" s="40" t="n">
        <v>71.5867</v>
      </c>
      <c r="C7" s="40" t="n">
        <v>77.4224</v>
      </c>
      <c r="D7" s="40" t="n">
        <v>74.5302</v>
      </c>
      <c r="F7" s="3" t="s">
        <v>95</v>
      </c>
    </row>
    <row r="11" customFormat="false" ht="23.85" hidden="false" customHeight="true" outlineLevel="0" collapsed="false">
      <c r="B11" s="41" t="s">
        <v>96</v>
      </c>
      <c r="C11" s="41"/>
      <c r="D11" s="41"/>
      <c r="E11" s="41"/>
      <c r="F11" s="41" t="s">
        <v>97</v>
      </c>
      <c r="G11" s="41"/>
      <c r="H11" s="41"/>
      <c r="I11" s="41" t="s">
        <v>98</v>
      </c>
      <c r="J11" s="41"/>
      <c r="K11" s="41"/>
      <c r="L11" s="41" t="s">
        <v>99</v>
      </c>
      <c r="M11" s="41"/>
      <c r="N11" s="41"/>
      <c r="O11" s="41" t="s">
        <v>100</v>
      </c>
      <c r="P11" s="41"/>
      <c r="Q11" s="41"/>
    </row>
    <row r="12" customFormat="false" ht="30" hidden="false" customHeight="true" outlineLevel="0" collapsed="false">
      <c r="A12" s="24" t="s">
        <v>101</v>
      </c>
      <c r="B12" s="24" t="s">
        <v>51</v>
      </c>
      <c r="C12" s="24" t="s">
        <v>52</v>
      </c>
      <c r="D12" s="24" t="s">
        <v>90</v>
      </c>
      <c r="E12" s="24" t="s">
        <v>91</v>
      </c>
      <c r="F12" s="24" t="s">
        <v>51</v>
      </c>
      <c r="G12" s="24" t="s">
        <v>52</v>
      </c>
      <c r="H12" s="24" t="s">
        <v>91</v>
      </c>
      <c r="I12" s="24" t="s">
        <v>51</v>
      </c>
      <c r="J12" s="24" t="s">
        <v>52</v>
      </c>
      <c r="K12" s="24" t="s">
        <v>91</v>
      </c>
      <c r="L12" s="24" t="s">
        <v>51</v>
      </c>
      <c r="M12" s="24" t="s">
        <v>52</v>
      </c>
      <c r="N12" s="24" t="s">
        <v>91</v>
      </c>
      <c r="O12" s="24" t="s">
        <v>51</v>
      </c>
      <c r="P12" s="24" t="s">
        <v>52</v>
      </c>
      <c r="Q12" s="24" t="s">
        <v>91</v>
      </c>
    </row>
    <row r="13" customFormat="false" ht="15" hidden="false" customHeight="false" outlineLevel="0" collapsed="false">
      <c r="A13" s="42" t="n">
        <v>0</v>
      </c>
      <c r="B13" s="38" t="n">
        <v>12712</v>
      </c>
      <c r="C13" s="38" t="n">
        <v>9991</v>
      </c>
      <c r="D13" s="38" t="n">
        <v>93</v>
      </c>
      <c r="E13" s="43" t="n">
        <f aca="false">SUM(B13:D13)</f>
        <v>22796</v>
      </c>
      <c r="F13" s="38" t="n">
        <v>916140</v>
      </c>
      <c r="G13" s="38" t="n">
        <v>896837</v>
      </c>
      <c r="H13" s="43" t="n">
        <f aca="false">F13+G13</f>
        <v>1812977</v>
      </c>
      <c r="I13" s="44" t="n">
        <f aca="false">B13*B$116</f>
        <v>12812.4599823423</v>
      </c>
      <c r="J13" s="44" t="n">
        <f aca="false">C13*C$116</f>
        <v>10002.4580646557</v>
      </c>
      <c r="K13" s="44" t="n">
        <f aca="false">E13*E$116</f>
        <v>22920.4729159576</v>
      </c>
      <c r="L13" s="44" t="n">
        <f aca="false">IF(AND(Suaviza=1,$A13&gt;=10,$A13&lt;=97),AVERAGE(I11:I15),I13)</f>
        <v>12812.4599823423</v>
      </c>
      <c r="M13" s="44" t="n">
        <f aca="false">IF(AND(Suaviza=1,$A13&gt;=10,$A13&lt;=97),AVERAGE(J11:J15),J13)</f>
        <v>10002.4580646557</v>
      </c>
      <c r="N13" s="44" t="n">
        <f aca="false">IF(AND(Suaviza=1,$A13&gt;=10,$A13&lt;=97),AVERAGE(K11:K15),K13)</f>
        <v>22920.4729159576</v>
      </c>
      <c r="O13" s="44" t="n">
        <f aca="false">IF(AND(Suaviza=1,$A13&gt;=10,$A13&lt;=97),AVERAGE(F11:F15),F13)</f>
        <v>916140</v>
      </c>
      <c r="P13" s="44" t="n">
        <f aca="false">IF(AND(Suaviza=1,$A13&gt;=10,$A13&lt;=97),AVERAGE(G11:G15),G13)</f>
        <v>896837</v>
      </c>
      <c r="Q13" s="44" t="n">
        <f aca="false">IF(AND(Suaviza=1,$A13&gt;=10,$A13&lt;=97),AVERAGE(H11:H15),H13)</f>
        <v>1812977</v>
      </c>
    </row>
    <row r="14" customFormat="false" ht="15" hidden="false" customHeight="false" outlineLevel="0" collapsed="false">
      <c r="A14" s="42" t="n">
        <v>1</v>
      </c>
      <c r="B14" s="38" t="n">
        <v>1120</v>
      </c>
      <c r="C14" s="38" t="n">
        <v>1011</v>
      </c>
      <c r="D14" s="38" t="n">
        <v>0</v>
      </c>
      <c r="E14" s="43" t="n">
        <f aca="false">SUM(B14:D14)</f>
        <v>2131</v>
      </c>
      <c r="F14" s="38" t="n">
        <v>967223</v>
      </c>
      <c r="G14" s="38" t="n">
        <v>942735</v>
      </c>
      <c r="H14" s="43" t="n">
        <f aca="false">F14+G14</f>
        <v>1909958</v>
      </c>
      <c r="I14" s="44" t="n">
        <f aca="false">B14*B$116</f>
        <v>1128.85109976584</v>
      </c>
      <c r="J14" s="44" t="n">
        <f aca="false">C14*C$116</f>
        <v>1012.15945384516</v>
      </c>
      <c r="K14" s="44" t="n">
        <f aca="false">E14*E$116</f>
        <v>2142.63589155579</v>
      </c>
      <c r="L14" s="44" t="n">
        <f aca="false">IF(AND(Suaviza=1,$A14&gt;=10,$A14&lt;=97),AVERAGE(I12:I16),I14)</f>
        <v>1128.85109976584</v>
      </c>
      <c r="M14" s="44" t="n">
        <f aca="false">IF(AND(Suaviza=1,$A14&gt;=10,$A14&lt;=97),AVERAGE(J12:J16),J14)</f>
        <v>1012.15945384516</v>
      </c>
      <c r="N14" s="44" t="n">
        <f aca="false">IF(AND(Suaviza=1,$A14&gt;=10,$A14&lt;=97),AVERAGE(K12:K16),K14)</f>
        <v>2142.63589155579</v>
      </c>
      <c r="O14" s="44" t="n">
        <f aca="false">IF(AND(Suaviza=1,$A14&gt;=10,$A14&lt;=97),AVERAGE(F12:F16),F14)</f>
        <v>967223</v>
      </c>
      <c r="P14" s="44" t="n">
        <f aca="false">IF(AND(Suaviza=1,$A14&gt;=10,$A14&lt;=97),AVERAGE(G12:G16),G14)</f>
        <v>942735</v>
      </c>
      <c r="Q14" s="44" t="n">
        <f aca="false">IF(AND(Suaviza=1,$A14&gt;=10,$A14&lt;=97),AVERAGE(H12:H16),H14)</f>
        <v>1909958</v>
      </c>
    </row>
    <row r="15" customFormat="false" ht="15" hidden="false" customHeight="false" outlineLevel="0" collapsed="false">
      <c r="A15" s="42" t="n">
        <v>2</v>
      </c>
      <c r="B15" s="38" t="n">
        <v>609</v>
      </c>
      <c r="C15" s="38" t="n">
        <v>500</v>
      </c>
      <c r="D15" s="38" t="n">
        <v>1</v>
      </c>
      <c r="E15" s="43" t="n">
        <f aca="false">SUM(B15:D15)</f>
        <v>1110</v>
      </c>
      <c r="F15" s="38" t="n">
        <v>1031816</v>
      </c>
      <c r="G15" s="38" t="n">
        <v>1009303</v>
      </c>
      <c r="H15" s="43" t="n">
        <f aca="false">F15+G15</f>
        <v>2041119</v>
      </c>
      <c r="I15" s="44" t="n">
        <f aca="false">B15*B$116</f>
        <v>613.812785497678</v>
      </c>
      <c r="J15" s="44" t="n">
        <f aca="false">C15*C$116</f>
        <v>500.573419310166</v>
      </c>
      <c r="K15" s="44" t="n">
        <f aca="false">E15*E$116</f>
        <v>1116.06092896618</v>
      </c>
      <c r="L15" s="44" t="n">
        <f aca="false">IF(AND(Suaviza=1,$A15&gt;=10,$A15&lt;=97),AVERAGE(I13:I17),I15)</f>
        <v>613.812785497678</v>
      </c>
      <c r="M15" s="44" t="n">
        <f aca="false">IF(AND(Suaviza=1,$A15&gt;=10,$A15&lt;=97),AVERAGE(J13:J17),J15)</f>
        <v>500.573419310166</v>
      </c>
      <c r="N15" s="44" t="n">
        <f aca="false">IF(AND(Suaviza=1,$A15&gt;=10,$A15&lt;=97),AVERAGE(K13:K17),K15)</f>
        <v>1116.06092896618</v>
      </c>
      <c r="O15" s="44" t="n">
        <f aca="false">IF(AND(Suaviza=1,$A15&gt;=10,$A15&lt;=97),AVERAGE(F13:F17),F15)</f>
        <v>1031816</v>
      </c>
      <c r="P15" s="44" t="n">
        <f aca="false">IF(AND(Suaviza=1,$A15&gt;=10,$A15&lt;=97),AVERAGE(G13:G17),G15)</f>
        <v>1009303</v>
      </c>
      <c r="Q15" s="44" t="n">
        <f aca="false">IF(AND(Suaviza=1,$A15&gt;=10,$A15&lt;=97),AVERAGE(H13:H17),H15)</f>
        <v>2041119</v>
      </c>
    </row>
    <row r="16" customFormat="false" ht="15" hidden="false" customHeight="false" outlineLevel="0" collapsed="false">
      <c r="A16" s="42" t="n">
        <v>3</v>
      </c>
      <c r="B16" s="38" t="n">
        <v>418</v>
      </c>
      <c r="C16" s="38" t="n">
        <v>341</v>
      </c>
      <c r="D16" s="38" t="n">
        <v>0</v>
      </c>
      <c r="E16" s="43" t="n">
        <f aca="false">SUM(B16:D16)</f>
        <v>759</v>
      </c>
      <c r="F16" s="38" t="n">
        <v>1060809</v>
      </c>
      <c r="G16" s="38" t="n">
        <v>1047597</v>
      </c>
      <c r="H16" s="43" t="n">
        <f aca="false">F16+G16</f>
        <v>2108406</v>
      </c>
      <c r="I16" s="44" t="n">
        <f aca="false">B16*B$116</f>
        <v>421.303356876895</v>
      </c>
      <c r="J16" s="44" t="n">
        <f aca="false">C16*C$116</f>
        <v>341.391071969533</v>
      </c>
      <c r="K16" s="44" t="n">
        <f aca="false">E16*E$116</f>
        <v>763.144364941737</v>
      </c>
      <c r="L16" s="44" t="n">
        <f aca="false">IF(AND(Suaviza=1,$A16&gt;=10,$A16&lt;=97),AVERAGE(I14:I18),I16)</f>
        <v>421.303356876895</v>
      </c>
      <c r="M16" s="44" t="n">
        <f aca="false">IF(AND(Suaviza=1,$A16&gt;=10,$A16&lt;=97),AVERAGE(J14:J18),J16)</f>
        <v>341.391071969533</v>
      </c>
      <c r="N16" s="44" t="n">
        <f aca="false">IF(AND(Suaviza=1,$A16&gt;=10,$A16&lt;=97),AVERAGE(K14:K18),K16)</f>
        <v>763.144364941737</v>
      </c>
      <c r="O16" s="44" t="n">
        <f aca="false">IF(AND(Suaviza=1,$A16&gt;=10,$A16&lt;=97),AVERAGE(F14:F18),F16)</f>
        <v>1060809</v>
      </c>
      <c r="P16" s="44" t="n">
        <f aca="false">IF(AND(Suaviza=1,$A16&gt;=10,$A16&lt;=97),AVERAGE(G14:G18),G16)</f>
        <v>1047597</v>
      </c>
      <c r="Q16" s="44" t="n">
        <f aca="false">IF(AND(Suaviza=1,$A16&gt;=10,$A16&lt;=97),AVERAGE(H14:H18),H16)</f>
        <v>2108406</v>
      </c>
    </row>
    <row r="17" customFormat="false" ht="15" hidden="false" customHeight="false" outlineLevel="0" collapsed="false">
      <c r="A17" s="42" t="n">
        <v>4</v>
      </c>
      <c r="B17" s="38" t="n">
        <v>337</v>
      </c>
      <c r="C17" s="38" t="n">
        <v>295</v>
      </c>
      <c r="D17" s="38" t="n">
        <v>0</v>
      </c>
      <c r="E17" s="43" t="n">
        <f aca="false">SUM(B17:D17)</f>
        <v>632</v>
      </c>
      <c r="F17" s="38" t="n">
        <v>1101494</v>
      </c>
      <c r="G17" s="38" t="n">
        <v>1073411</v>
      </c>
      <c r="H17" s="43" t="n">
        <f aca="false">F17+G17</f>
        <v>2174905</v>
      </c>
      <c r="I17" s="44" t="n">
        <f aca="false">B17*B$116</f>
        <v>339.663232697401</v>
      </c>
      <c r="J17" s="44" t="n">
        <f aca="false">C17*C$116</f>
        <v>295.338317392998</v>
      </c>
      <c r="K17" s="44" t="n">
        <f aca="false">E17*E$116</f>
        <v>635.450907303265</v>
      </c>
      <c r="L17" s="44" t="n">
        <f aca="false">IF(AND(Suaviza=1,$A17&gt;=10,$A17&lt;=97),AVERAGE(I15:I19),I17)</f>
        <v>339.663232697401</v>
      </c>
      <c r="M17" s="44" t="n">
        <f aca="false">IF(AND(Suaviza=1,$A17&gt;=10,$A17&lt;=97),AVERAGE(J15:J19),J17)</f>
        <v>295.338317392998</v>
      </c>
      <c r="N17" s="44" t="n">
        <f aca="false">IF(AND(Suaviza=1,$A17&gt;=10,$A17&lt;=97),AVERAGE(K15:K19),K17)</f>
        <v>635.450907303265</v>
      </c>
      <c r="O17" s="44" t="n">
        <f aca="false">IF(AND(Suaviza=1,$A17&gt;=10,$A17&lt;=97),AVERAGE(F15:F19),F17)</f>
        <v>1101494</v>
      </c>
      <c r="P17" s="44" t="n">
        <f aca="false">IF(AND(Suaviza=1,$A17&gt;=10,$A17&lt;=97),AVERAGE(G15:G19),G17)</f>
        <v>1073411</v>
      </c>
      <c r="Q17" s="44" t="n">
        <f aca="false">IF(AND(Suaviza=1,$A17&gt;=10,$A17&lt;=97),AVERAGE(H15:H19),H17)</f>
        <v>2174905</v>
      </c>
    </row>
    <row r="18" customFormat="false" ht="15" hidden="false" customHeight="false" outlineLevel="0" collapsed="false">
      <c r="A18" s="42" t="n">
        <v>5</v>
      </c>
      <c r="B18" s="38" t="n">
        <v>287</v>
      </c>
      <c r="C18" s="38" t="n">
        <v>263</v>
      </c>
      <c r="D18" s="38" t="n">
        <v>0</v>
      </c>
      <c r="E18" s="43" t="n">
        <f aca="false">SUM(B18:D18)</f>
        <v>550</v>
      </c>
      <c r="F18" s="38" t="n">
        <v>1106361</v>
      </c>
      <c r="G18" s="38" t="n">
        <v>1072540</v>
      </c>
      <c r="H18" s="43" t="n">
        <f aca="false">F18+G18</f>
        <v>2178901</v>
      </c>
      <c r="I18" s="44" t="n">
        <f aca="false">B18*B$116</f>
        <v>289.268094314998</v>
      </c>
      <c r="J18" s="44" t="n">
        <f aca="false">C18*C$116</f>
        <v>263.301618557147</v>
      </c>
      <c r="K18" s="44" t="n">
        <f aca="false">E18*E$116</f>
        <v>553.003163001259</v>
      </c>
      <c r="L18" s="44" t="n">
        <f aca="false">IF(AND(Suaviza=1,$A18&gt;=10,$A18&lt;=97),AVERAGE(I16:I20),I18)</f>
        <v>289.268094314998</v>
      </c>
      <c r="M18" s="44" t="n">
        <f aca="false">IF(AND(Suaviza=1,$A18&gt;=10,$A18&lt;=97),AVERAGE(J16:J20),J18)</f>
        <v>263.301618557147</v>
      </c>
      <c r="N18" s="44" t="n">
        <f aca="false">IF(AND(Suaviza=1,$A18&gt;=10,$A18&lt;=97),AVERAGE(K16:K20),K18)</f>
        <v>553.003163001259</v>
      </c>
      <c r="O18" s="44" t="n">
        <f aca="false">IF(AND(Suaviza=1,$A18&gt;=10,$A18&lt;=97),AVERAGE(F16:F20),F18)</f>
        <v>1106361</v>
      </c>
      <c r="P18" s="44" t="n">
        <f aca="false">IF(AND(Suaviza=1,$A18&gt;=10,$A18&lt;=97),AVERAGE(G16:G20),G18)</f>
        <v>1072540</v>
      </c>
      <c r="Q18" s="44" t="n">
        <f aca="false">IF(AND(Suaviza=1,$A18&gt;=10,$A18&lt;=97),AVERAGE(H16:H20),H18)</f>
        <v>2178901</v>
      </c>
    </row>
    <row r="19" customFormat="false" ht="15" hidden="false" customHeight="false" outlineLevel="0" collapsed="false">
      <c r="A19" s="42" t="n">
        <v>6</v>
      </c>
      <c r="B19" s="38" t="n">
        <v>261</v>
      </c>
      <c r="C19" s="38" t="n">
        <v>213</v>
      </c>
      <c r="D19" s="38" t="n">
        <v>0</v>
      </c>
      <c r="E19" s="43" t="n">
        <f aca="false">SUM(B19:D19)</f>
        <v>474</v>
      </c>
      <c r="F19" s="38" t="n">
        <v>1057642</v>
      </c>
      <c r="G19" s="38" t="n">
        <v>1037707</v>
      </c>
      <c r="H19" s="43" t="n">
        <f aca="false">F19+G19</f>
        <v>2095349</v>
      </c>
      <c r="I19" s="44" t="n">
        <f aca="false">B19*B$116</f>
        <v>263.062622356148</v>
      </c>
      <c r="J19" s="44" t="n">
        <f aca="false">C19*C$116</f>
        <v>213.244276626131</v>
      </c>
      <c r="K19" s="44" t="n">
        <f aca="false">E19*E$116</f>
        <v>476.588180477448</v>
      </c>
      <c r="L19" s="44" t="n">
        <f aca="false">IF(AND(Suaviza=1,$A19&gt;=10,$A19&lt;=97),AVERAGE(I17:I21),I19)</f>
        <v>263.062622356148</v>
      </c>
      <c r="M19" s="44" t="n">
        <f aca="false">IF(AND(Suaviza=1,$A19&gt;=10,$A19&lt;=97),AVERAGE(J17:J21),J19)</f>
        <v>213.244276626131</v>
      </c>
      <c r="N19" s="44" t="n">
        <f aca="false">IF(AND(Suaviza=1,$A19&gt;=10,$A19&lt;=97),AVERAGE(K17:K21),K19)</f>
        <v>476.588180477448</v>
      </c>
      <c r="O19" s="44" t="n">
        <f aca="false">IF(AND(Suaviza=1,$A19&gt;=10,$A19&lt;=97),AVERAGE(F17:F21),F19)</f>
        <v>1057642</v>
      </c>
      <c r="P19" s="44" t="n">
        <f aca="false">IF(AND(Suaviza=1,$A19&gt;=10,$A19&lt;=97),AVERAGE(G17:G21),G19)</f>
        <v>1037707</v>
      </c>
      <c r="Q19" s="44" t="n">
        <f aca="false">IF(AND(Suaviza=1,$A19&gt;=10,$A19&lt;=97),AVERAGE(H17:H21),H19)</f>
        <v>2095349</v>
      </c>
    </row>
    <row r="20" customFormat="false" ht="15" hidden="false" customHeight="false" outlineLevel="0" collapsed="false">
      <c r="A20" s="42" t="n">
        <v>7</v>
      </c>
      <c r="B20" s="38" t="n">
        <v>250</v>
      </c>
      <c r="C20" s="38" t="n">
        <v>240</v>
      </c>
      <c r="D20" s="38" t="n">
        <v>0</v>
      </c>
      <c r="E20" s="43" t="n">
        <f aca="false">SUM(B20:D20)</f>
        <v>490</v>
      </c>
      <c r="F20" s="38" t="n">
        <v>1087091</v>
      </c>
      <c r="G20" s="38" t="n">
        <v>1059203</v>
      </c>
      <c r="H20" s="43" t="n">
        <f aca="false">F20+G20</f>
        <v>2146294</v>
      </c>
      <c r="I20" s="44" t="n">
        <f aca="false">B20*B$116</f>
        <v>251.975691912019</v>
      </c>
      <c r="J20" s="44" t="n">
        <f aca="false">C20*C$116</f>
        <v>240.27524126888</v>
      </c>
      <c r="K20" s="44" t="n">
        <f aca="false">E20*E$116</f>
        <v>492.675545219303</v>
      </c>
      <c r="L20" s="44" t="n">
        <f aca="false">IF(AND(Suaviza=1,$A20&gt;=10,$A20&lt;=97),AVERAGE(I18:I22),I20)</f>
        <v>251.975691912019</v>
      </c>
      <c r="M20" s="44" t="n">
        <f aca="false">IF(AND(Suaviza=1,$A20&gt;=10,$A20&lt;=97),AVERAGE(J18:J22),J20)</f>
        <v>240.27524126888</v>
      </c>
      <c r="N20" s="44" t="n">
        <f aca="false">IF(AND(Suaviza=1,$A20&gt;=10,$A20&lt;=97),AVERAGE(K18:K22),K20)</f>
        <v>492.675545219303</v>
      </c>
      <c r="O20" s="44" t="n">
        <f aca="false">IF(AND(Suaviza=1,$A20&gt;=10,$A20&lt;=97),AVERAGE(F18:F22),F20)</f>
        <v>1087091</v>
      </c>
      <c r="P20" s="44" t="n">
        <f aca="false">IF(AND(Suaviza=1,$A20&gt;=10,$A20&lt;=97),AVERAGE(G18:G22),G20)</f>
        <v>1059203</v>
      </c>
      <c r="Q20" s="44" t="n">
        <f aca="false">IF(AND(Suaviza=1,$A20&gt;=10,$A20&lt;=97),AVERAGE(H18:H22),H20)</f>
        <v>2146294</v>
      </c>
    </row>
    <row r="21" customFormat="false" ht="15" hidden="false" customHeight="false" outlineLevel="0" collapsed="false">
      <c r="A21" s="42" t="n">
        <v>8</v>
      </c>
      <c r="B21" s="38" t="n">
        <v>260</v>
      </c>
      <c r="C21" s="38" t="n">
        <v>187</v>
      </c>
      <c r="D21" s="38" t="n">
        <v>0</v>
      </c>
      <c r="E21" s="43" t="n">
        <f aca="false">SUM(B21:D21)</f>
        <v>447</v>
      </c>
      <c r="F21" s="38" t="n">
        <v>1140496</v>
      </c>
      <c r="G21" s="38" t="n">
        <v>1093999</v>
      </c>
      <c r="H21" s="43" t="n">
        <f aca="false">F21+G21</f>
        <v>2234495</v>
      </c>
      <c r="I21" s="44" t="n">
        <f aca="false">B21*B$116</f>
        <v>262.0547195885</v>
      </c>
      <c r="J21" s="44" t="n">
        <f aca="false">C21*C$116</f>
        <v>187.214458822002</v>
      </c>
      <c r="K21" s="44" t="n">
        <f aca="false">E21*E$116</f>
        <v>449.440752475568</v>
      </c>
      <c r="L21" s="44" t="n">
        <f aca="false">IF(AND(Suaviza=1,$A21&gt;=10,$A21&lt;=97),AVERAGE(I19:I23),I21)</f>
        <v>262.0547195885</v>
      </c>
      <c r="M21" s="44" t="n">
        <f aca="false">IF(AND(Suaviza=1,$A21&gt;=10,$A21&lt;=97),AVERAGE(J19:J23),J21)</f>
        <v>187.214458822002</v>
      </c>
      <c r="N21" s="44" t="n">
        <f aca="false">IF(AND(Suaviza=1,$A21&gt;=10,$A21&lt;=97),AVERAGE(K19:K23),K21)</f>
        <v>449.440752475568</v>
      </c>
      <c r="O21" s="44" t="n">
        <f aca="false">IF(AND(Suaviza=1,$A21&gt;=10,$A21&lt;=97),AVERAGE(F19:F23),F21)</f>
        <v>1140496</v>
      </c>
      <c r="P21" s="44" t="n">
        <f aca="false">IF(AND(Suaviza=1,$A21&gt;=10,$A21&lt;=97),AVERAGE(G19:G23),G21)</f>
        <v>1093999</v>
      </c>
      <c r="Q21" s="44" t="n">
        <f aca="false">IF(AND(Suaviza=1,$A21&gt;=10,$A21&lt;=97),AVERAGE(H19:H23),H21)</f>
        <v>2234495</v>
      </c>
    </row>
    <row r="22" customFormat="false" ht="15" hidden="false" customHeight="false" outlineLevel="0" collapsed="false">
      <c r="A22" s="42" t="n">
        <v>9</v>
      </c>
      <c r="B22" s="38" t="n">
        <v>286</v>
      </c>
      <c r="C22" s="38" t="n">
        <v>227</v>
      </c>
      <c r="D22" s="38" t="n">
        <v>0</v>
      </c>
      <c r="E22" s="43" t="n">
        <f aca="false">SUM(B22:D22)</f>
        <v>513</v>
      </c>
      <c r="F22" s="38" t="n">
        <v>1061501</v>
      </c>
      <c r="G22" s="38" t="n">
        <v>1047839</v>
      </c>
      <c r="H22" s="43" t="n">
        <f aca="false">F22+G22</f>
        <v>2109340</v>
      </c>
      <c r="I22" s="44" t="n">
        <f aca="false">B22*B$116</f>
        <v>288.260191547349</v>
      </c>
      <c r="J22" s="44" t="n">
        <f aca="false">C22*C$116</f>
        <v>227.260332366815</v>
      </c>
      <c r="K22" s="44" t="n">
        <f aca="false">E22*E$116</f>
        <v>515.80113203572</v>
      </c>
      <c r="L22" s="44" t="n">
        <f aca="false">IF(AND(Suaviza=1,$A22&gt;=10,$A22&lt;=97),AVERAGE(I20:I24),I22)</f>
        <v>288.260191547349</v>
      </c>
      <c r="M22" s="44" t="n">
        <f aca="false">IF(AND(Suaviza=1,$A22&gt;=10,$A22&lt;=97),AVERAGE(J20:J24),J22)</f>
        <v>227.260332366815</v>
      </c>
      <c r="N22" s="44" t="n">
        <f aca="false">IF(AND(Suaviza=1,$A22&gt;=10,$A22&lt;=97),AVERAGE(K20:K24),K22)</f>
        <v>515.80113203572</v>
      </c>
      <c r="O22" s="44" t="n">
        <f aca="false">IF(AND(Suaviza=1,$A22&gt;=10,$A22&lt;=97),AVERAGE(F20:F24),F22)</f>
        <v>1061501</v>
      </c>
      <c r="P22" s="44" t="n">
        <f aca="false">IF(AND(Suaviza=1,$A22&gt;=10,$A22&lt;=97),AVERAGE(G20:G24),G22)</f>
        <v>1047839</v>
      </c>
      <c r="Q22" s="44" t="n">
        <f aca="false">IF(AND(Suaviza=1,$A22&gt;=10,$A22&lt;=97),AVERAGE(H20:H24),H22)</f>
        <v>2109340</v>
      </c>
    </row>
    <row r="23" customFormat="false" ht="15" hidden="false" customHeight="false" outlineLevel="0" collapsed="false">
      <c r="A23" s="42" t="n">
        <v>10</v>
      </c>
      <c r="B23" s="38" t="n">
        <v>307</v>
      </c>
      <c r="C23" s="38" t="n">
        <v>224</v>
      </c>
      <c r="D23" s="38" t="n">
        <v>0</v>
      </c>
      <c r="E23" s="43" t="n">
        <f aca="false">SUM(B23:D23)</f>
        <v>531</v>
      </c>
      <c r="F23" s="38" t="n">
        <v>1174026</v>
      </c>
      <c r="G23" s="38" t="n">
        <v>1125241</v>
      </c>
      <c r="H23" s="43" t="n">
        <f aca="false">F23+G23</f>
        <v>2299267</v>
      </c>
      <c r="I23" s="44" t="n">
        <f aca="false">B23*B$116</f>
        <v>309.426149667959</v>
      </c>
      <c r="J23" s="44" t="n">
        <f aca="false">C23*C$116</f>
        <v>224.256891850954</v>
      </c>
      <c r="K23" s="44" t="n">
        <f aca="false">E23*E$116</f>
        <v>533.899417370306</v>
      </c>
      <c r="L23" s="44" t="n">
        <f aca="false">IF(AND(Suaviza=1,$A23&gt;=10,$A23&lt;=97),AVERAGE(I21:I25),I23)</f>
        <v>296.928155349123</v>
      </c>
      <c r="M23" s="44" t="n">
        <f aca="false">IF(AND(Suaviza=1,$A23&gt;=10,$A23&lt;=97),AVERAGE(J21:J25),J23)</f>
        <v>218.65046955468</v>
      </c>
      <c r="N23" s="44" t="n">
        <f aca="false">IF(AND(Suaviza=1,$A23&gt;=10,$A23&lt;=97),AVERAGE(K21:K25),K23)</f>
        <v>515.801132035719</v>
      </c>
      <c r="O23" s="44" t="n">
        <f aca="false">IF(AND(Suaviza=1,$A23&gt;=10,$A23&lt;=97),AVERAGE(F21:F25),F23)</f>
        <v>1117771.4</v>
      </c>
      <c r="P23" s="44" t="n">
        <f aca="false">IF(AND(Suaviza=1,$A23&gt;=10,$A23&lt;=97),AVERAGE(G21:G25),G23)</f>
        <v>1081056.8</v>
      </c>
      <c r="Q23" s="44" t="n">
        <f aca="false">IF(AND(Suaviza=1,$A23&gt;=10,$A23&lt;=97),AVERAGE(H21:H25),H23)</f>
        <v>2198828.2</v>
      </c>
    </row>
    <row r="24" customFormat="false" ht="15" hidden="false" customHeight="false" outlineLevel="0" collapsed="false">
      <c r="A24" s="42" t="n">
        <v>11</v>
      </c>
      <c r="B24" s="38" t="n">
        <v>292</v>
      </c>
      <c r="C24" s="38" t="n">
        <v>188</v>
      </c>
      <c r="D24" s="38" t="n">
        <v>0</v>
      </c>
      <c r="E24" s="43" t="n">
        <f aca="false">SUM(B24:D24)</f>
        <v>480</v>
      </c>
      <c r="F24" s="38" t="n">
        <v>1066706</v>
      </c>
      <c r="G24" s="38" t="n">
        <v>1034766</v>
      </c>
      <c r="H24" s="43" t="n">
        <f aca="false">F24+G24</f>
        <v>2101472</v>
      </c>
      <c r="I24" s="44" t="n">
        <f aca="false">B24*B$116</f>
        <v>294.307608153238</v>
      </c>
      <c r="J24" s="44" t="n">
        <f aca="false">C24*C$116</f>
        <v>188.215605660622</v>
      </c>
      <c r="K24" s="44" t="n">
        <f aca="false">E24*E$116</f>
        <v>482.620942255644</v>
      </c>
      <c r="L24" s="44" t="n">
        <f aca="false">IF(AND(Suaviza=1,$A24&gt;=10,$A24&lt;=97),AVERAGE(I22:I26),I24)</f>
        <v>325.552593950328</v>
      </c>
      <c r="M24" s="44" t="n">
        <f aca="false">IF(AND(Suaviza=1,$A24&gt;=10,$A24&lt;=97),AVERAGE(J22:J26),J24)</f>
        <v>239.474323797983</v>
      </c>
      <c r="N24" s="44" t="n">
        <f aca="false">IF(AND(Suaviza=1,$A24&gt;=10,$A24&lt;=97),AVERAGE(K22:K26),K24)</f>
        <v>565.269778616923</v>
      </c>
      <c r="O24" s="44" t="n">
        <f aca="false">IF(AND(Suaviza=1,$A24&gt;=10,$A24&lt;=97),AVERAGE(F22:F26),F24)</f>
        <v>1106134</v>
      </c>
      <c r="P24" s="44" t="n">
        <f aca="false">IF(AND(Suaviza=1,$A24&gt;=10,$A24&lt;=97),AVERAGE(G22:G26),G24)</f>
        <v>1073923.4</v>
      </c>
      <c r="Q24" s="44" t="n">
        <f aca="false">IF(AND(Suaviza=1,$A24&gt;=10,$A24&lt;=97),AVERAGE(H22:H26),H24)</f>
        <v>2180057.4</v>
      </c>
    </row>
    <row r="25" customFormat="false" ht="15" hidden="false" customHeight="false" outlineLevel="0" collapsed="false">
      <c r="A25" s="42" t="n">
        <v>12</v>
      </c>
      <c r="B25" s="38" t="n">
        <v>328</v>
      </c>
      <c r="C25" s="38" t="n">
        <v>266</v>
      </c>
      <c r="D25" s="38" t="n">
        <v>0</v>
      </c>
      <c r="E25" s="43" t="n">
        <f aca="false">SUM(B25:D25)</f>
        <v>594</v>
      </c>
      <c r="F25" s="38" t="n">
        <v>1146128</v>
      </c>
      <c r="G25" s="38" t="n">
        <v>1103439</v>
      </c>
      <c r="H25" s="43" t="n">
        <f aca="false">F25+G25</f>
        <v>2249567</v>
      </c>
      <c r="I25" s="44" t="n">
        <f aca="false">B25*B$116</f>
        <v>330.592107788569</v>
      </c>
      <c r="J25" s="44" t="n">
        <f aca="false">C25*C$116</f>
        <v>266.305059073008</v>
      </c>
      <c r="K25" s="44" t="n">
        <f aca="false">E25*E$116</f>
        <v>597.243416041359</v>
      </c>
      <c r="L25" s="44" t="n">
        <f aca="false">IF(AND(Suaviza=1,$A25&gt;=10,$A25&lt;=97),AVERAGE(I23:I27),I25)</f>
        <v>376.149312886262</v>
      </c>
      <c r="M25" s="44" t="n">
        <f aca="false">IF(AND(Suaviza=1,$A25&gt;=10,$A25&lt;=97),AVERAGE(J23:J27),J25)</f>
        <v>257.294737525425</v>
      </c>
      <c r="N25" s="44" t="n">
        <f aca="false">IF(AND(Suaviza=1,$A25&gt;=10,$A25&lt;=97),AVERAGE(K23:K27),K25)</f>
        <v>633.641078769806</v>
      </c>
      <c r="O25" s="44" t="n">
        <f aca="false">IF(AND(Suaviza=1,$A25&gt;=10,$A25&lt;=97),AVERAGE(F23:F27),F25)</f>
        <v>1110852</v>
      </c>
      <c r="P25" s="44" t="n">
        <f aca="false">IF(AND(Suaviza=1,$A25&gt;=10,$A25&lt;=97),AVERAGE(G23:G27),G25)</f>
        <v>1077856</v>
      </c>
      <c r="Q25" s="44" t="n">
        <f aca="false">IF(AND(Suaviza=1,$A25&gt;=10,$A25&lt;=97),AVERAGE(H23:H27),H25)</f>
        <v>2188708</v>
      </c>
    </row>
    <row r="26" customFormat="false" ht="15" hidden="false" customHeight="false" outlineLevel="0" collapsed="false">
      <c r="A26" s="42" t="n">
        <v>13</v>
      </c>
      <c r="B26" s="38" t="n">
        <v>402</v>
      </c>
      <c r="C26" s="38" t="n">
        <v>291</v>
      </c>
      <c r="D26" s="38" t="n">
        <v>0</v>
      </c>
      <c r="E26" s="43" t="n">
        <f aca="false">SUM(B26:D26)</f>
        <v>693</v>
      </c>
      <c r="F26" s="38" t="n">
        <v>1082309</v>
      </c>
      <c r="G26" s="38" t="n">
        <v>1058332</v>
      </c>
      <c r="H26" s="43" t="n">
        <f aca="false">F26+G26</f>
        <v>2140641</v>
      </c>
      <c r="I26" s="44" t="n">
        <f aca="false">B26*B$116</f>
        <v>405.176912594526</v>
      </c>
      <c r="J26" s="44" t="n">
        <f aca="false">C26*C$116</f>
        <v>291.333730038517</v>
      </c>
      <c r="K26" s="44" t="n">
        <f aca="false">E26*E$116</f>
        <v>696.783985381586</v>
      </c>
      <c r="L26" s="44" t="n">
        <f aca="false">IF(AND(Suaviza=1,$A26&gt;=10,$A26&lt;=97),AVERAGE(I24:I28),I26)</f>
        <v>467.465303635177</v>
      </c>
      <c r="M26" s="44" t="n">
        <f aca="false">IF(AND(Suaviza=1,$A26&gt;=10,$A26&lt;=97),AVERAGE(J24:J28),J26)</f>
        <v>292.334876877137</v>
      </c>
      <c r="N26" s="44" t="n">
        <f aca="false">IF(AND(Suaviza=1,$A26&gt;=10,$A26&lt;=97),AVERAGE(K24:K28),K26)</f>
        <v>759.926891993366</v>
      </c>
      <c r="O26" s="44" t="n">
        <f aca="false">IF(AND(Suaviza=1,$A26&gt;=10,$A26&lt;=97),AVERAGE(F24:F28),F26)</f>
        <v>1098674</v>
      </c>
      <c r="P26" s="44" t="n">
        <f aca="false">IF(AND(Suaviza=1,$A26&gt;=10,$A26&lt;=97),AVERAGE(G24:G28),G26)</f>
        <v>1068939.4</v>
      </c>
      <c r="Q26" s="44" t="n">
        <f aca="false">IF(AND(Suaviza=1,$A26&gt;=10,$A26&lt;=97),AVERAGE(H24:H28),H26)</f>
        <v>2167613.4</v>
      </c>
    </row>
    <row r="27" customFormat="false" ht="15" hidden="false" customHeight="false" outlineLevel="0" collapsed="false">
      <c r="A27" s="42" t="n">
        <v>14</v>
      </c>
      <c r="B27" s="38" t="n">
        <v>537</v>
      </c>
      <c r="C27" s="38" t="n">
        <v>316</v>
      </c>
      <c r="D27" s="38" t="n">
        <v>0</v>
      </c>
      <c r="E27" s="43" t="n">
        <f aca="false">SUM(B27:D27)</f>
        <v>853</v>
      </c>
      <c r="F27" s="38" t="n">
        <v>1085091</v>
      </c>
      <c r="G27" s="38" t="n">
        <v>1067502</v>
      </c>
      <c r="H27" s="43" t="n">
        <f aca="false">F27+G27</f>
        <v>2152593</v>
      </c>
      <c r="I27" s="44" t="n">
        <f aca="false">B27*B$116</f>
        <v>541.243786227016</v>
      </c>
      <c r="J27" s="44" t="n">
        <f aca="false">C27*C$116</f>
        <v>316.362401004025</v>
      </c>
      <c r="K27" s="44" t="n">
        <f aca="false">E27*E$116</f>
        <v>857.657632800134</v>
      </c>
      <c r="L27" s="44" t="n">
        <f aca="false">IF(AND(Suaviza=1,$A27&gt;=10,$A27&lt;=97),AVERAGE(I25:I29),I27)</f>
        <v>616.836493800622</v>
      </c>
      <c r="M27" s="44" t="n">
        <f aca="false">IF(AND(Suaviza=1,$A27&gt;=10,$A27&lt;=97),AVERAGE(J25:J29),J27)</f>
        <v>348.999787943048</v>
      </c>
      <c r="N27" s="44" t="n">
        <f aca="false">IF(AND(Suaviza=1,$A27&gt;=10,$A27&lt;=97),AVERAGE(K25:K29),K27)</f>
        <v>965.845160689107</v>
      </c>
      <c r="O27" s="44" t="n">
        <f aca="false">IF(AND(Suaviza=1,$A27&gt;=10,$A27&lt;=97),AVERAGE(F25:F29),F27)</f>
        <v>1096222.4</v>
      </c>
      <c r="P27" s="44" t="n">
        <f aca="false">IF(AND(Suaviza=1,$A27&gt;=10,$A27&lt;=97),AVERAGE(G25:G29),G27)</f>
        <v>1068393.4</v>
      </c>
      <c r="Q27" s="44" t="n">
        <f aca="false">IF(AND(Suaviza=1,$A27&gt;=10,$A27&lt;=97),AVERAGE(H25:H29),H27)</f>
        <v>2164615.8</v>
      </c>
    </row>
    <row r="28" customFormat="false" ht="15" hidden="false" customHeight="false" outlineLevel="0" collapsed="false">
      <c r="A28" s="42" t="n">
        <v>15</v>
      </c>
      <c r="B28" s="38" t="n">
        <v>760</v>
      </c>
      <c r="C28" s="38" t="n">
        <v>399</v>
      </c>
      <c r="D28" s="38" t="n">
        <v>0</v>
      </c>
      <c r="E28" s="43" t="n">
        <f aca="false">SUM(B28:D28)</f>
        <v>1159</v>
      </c>
      <c r="F28" s="38" t="n">
        <v>1113136</v>
      </c>
      <c r="G28" s="38" t="n">
        <v>1080658</v>
      </c>
      <c r="H28" s="43" t="n">
        <f aca="false">F28+G28</f>
        <v>2193794</v>
      </c>
      <c r="I28" s="44" t="n">
        <f aca="false">B28*B$116</f>
        <v>766.006103412537</v>
      </c>
      <c r="J28" s="44" t="n">
        <f aca="false">C28*C$116</f>
        <v>399.457588609512</v>
      </c>
      <c r="K28" s="44" t="n">
        <f aca="false">E28*E$116</f>
        <v>1165.32848348811</v>
      </c>
      <c r="L28" s="44" t="n">
        <f aca="false">IF(AND(Suaviza=1,$A28&gt;=10,$A28&lt;=97),AVERAGE(I26:I30),I28)</f>
        <v>808.942761314345</v>
      </c>
      <c r="M28" s="44" t="n">
        <f aca="false">IF(AND(Suaviza=1,$A28&gt;=10,$A28&lt;=97),AVERAGE(J26:J30),J28)</f>
        <v>397.255065564548</v>
      </c>
      <c r="N28" s="44" t="n">
        <f aca="false">IF(AND(Suaviza=1,$A28&gt;=10,$A28&lt;=97),AVERAGE(K26:K30),K28)</f>
        <v>1205.94907946129</v>
      </c>
      <c r="O28" s="44" t="n">
        <f aca="false">IF(AND(Suaviza=1,$A28&gt;=10,$A28&lt;=97),AVERAGE(F26:F30),F28)</f>
        <v>1091588</v>
      </c>
      <c r="P28" s="44" t="n">
        <f aca="false">IF(AND(Suaviza=1,$A28&gt;=10,$A28&lt;=97),AVERAGE(G26:G30),G28)</f>
        <v>1065593.6</v>
      </c>
      <c r="Q28" s="44" t="n">
        <f aca="false">IF(AND(Suaviza=1,$A28&gt;=10,$A28&lt;=97),AVERAGE(H26:H30),H28)</f>
        <v>2157181.6</v>
      </c>
    </row>
    <row r="29" customFormat="false" ht="15" hidden="false" customHeight="false" outlineLevel="0" collapsed="false">
      <c r="A29" s="42" t="n">
        <v>16</v>
      </c>
      <c r="B29" s="38" t="n">
        <v>1033</v>
      </c>
      <c r="C29" s="38" t="n">
        <v>471</v>
      </c>
      <c r="D29" s="38" t="n">
        <v>0</v>
      </c>
      <c r="E29" s="43" t="n">
        <f aca="false">SUM(B29:D29)</f>
        <v>1504</v>
      </c>
      <c r="F29" s="38" t="n">
        <v>1054448</v>
      </c>
      <c r="G29" s="38" t="n">
        <v>1032036</v>
      </c>
      <c r="H29" s="43" t="n">
        <f aca="false">F29+G29</f>
        <v>2086484</v>
      </c>
      <c r="I29" s="44" t="n">
        <f aca="false">B29*B$116</f>
        <v>1041.16355898046</v>
      </c>
      <c r="J29" s="44" t="n">
        <f aca="false">C29*C$116</f>
        <v>471.540160990176</v>
      </c>
      <c r="K29" s="44" t="n">
        <f aca="false">E29*E$116</f>
        <v>1512.21228573435</v>
      </c>
      <c r="L29" s="44" t="n">
        <f aca="false">IF(AND(Suaviza=1,$A29&gt;=10,$A29&lt;=97),AVERAGE(I27:I31),I29)</f>
        <v>1060.91845322636</v>
      </c>
      <c r="M29" s="44" t="n">
        <f aca="false">IF(AND(Suaviza=1,$A29&gt;=10,$A29&lt;=97),AVERAGE(J27:J31),J29)</f>
        <v>445.910801921496</v>
      </c>
      <c r="N29" s="44" t="n">
        <f aca="false">IF(AND(Suaviza=1,$A29&gt;=10,$A29&lt;=97),AVERAGE(K27:K31),K29)</f>
        <v>1506.17952395616</v>
      </c>
      <c r="O29" s="44" t="n">
        <f aca="false">IF(AND(Suaviza=1,$A29&gt;=10,$A29&lt;=97),AVERAGE(F27:F31),F29)</f>
        <v>1109664.8</v>
      </c>
      <c r="P29" s="44" t="n">
        <f aca="false">IF(AND(Suaviza=1,$A29&gt;=10,$A29&lt;=97),AVERAGE(G27:G31),G29)</f>
        <v>1080923.6</v>
      </c>
      <c r="Q29" s="44" t="n">
        <f aca="false">IF(AND(Suaviza=1,$A29&gt;=10,$A29&lt;=97),AVERAGE(H27:H31),H29)</f>
        <v>2190588.4</v>
      </c>
    </row>
    <row r="30" customFormat="false" ht="15" hidden="false" customHeight="false" outlineLevel="0" collapsed="false">
      <c r="A30" s="42" t="n">
        <v>17</v>
      </c>
      <c r="B30" s="38" t="n">
        <v>1281</v>
      </c>
      <c r="C30" s="38" t="n">
        <v>507</v>
      </c>
      <c r="D30" s="38" t="n">
        <v>0</v>
      </c>
      <c r="E30" s="43" t="n">
        <f aca="false">SUM(B30:D30)</f>
        <v>1788</v>
      </c>
      <c r="F30" s="38" t="n">
        <v>1122956</v>
      </c>
      <c r="G30" s="38" t="n">
        <v>1089440</v>
      </c>
      <c r="H30" s="43" t="n">
        <f aca="false">F30+G30</f>
        <v>2212396</v>
      </c>
      <c r="I30" s="44" t="n">
        <f aca="false">B30*B$116</f>
        <v>1291.12344535718</v>
      </c>
      <c r="J30" s="44" t="n">
        <f aca="false">C30*C$116</f>
        <v>507.581447180508</v>
      </c>
      <c r="K30" s="44" t="n">
        <f aca="false">E30*E$116</f>
        <v>1797.76300990227</v>
      </c>
      <c r="L30" s="44" t="n">
        <f aca="false">IF(AND(Suaviza=1,$A30&gt;=10,$A30&lt;=97),AVERAGE(I28:I32),I30)</f>
        <v>1314.90995067368</v>
      </c>
      <c r="M30" s="44" t="n">
        <f aca="false">IF(AND(Suaviza=1,$A30&gt;=10,$A30&lt;=97),AVERAGE(J28:J32),J30)</f>
        <v>502.575712987406</v>
      </c>
      <c r="N30" s="44" t="n">
        <f aca="false">IF(AND(Suaviza=1,$A30&gt;=10,$A30&lt;=97),AVERAGE(K28:K32),K30)</f>
        <v>1816.46457141468</v>
      </c>
      <c r="O30" s="44" t="n">
        <f aca="false">IF(AND(Suaviza=1,$A30&gt;=10,$A30&lt;=97),AVERAGE(F28:F32),F30)</f>
        <v>1092430</v>
      </c>
      <c r="P30" s="44" t="n">
        <f aca="false">IF(AND(Suaviza=1,$A30&gt;=10,$A30&lt;=97),AVERAGE(G28:G32),G30)</f>
        <v>1068908</v>
      </c>
      <c r="Q30" s="44" t="n">
        <f aca="false">IF(AND(Suaviza=1,$A30&gt;=10,$A30&lt;=97),AVERAGE(H28:H32),H30)</f>
        <v>2161338</v>
      </c>
    </row>
    <row r="31" customFormat="false" ht="15" hidden="false" customHeight="false" outlineLevel="0" collapsed="false">
      <c r="A31" s="42" t="n">
        <v>18</v>
      </c>
      <c r="B31" s="38" t="n">
        <v>1652</v>
      </c>
      <c r="C31" s="38" t="n">
        <v>534</v>
      </c>
      <c r="D31" s="38" t="n">
        <v>0</v>
      </c>
      <c r="E31" s="43" t="n">
        <f aca="false">SUM(B31:D31)</f>
        <v>2186</v>
      </c>
      <c r="F31" s="38" t="n">
        <v>1172693</v>
      </c>
      <c r="G31" s="38" t="n">
        <v>1134982</v>
      </c>
      <c r="H31" s="43" t="n">
        <f aca="false">F31+G31</f>
        <v>2307675</v>
      </c>
      <c r="I31" s="44" t="n">
        <f aca="false">B31*B$116</f>
        <v>1665.05537215462</v>
      </c>
      <c r="J31" s="44" t="n">
        <f aca="false">C31*C$116</f>
        <v>534.612411823257</v>
      </c>
      <c r="K31" s="44" t="n">
        <f aca="false">E31*E$116</f>
        <v>2197.93620785591</v>
      </c>
      <c r="L31" s="44" t="n">
        <f aca="false">IF(AND(Suaviza=1,$A31&gt;=10,$A31&lt;=97),AVERAGE(I29:I33),I31)</f>
        <v>1592.68795343749</v>
      </c>
      <c r="M31" s="44" t="n">
        <f aca="false">IF(AND(Suaviza=1,$A31&gt;=10,$A31&lt;=97),AVERAGE(J29:J33),J31)</f>
        <v>542.821815899944</v>
      </c>
      <c r="N31" s="44" t="n">
        <f aca="false">IF(AND(Suaviza=1,$A31&gt;=10,$A31&lt;=97),AVERAGE(K29:K33),K31)</f>
        <v>2134.39111712559</v>
      </c>
      <c r="O31" s="44" t="n">
        <f aca="false">IF(AND(Suaviza=1,$A31&gt;=10,$A31&lt;=97),AVERAGE(F29:F33),F31)</f>
        <v>1099049.2</v>
      </c>
      <c r="P31" s="44" t="n">
        <f aca="false">IF(AND(Suaviza=1,$A31&gt;=10,$A31&lt;=97),AVERAGE(G29:G33),G31)</f>
        <v>1085097</v>
      </c>
      <c r="Q31" s="44" t="n">
        <f aca="false">IF(AND(Suaviza=1,$A31&gt;=10,$A31&lt;=97),AVERAGE(H29:H33),H31)</f>
        <v>2184146.2</v>
      </c>
    </row>
    <row r="32" customFormat="false" ht="15" hidden="false" customHeight="false" outlineLevel="0" collapsed="false">
      <c r="A32" s="42" t="n">
        <v>19</v>
      </c>
      <c r="B32" s="38" t="n">
        <v>1797</v>
      </c>
      <c r="C32" s="38" t="n">
        <v>599</v>
      </c>
      <c r="D32" s="38" t="n">
        <v>0</v>
      </c>
      <c r="E32" s="43" t="n">
        <f aca="false">SUM(B32:D32)</f>
        <v>2396</v>
      </c>
      <c r="F32" s="38" t="n">
        <v>998917</v>
      </c>
      <c r="G32" s="38" t="n">
        <v>1007424</v>
      </c>
      <c r="H32" s="43" t="n">
        <f aca="false">F32+G32</f>
        <v>2006341</v>
      </c>
      <c r="I32" s="44" t="n">
        <f aca="false">B32*B$116</f>
        <v>1811.20127346359</v>
      </c>
      <c r="J32" s="44" t="n">
        <f aca="false">C32*C$116</f>
        <v>599.686956333579</v>
      </c>
      <c r="K32" s="44" t="n">
        <f aca="false">E32*E$116</f>
        <v>2409.08287009276</v>
      </c>
      <c r="L32" s="44" t="n">
        <f aca="false">IF(AND(Suaviza=1,$A32&gt;=10,$A32&lt;=97),AVERAGE(I30:I34),I32)</f>
        <v>1838.21306763656</v>
      </c>
      <c r="M32" s="44" t="n">
        <f aca="false">IF(AND(Suaviza=1,$A32&gt;=10,$A32&lt;=97),AVERAGE(J30:J34),J32)</f>
        <v>568.851633704072</v>
      </c>
      <c r="N32" s="44" t="n">
        <f aca="false">IF(AND(Suaviza=1,$A32&gt;=10,$A32&lt;=97),AVERAGE(K30:K34),K32)</f>
        <v>2405.46321302584</v>
      </c>
      <c r="O32" s="44" t="n">
        <f aca="false">IF(AND(Suaviza=1,$A32&gt;=10,$A32&lt;=97),AVERAGE(F30:F34),F32)</f>
        <v>1079606.8</v>
      </c>
      <c r="P32" s="44" t="n">
        <f aca="false">IF(AND(Suaviza=1,$A32&gt;=10,$A32&lt;=97),AVERAGE(G30:G34),G32)</f>
        <v>1070752.6</v>
      </c>
      <c r="Q32" s="44" t="n">
        <f aca="false">IF(AND(Suaviza=1,$A32&gt;=10,$A32&lt;=97),AVERAGE(H30:H34),H32)</f>
        <v>2150359.4</v>
      </c>
    </row>
    <row r="33" customFormat="false" ht="15" hidden="false" customHeight="false" outlineLevel="0" collapsed="false">
      <c r="A33" s="42" t="n">
        <v>20</v>
      </c>
      <c r="B33" s="38" t="n">
        <v>2138</v>
      </c>
      <c r="C33" s="38" t="n">
        <v>600</v>
      </c>
      <c r="D33" s="38" t="n">
        <v>2</v>
      </c>
      <c r="E33" s="43" t="n">
        <f aca="false">SUM(B33:D33)</f>
        <v>2740</v>
      </c>
      <c r="F33" s="38" t="n">
        <v>1146232</v>
      </c>
      <c r="G33" s="38" t="n">
        <v>1161603</v>
      </c>
      <c r="H33" s="43" t="n">
        <f aca="false">F33+G33</f>
        <v>2307835</v>
      </c>
      <c r="I33" s="44" t="n">
        <f aca="false">B33*B$116</f>
        <v>2154.89611723158</v>
      </c>
      <c r="J33" s="44" t="n">
        <f aca="false">C33*C$116</f>
        <v>600.688103172199</v>
      </c>
      <c r="K33" s="44" t="n">
        <f aca="false">E33*E$116</f>
        <v>2754.96121204263</v>
      </c>
      <c r="L33" s="44" t="n">
        <f aca="false">IF(AND(Suaviza=1,$A33&gt;=10,$A33&lt;=97),AVERAGE(I31:I35),I33)</f>
        <v>2048.46158496795</v>
      </c>
      <c r="M33" s="44" t="n">
        <f aca="false">IF(AND(Suaviza=1,$A33&gt;=10,$A33&lt;=97),AVERAGE(J31:J35),J33)</f>
        <v>586.872276799238</v>
      </c>
      <c r="N33" s="44" t="n">
        <f aca="false">IF(AND(Suaviza=1,$A33&gt;=10,$A33&lt;=97),AVERAGE(K31:K35),K33)</f>
        <v>2633.30051618236</v>
      </c>
      <c r="O33" s="44" t="n">
        <f aca="false">IF(AND(Suaviza=1,$A33&gt;=10,$A33&lt;=97),AVERAGE(F31:F35),F33)</f>
        <v>1067384.8</v>
      </c>
      <c r="P33" s="44" t="n">
        <f aca="false">IF(AND(Suaviza=1,$A33&gt;=10,$A33&lt;=97),AVERAGE(G31:G35),G33)</f>
        <v>1066277.6</v>
      </c>
      <c r="Q33" s="44" t="n">
        <f aca="false">IF(AND(Suaviza=1,$A33&gt;=10,$A33&lt;=97),AVERAGE(H31:H35),H33)</f>
        <v>2133662.4</v>
      </c>
    </row>
    <row r="34" customFormat="false" ht="15" hidden="false" customHeight="false" outlineLevel="0" collapsed="false">
      <c r="A34" s="42" t="n">
        <v>21</v>
      </c>
      <c r="B34" s="38" t="n">
        <v>2251</v>
      </c>
      <c r="C34" s="38" t="n">
        <v>601</v>
      </c>
      <c r="D34" s="38" t="n">
        <v>0</v>
      </c>
      <c r="E34" s="43" t="n">
        <f aca="false">SUM(B34:D34)</f>
        <v>2852</v>
      </c>
      <c r="F34" s="38" t="n">
        <v>957236</v>
      </c>
      <c r="G34" s="38" t="n">
        <v>960314</v>
      </c>
      <c r="H34" s="43" t="n">
        <f aca="false">F34+G34</f>
        <v>1917550</v>
      </c>
      <c r="I34" s="44" t="n">
        <f aca="false">B34*B$116</f>
        <v>2268.78912997582</v>
      </c>
      <c r="J34" s="44" t="n">
        <f aca="false">C34*C$116</f>
        <v>601.689250010819</v>
      </c>
      <c r="K34" s="44" t="n">
        <f aca="false">E34*E$116</f>
        <v>2867.57276523562</v>
      </c>
      <c r="L34" s="44" t="n">
        <f aca="false">IF(AND(Suaviza=1,$A34&gt;=10,$A34&lt;=97),AVERAGE(I32:I36),I34)</f>
        <v>2230.28724425166</v>
      </c>
      <c r="M34" s="44" t="n">
        <f aca="false">IF(AND(Suaviza=1,$A34&gt;=10,$A34&lt;=97),AVERAGE(J32:J36),J34)</f>
        <v>614.904388280608</v>
      </c>
      <c r="N34" s="44" t="n">
        <f aca="false">IF(AND(Suaviza=1,$A34&gt;=10,$A34&lt;=97),AVERAGE(K32:K36),K34)</f>
        <v>2842.83844194502</v>
      </c>
      <c r="O34" s="44" t="n">
        <f aca="false">IF(AND(Suaviza=1,$A34&gt;=10,$A34&lt;=97),AVERAGE(F32:F36),F34)</f>
        <v>1033868.6</v>
      </c>
      <c r="P34" s="44" t="n">
        <f aca="false">IF(AND(Suaviza=1,$A34&gt;=10,$A34&lt;=97),AVERAGE(G32:G36),G34)</f>
        <v>1045075.4</v>
      </c>
      <c r="Q34" s="44" t="n">
        <f aca="false">IF(AND(Suaviza=1,$A34&gt;=10,$A34&lt;=97),AVERAGE(H32:H36),H34)</f>
        <v>2078944</v>
      </c>
    </row>
    <row r="35" customFormat="false" ht="15" hidden="false" customHeight="false" outlineLevel="0" collapsed="false">
      <c r="A35" s="42" t="n">
        <v>22</v>
      </c>
      <c r="B35" s="38" t="n">
        <v>2324</v>
      </c>
      <c r="C35" s="38" t="n">
        <v>597</v>
      </c>
      <c r="D35" s="38" t="n">
        <v>0</v>
      </c>
      <c r="E35" s="43" t="n">
        <f aca="false">SUM(B35:D35)</f>
        <v>2921</v>
      </c>
      <c r="F35" s="38" t="n">
        <v>1061846</v>
      </c>
      <c r="G35" s="38" t="n">
        <v>1067065</v>
      </c>
      <c r="H35" s="43" t="n">
        <f aca="false">F35+G35</f>
        <v>2128911</v>
      </c>
      <c r="I35" s="44" t="n">
        <f aca="false">B35*B$116</f>
        <v>2342.36603201413</v>
      </c>
      <c r="J35" s="44" t="n">
        <f aca="false">C35*C$116</f>
        <v>597.684662656338</v>
      </c>
      <c r="K35" s="44" t="n">
        <f aca="false">E35*E$116</f>
        <v>2936.94952568487</v>
      </c>
      <c r="L35" s="44" t="n">
        <f aca="false">IF(AND(Suaviza=1,$A35&gt;=10,$A35&lt;=97),AVERAGE(I33:I37),I35)</f>
        <v>2380.06159552416</v>
      </c>
      <c r="M35" s="44" t="n">
        <f aca="false">IF(AND(Suaviza=1,$A35&gt;=10,$A35&lt;=97),AVERAGE(J33:J37),J35)</f>
        <v>638.731683039772</v>
      </c>
      <c r="N35" s="44" t="n">
        <f aca="false">IF(AND(Suaviza=1,$A35&gt;=10,$A35&lt;=97),AVERAGE(K33:K37),K35)</f>
        <v>3016.1797970385</v>
      </c>
      <c r="O35" s="44" t="n">
        <f aca="false">IF(AND(Suaviza=1,$A35&gt;=10,$A35&lt;=97),AVERAGE(F33:F37),F35)</f>
        <v>1033176.8</v>
      </c>
      <c r="P35" s="44" t="n">
        <f aca="false">IF(AND(Suaviza=1,$A35&gt;=10,$A35&lt;=97),AVERAGE(G33:G37),G35)</f>
        <v>1051242.2</v>
      </c>
      <c r="Q35" s="44" t="n">
        <f aca="false">IF(AND(Suaviza=1,$A35&gt;=10,$A35&lt;=97),AVERAGE(H33:H37),H35)</f>
        <v>2084419</v>
      </c>
    </row>
    <row r="36" customFormat="false" ht="15" hidden="false" customHeight="false" outlineLevel="0" collapsed="false">
      <c r="A36" s="42" t="n">
        <v>23</v>
      </c>
      <c r="B36" s="38" t="n">
        <v>2554</v>
      </c>
      <c r="C36" s="38" t="n">
        <v>674</v>
      </c>
      <c r="D36" s="38" t="n">
        <v>0</v>
      </c>
      <c r="E36" s="43" t="n">
        <f aca="false">SUM(B36:D36)</f>
        <v>3228</v>
      </c>
      <c r="F36" s="38" t="n">
        <v>1005112</v>
      </c>
      <c r="G36" s="38" t="n">
        <v>1028971</v>
      </c>
      <c r="H36" s="43" t="n">
        <f aca="false">F36+G36</f>
        <v>2034083</v>
      </c>
      <c r="I36" s="44" t="n">
        <f aca="false">B36*B$116</f>
        <v>2574.18366857318</v>
      </c>
      <c r="J36" s="44" t="n">
        <f aca="false">C36*C$116</f>
        <v>674.772969230103</v>
      </c>
      <c r="K36" s="44" t="n">
        <f aca="false">E36*E$116</f>
        <v>3245.62583666921</v>
      </c>
      <c r="L36" s="44" t="n">
        <f aca="false">IF(AND(Suaviza=1,$A36&gt;=10,$A36&lt;=97),AVERAGE(I34:I38),I36)</f>
        <v>2526.40907738666</v>
      </c>
      <c r="M36" s="44" t="n">
        <f aca="false">IF(AND(Suaviza=1,$A36&gt;=10,$A36&lt;=97),AVERAGE(J34:J38),J36)</f>
        <v>662.358748431211</v>
      </c>
      <c r="N36" s="44" t="n">
        <f aca="false">IF(AND(Suaviza=1,$A36&gt;=10,$A36&lt;=97),AVERAGE(K34:K38),K36)</f>
        <v>3185.7004030058</v>
      </c>
      <c r="O36" s="44" t="n">
        <f aca="false">IF(AND(Suaviza=1,$A36&gt;=10,$A36&lt;=97),AVERAGE(F34:F38),F36)</f>
        <v>1016685.4</v>
      </c>
      <c r="P36" s="44" t="n">
        <f aca="false">IF(AND(Suaviza=1,$A36&gt;=10,$A36&lt;=97),AVERAGE(G34:G38),G36)</f>
        <v>1041969.8</v>
      </c>
      <c r="Q36" s="44" t="n">
        <f aca="false">IF(AND(Suaviza=1,$A36&gt;=10,$A36&lt;=97),AVERAGE(H34:H38),H36)</f>
        <v>2058655.2</v>
      </c>
    </row>
    <row r="37" customFormat="false" ht="15" hidden="false" customHeight="false" outlineLevel="0" collapsed="false">
      <c r="A37" s="42" t="n">
        <v>24</v>
      </c>
      <c r="B37" s="38" t="n">
        <v>2540</v>
      </c>
      <c r="C37" s="38" t="n">
        <v>718</v>
      </c>
      <c r="D37" s="38" t="n">
        <v>0</v>
      </c>
      <c r="E37" s="43" t="n">
        <f aca="false">SUM(B37:D37)</f>
        <v>3258</v>
      </c>
      <c r="F37" s="38" t="n">
        <v>995458</v>
      </c>
      <c r="G37" s="38" t="n">
        <v>1038258</v>
      </c>
      <c r="H37" s="43" t="n">
        <f aca="false">F37+G37</f>
        <v>2033716</v>
      </c>
      <c r="I37" s="44" t="n">
        <f aca="false">B37*B$116</f>
        <v>2560.07302982611</v>
      </c>
      <c r="J37" s="44" t="n">
        <f aca="false">C37*C$116</f>
        <v>718.823430129398</v>
      </c>
      <c r="K37" s="44" t="n">
        <f aca="false">E37*E$116</f>
        <v>3275.78964556018</v>
      </c>
      <c r="L37" s="44" t="n">
        <f aca="false">IF(AND(Suaviza=1,$A37&gt;=10,$A37&lt;=97),AVERAGE(I35:I39),I37)</f>
        <v>2626.19145138382</v>
      </c>
      <c r="M37" s="44" t="n">
        <f aca="false">IF(AND(Suaviza=1,$A37&gt;=10,$A37&lt;=97),AVERAGE(J35:J39),J37)</f>
        <v>683.583061409962</v>
      </c>
      <c r="N37" s="44" t="n">
        <f aca="false">IF(AND(Suaviza=1,$A37&gt;=10,$A37&lt;=97),AVERAGE(K35:K39),K37)</f>
        <v>3306.55673062898</v>
      </c>
      <c r="O37" s="44" t="n">
        <f aca="false">IF(AND(Suaviza=1,$A37&gt;=10,$A37&lt;=97),AVERAGE(F35:F39),F37)</f>
        <v>1016070.8</v>
      </c>
      <c r="P37" s="44" t="n">
        <f aca="false">IF(AND(Suaviza=1,$A37&gt;=10,$A37&lt;=97),AVERAGE(G35:G39),G37)</f>
        <v>1054368.6</v>
      </c>
      <c r="Q37" s="44" t="n">
        <f aca="false">IF(AND(Suaviza=1,$A37&gt;=10,$A37&lt;=97),AVERAGE(H35:H39),H37)</f>
        <v>2070439.4</v>
      </c>
    </row>
    <row r="38" customFormat="false" ht="15" hidden="false" customHeight="false" outlineLevel="0" collapsed="false">
      <c r="A38" s="42" t="n">
        <v>25</v>
      </c>
      <c r="B38" s="38" t="n">
        <v>2864</v>
      </c>
      <c r="C38" s="38" t="n">
        <v>718</v>
      </c>
      <c r="D38" s="38" t="n">
        <v>1</v>
      </c>
      <c r="E38" s="43" t="n">
        <f aca="false">SUM(B38:D38)</f>
        <v>3583</v>
      </c>
      <c r="F38" s="38" t="n">
        <v>1063775</v>
      </c>
      <c r="G38" s="38" t="n">
        <v>1115241</v>
      </c>
      <c r="H38" s="43" t="n">
        <f aca="false">F38+G38</f>
        <v>2179016</v>
      </c>
      <c r="I38" s="44" t="n">
        <f aca="false">B38*B$116</f>
        <v>2886.63352654409</v>
      </c>
      <c r="J38" s="44" t="n">
        <f aca="false">C38*C$116</f>
        <v>718.823430129398</v>
      </c>
      <c r="K38" s="44" t="n">
        <f aca="false">E38*E$116</f>
        <v>3602.56424187911</v>
      </c>
      <c r="L38" s="44" t="n">
        <f aca="false">IF(AND(Suaviza=1,$A38&gt;=10,$A38&lt;=97),AVERAGE(I36:I40),I38)</f>
        <v>2735.24653084335</v>
      </c>
      <c r="M38" s="44" t="n">
        <f aca="false">IF(AND(Suaviza=1,$A38&gt;=10,$A38&lt;=97),AVERAGE(J36:J40),J38)</f>
        <v>723.628934954776</v>
      </c>
      <c r="N38" s="44" t="n">
        <f aca="false">IF(AND(Suaviza=1,$A38&gt;=10,$A38&lt;=97),AVERAGE(K36:K40),K38)</f>
        <v>3455.56594655041</v>
      </c>
      <c r="O38" s="44" t="n">
        <f aca="false">IF(AND(Suaviza=1,$A38&gt;=10,$A38&lt;=97),AVERAGE(F36:F40),F38)</f>
        <v>994717.8</v>
      </c>
      <c r="P38" s="44" t="n">
        <f aca="false">IF(AND(Suaviza=1,$A38&gt;=10,$A38&lt;=97),AVERAGE(G36:G40),G38)</f>
        <v>1040868.6</v>
      </c>
      <c r="Q38" s="44" t="n">
        <f aca="false">IF(AND(Suaviza=1,$A38&gt;=10,$A38&lt;=97),AVERAGE(H36:H40),H38)</f>
        <v>2035586.4</v>
      </c>
    </row>
    <row r="39" customFormat="false" ht="15" hidden="false" customHeight="false" outlineLevel="0" collapsed="false">
      <c r="A39" s="42" t="n">
        <v>26</v>
      </c>
      <c r="B39" s="38" t="n">
        <v>2746</v>
      </c>
      <c r="C39" s="38" t="n">
        <v>707</v>
      </c>
      <c r="D39" s="38" t="n">
        <v>0</v>
      </c>
      <c r="E39" s="43" t="n">
        <f aca="false">SUM(B39:D39)</f>
        <v>3453</v>
      </c>
      <c r="F39" s="38" t="n">
        <v>954163</v>
      </c>
      <c r="G39" s="38" t="n">
        <v>1022308</v>
      </c>
      <c r="H39" s="43" t="n">
        <f aca="false">F39+G39</f>
        <v>1976471</v>
      </c>
      <c r="I39" s="44" t="n">
        <f aca="false">B39*B$116</f>
        <v>2767.70099996161</v>
      </c>
      <c r="J39" s="44" t="n">
        <f aca="false">C39*C$116</f>
        <v>707.810814904574</v>
      </c>
      <c r="K39" s="44" t="n">
        <f aca="false">E39*E$116</f>
        <v>3471.85440335154</v>
      </c>
      <c r="L39" s="44" t="n">
        <f aca="false">IF(AND(Suaviza=1,$A39&gt;=10,$A39&lt;=97),AVERAGE(I37:I41),I39)</f>
        <v>2795.92227745576</v>
      </c>
      <c r="M39" s="44" t="n">
        <f aca="false">IF(AND(Suaviza=1,$A39&gt;=10,$A39&lt;=97),AVERAGE(J37:J41),J39)</f>
        <v>749.058064655732</v>
      </c>
      <c r="N39" s="44" t="n">
        <f aca="false">IF(AND(Suaviza=1,$A39&gt;=10,$A39&lt;=97),AVERAGE(K37:K41),K39)</f>
        <v>3541.83443997861</v>
      </c>
      <c r="O39" s="44" t="n">
        <f aca="false">IF(AND(Suaviza=1,$A39&gt;=10,$A39&lt;=97),AVERAGE(F37:F41),F39)</f>
        <v>994033.8</v>
      </c>
      <c r="P39" s="44" t="n">
        <f aca="false">IF(AND(Suaviza=1,$A39&gt;=10,$A39&lt;=97),AVERAGE(G37:G41),G39)</f>
        <v>1043644</v>
      </c>
      <c r="Q39" s="44" t="n">
        <f aca="false">IF(AND(Suaviza=1,$A39&gt;=10,$A39&lt;=97),AVERAGE(H37:H41),H39)</f>
        <v>2037677.8</v>
      </c>
    </row>
    <row r="40" customFormat="false" ht="15" hidden="false" customHeight="false" outlineLevel="0" collapsed="false">
      <c r="A40" s="42" t="n">
        <v>27</v>
      </c>
      <c r="B40" s="38" t="n">
        <v>2865</v>
      </c>
      <c r="C40" s="38" t="n">
        <v>797</v>
      </c>
      <c r="D40" s="38" t="n">
        <v>0</v>
      </c>
      <c r="E40" s="43" t="n">
        <f aca="false">SUM(B40:D40)</f>
        <v>3662</v>
      </c>
      <c r="F40" s="38" t="n">
        <v>955081</v>
      </c>
      <c r="G40" s="38" t="n">
        <v>999565</v>
      </c>
      <c r="H40" s="43" t="n">
        <f aca="false">F40+G40</f>
        <v>1954646</v>
      </c>
      <c r="I40" s="44" t="n">
        <f aca="false">B40*B$116</f>
        <v>2887.64142931173</v>
      </c>
      <c r="J40" s="44" t="n">
        <f aca="false">C40*C$116</f>
        <v>797.914030380404</v>
      </c>
      <c r="K40" s="44" t="n">
        <f aca="false">E40*E$116</f>
        <v>3681.99560529202</v>
      </c>
      <c r="L40" s="44" t="n">
        <f aca="false">IF(AND(Suaviza=1,$A40&gt;=10,$A40&lt;=97),AVERAGE(I38:I42),I40)</f>
        <v>2855.388540747</v>
      </c>
      <c r="M40" s="44" t="n">
        <f aca="false">IF(AND(Suaviza=1,$A40&gt;=10,$A40&lt;=97),AVERAGE(J38:J42),J40)</f>
        <v>756.867009996971</v>
      </c>
      <c r="N40" s="44" t="n">
        <f aca="false">IF(AND(Suaviza=1,$A40&gt;=10,$A40&lt;=97),AVERAGE(K38:K42),K40)</f>
        <v>3608.99918777585</v>
      </c>
      <c r="O40" s="44" t="n">
        <f aca="false">IF(AND(Suaviza=1,$A40&gt;=10,$A40&lt;=97),AVERAGE(F38:F42),F40)</f>
        <v>972280.8</v>
      </c>
      <c r="P40" s="44" t="n">
        <f aca="false">IF(AND(Suaviza=1,$A40&gt;=10,$A40&lt;=97),AVERAGE(G38:G42),G40)</f>
        <v>1026319.4</v>
      </c>
      <c r="Q40" s="44" t="n">
        <f aca="false">IF(AND(Suaviza=1,$A40&gt;=10,$A40&lt;=97),AVERAGE(H38:H42),H40)</f>
        <v>1998600.2</v>
      </c>
    </row>
    <row r="41" customFormat="false" ht="15" hidden="false" customHeight="false" outlineLevel="0" collapsed="false">
      <c r="A41" s="42" t="n">
        <v>28</v>
      </c>
      <c r="B41" s="38" t="n">
        <v>2855</v>
      </c>
      <c r="C41" s="38" t="n">
        <v>801</v>
      </c>
      <c r="D41" s="38" t="n">
        <v>1</v>
      </c>
      <c r="E41" s="43" t="n">
        <f aca="false">SUM(B41:D41)</f>
        <v>3657</v>
      </c>
      <c r="F41" s="38" t="n">
        <v>1001692</v>
      </c>
      <c r="G41" s="38" t="n">
        <v>1042848</v>
      </c>
      <c r="H41" s="43" t="n">
        <f aca="false">F41+G41</f>
        <v>2044540</v>
      </c>
      <c r="I41" s="44" t="n">
        <f aca="false">B41*B$116</f>
        <v>2877.56240163525</v>
      </c>
      <c r="J41" s="44" t="n">
        <f aca="false">C41*C$116</f>
        <v>801.918617734886</v>
      </c>
      <c r="K41" s="44" t="n">
        <f aca="false">E41*E$116</f>
        <v>3676.96830381019</v>
      </c>
      <c r="L41" s="44" t="n">
        <f aca="false">IF(AND(Suaviza=1,$A41&gt;=10,$A41&lt;=97),AVERAGE(I39:I43),I41)</f>
        <v>2883.40823768761</v>
      </c>
      <c r="M41" s="44" t="n">
        <f aca="false">IF(AND(Suaviza=1,$A41&gt;=10,$A41&lt;=97),AVERAGE(J39:J43),J41)</f>
        <v>784.098204007444</v>
      </c>
      <c r="N41" s="44" t="n">
        <f aca="false">IF(AND(Suaviza=1,$A41&gt;=10,$A41&lt;=97),AVERAGE(K39:K43),K41)</f>
        <v>3664.29950407598</v>
      </c>
      <c r="O41" s="44" t="n">
        <f aca="false">IF(AND(Suaviza=1,$A41&gt;=10,$A41&lt;=97),AVERAGE(F39:F43),F41)</f>
        <v>989128.8</v>
      </c>
      <c r="P41" s="44" t="n">
        <f aca="false">IF(AND(Suaviza=1,$A41&gt;=10,$A41&lt;=97),AVERAGE(G39:G43),G41)</f>
        <v>1046931.8</v>
      </c>
      <c r="Q41" s="44" t="n">
        <f aca="false">IF(AND(Suaviza=1,$A41&gt;=10,$A41&lt;=97),AVERAGE(H39:H43),H41)</f>
        <v>2036060.6</v>
      </c>
    </row>
    <row r="42" customFormat="false" ht="15" hidden="false" customHeight="false" outlineLevel="0" collapsed="false">
      <c r="A42" s="42" t="n">
        <v>29</v>
      </c>
      <c r="B42" s="38" t="n">
        <v>2835</v>
      </c>
      <c r="C42" s="38" t="n">
        <v>757</v>
      </c>
      <c r="D42" s="38" t="n">
        <v>0</v>
      </c>
      <c r="E42" s="43" t="n">
        <f aca="false">SUM(B42:D42)</f>
        <v>3592</v>
      </c>
      <c r="F42" s="38" t="n">
        <v>886693</v>
      </c>
      <c r="G42" s="38" t="n">
        <v>951635</v>
      </c>
      <c r="H42" s="43" t="n">
        <f aca="false">F42+G42</f>
        <v>1838328</v>
      </c>
      <c r="I42" s="44" t="n">
        <f aca="false">B42*B$116</f>
        <v>2857.40434628229</v>
      </c>
      <c r="J42" s="44" t="n">
        <f aca="false">C42*C$116</f>
        <v>757.868156835591</v>
      </c>
      <c r="K42" s="44" t="n">
        <f aca="false">E42*E$116</f>
        <v>3611.6133845464</v>
      </c>
      <c r="L42" s="44" t="n">
        <f aca="false">IF(AND(Suaviza=1,$A42&gt;=10,$A42&lt;=97),AVERAGE(I40:I44),I42)</f>
        <v>2890.46355706115</v>
      </c>
      <c r="M42" s="44" t="n">
        <f aca="false">IF(AND(Suaviza=1,$A42&gt;=10,$A42&lt;=97),AVERAGE(J40:J44),J42)</f>
        <v>809.327104340676</v>
      </c>
      <c r="N42" s="44" t="n">
        <f aca="false">IF(AND(Suaviza=1,$A42&gt;=10,$A42&lt;=97),AVERAGE(K40:K44),K42)</f>
        <v>3696.67532561896</v>
      </c>
      <c r="O42" s="44" t="n">
        <f aca="false">IF(AND(Suaviza=1,$A42&gt;=10,$A42&lt;=97),AVERAGE(F40:F44),F42)</f>
        <v>945150.6</v>
      </c>
      <c r="P42" s="44" t="n">
        <f aca="false">IF(AND(Suaviza=1,$A42&gt;=10,$A42&lt;=97),AVERAGE(G40:G44),G42)</f>
        <v>1003896.6</v>
      </c>
      <c r="Q42" s="44" t="n">
        <f aca="false">IF(AND(Suaviza=1,$A42&gt;=10,$A42&lt;=97),AVERAGE(H40:H44),H42)</f>
        <v>1949047.2</v>
      </c>
    </row>
    <row r="43" customFormat="false" ht="15" hidden="false" customHeight="false" outlineLevel="0" collapsed="false">
      <c r="A43" s="42" t="n">
        <v>30</v>
      </c>
      <c r="B43" s="38" t="n">
        <v>3003</v>
      </c>
      <c r="C43" s="38" t="n">
        <v>854</v>
      </c>
      <c r="D43" s="38" t="n">
        <v>1</v>
      </c>
      <c r="E43" s="43" t="n">
        <f aca="false">SUM(B43:D43)</f>
        <v>3858</v>
      </c>
      <c r="F43" s="38" t="n">
        <v>1148015</v>
      </c>
      <c r="G43" s="38" t="n">
        <v>1218303</v>
      </c>
      <c r="H43" s="43" t="n">
        <f aca="false">F43+G43</f>
        <v>2366318</v>
      </c>
      <c r="I43" s="44" t="n">
        <f aca="false">B43*B$116</f>
        <v>3026.73201124717</v>
      </c>
      <c r="J43" s="44" t="n">
        <f aca="false">C43*C$116</f>
        <v>854.979400181763</v>
      </c>
      <c r="K43" s="44" t="n">
        <f aca="false">E43*E$116</f>
        <v>3879.06582337974</v>
      </c>
      <c r="L43" s="44" t="n">
        <f aca="false">IF(AND(Suaviza=1,$A43&gt;=10,$A43&lt;=97),AVERAGE(I41:I45),I43)</f>
        <v>2874.13553222525</v>
      </c>
      <c r="M43" s="44" t="n">
        <f aca="false">IF(AND(Suaviza=1,$A43&gt;=10,$A43&lt;=97),AVERAGE(J41:J45),J43)</f>
        <v>819.338572726879</v>
      </c>
      <c r="N43" s="44" t="n">
        <f aca="false">IF(AND(Suaviza=1,$A43&gt;=10,$A43&lt;=97),AVERAGE(K41:K45),K43)</f>
        <v>3690.44147178149</v>
      </c>
      <c r="O43" s="44" t="n">
        <f aca="false">IF(AND(Suaviza=1,$A43&gt;=10,$A43&lt;=97),AVERAGE(F41:F45),F43)</f>
        <v>946123.8</v>
      </c>
      <c r="P43" s="44" t="n">
        <f aca="false">IF(AND(Suaviza=1,$A43&gt;=10,$A43&lt;=97),AVERAGE(G41:G45),G43)</f>
        <v>1011552</v>
      </c>
      <c r="Q43" s="44" t="n">
        <f aca="false">IF(AND(Suaviza=1,$A43&gt;=10,$A43&lt;=97),AVERAGE(H41:H45),H43)</f>
        <v>1957675.8</v>
      </c>
    </row>
    <row r="44" customFormat="false" ht="15" hidden="false" customHeight="false" outlineLevel="0" collapsed="false">
      <c r="A44" s="42" t="n">
        <v>31</v>
      </c>
      <c r="B44" s="38" t="n">
        <v>2781</v>
      </c>
      <c r="C44" s="38" t="n">
        <v>833</v>
      </c>
      <c r="D44" s="38" t="n">
        <v>0</v>
      </c>
      <c r="E44" s="43" t="n">
        <f aca="false">SUM(B44:D44)</f>
        <v>3614</v>
      </c>
      <c r="F44" s="38" t="n">
        <v>734272</v>
      </c>
      <c r="G44" s="38" t="n">
        <v>807132</v>
      </c>
      <c r="H44" s="43" t="n">
        <f aca="false">F44+G44</f>
        <v>1541404</v>
      </c>
      <c r="I44" s="44" t="n">
        <f aca="false">B44*B$116</f>
        <v>2802.9775968293</v>
      </c>
      <c r="J44" s="44" t="n">
        <f aca="false">C44*C$116</f>
        <v>833.955316570736</v>
      </c>
      <c r="K44" s="44" t="n">
        <f aca="false">E44*E$116</f>
        <v>3633.73351106645</v>
      </c>
      <c r="L44" s="44" t="n">
        <f aca="false">IF(AND(Suaviza=1,$A44&gt;=10,$A44&lt;=97),AVERAGE(I42:I46),I44)</f>
        <v>2866.47547119113</v>
      </c>
      <c r="M44" s="44" t="n">
        <f aca="false">IF(AND(Suaviza=1,$A44&gt;=10,$A44&lt;=97),AVERAGE(J42:J46),J44)</f>
        <v>848.772289782317</v>
      </c>
      <c r="N44" s="44" t="n">
        <f aca="false">IF(AND(Suaviza=1,$A44&gt;=10,$A44&lt;=97),AVERAGE(K42:K46),K44)</f>
        <v>3712.15941418299</v>
      </c>
      <c r="O44" s="44" t="n">
        <f aca="false">IF(AND(Suaviza=1,$A44&gt;=10,$A44&lt;=97),AVERAGE(F42:F46),F44)</f>
        <v>915622.8</v>
      </c>
      <c r="P44" s="44" t="n">
        <f aca="false">IF(AND(Suaviza=1,$A44&gt;=10,$A44&lt;=97),AVERAGE(G42:G46),G44)</f>
        <v>988561</v>
      </c>
      <c r="Q44" s="44" t="n">
        <f aca="false">IF(AND(Suaviza=1,$A44&gt;=10,$A44&lt;=97),AVERAGE(H42:H46),H44)</f>
        <v>1904183.8</v>
      </c>
    </row>
    <row r="45" customFormat="false" ht="15" hidden="false" customHeight="false" outlineLevel="0" collapsed="false">
      <c r="A45" s="42" t="n">
        <v>32</v>
      </c>
      <c r="B45" s="38" t="n">
        <v>2784</v>
      </c>
      <c r="C45" s="38" t="n">
        <v>847</v>
      </c>
      <c r="D45" s="38" t="n">
        <v>0</v>
      </c>
      <c r="E45" s="43" t="n">
        <f aca="false">SUM(B45:D45)</f>
        <v>3631</v>
      </c>
      <c r="F45" s="38" t="n">
        <v>959947</v>
      </c>
      <c r="G45" s="38" t="n">
        <v>1037842</v>
      </c>
      <c r="H45" s="43" t="n">
        <f aca="false">F45+G45</f>
        <v>1997789</v>
      </c>
      <c r="I45" s="44" t="n">
        <f aca="false">B45*B$116</f>
        <v>2806.00130513224</v>
      </c>
      <c r="J45" s="44" t="n">
        <f aca="false">C45*C$116</f>
        <v>847.971372311421</v>
      </c>
      <c r="K45" s="44" t="n">
        <f aca="false">E45*E$116</f>
        <v>3650.82633610467</v>
      </c>
      <c r="L45" s="44" t="n">
        <f aca="false">IF(AND(Suaviza=1,$A45&gt;=10,$A45&lt;=97),AVERAGE(I43:I47),I45)</f>
        <v>2870.91024336878</v>
      </c>
      <c r="M45" s="44" t="n">
        <f aca="false">IF(AND(Suaviza=1,$A45&gt;=10,$A45&lt;=97),AVERAGE(J43:J47),J45)</f>
        <v>879.407383044099</v>
      </c>
      <c r="N45" s="44" t="n">
        <f aca="false">IF(AND(Suaviza=1,$A45&gt;=10,$A45&lt;=97),AVERAGE(K43:K47),K45)</f>
        <v>3747.3505245558</v>
      </c>
      <c r="O45" s="44" t="n">
        <f aca="false">IF(AND(Suaviza=1,$A45&gt;=10,$A45&lt;=97),AVERAGE(F43:F47),F45)</f>
        <v>905545.2</v>
      </c>
      <c r="P45" s="44" t="n">
        <f aca="false">IF(AND(Suaviza=1,$A45&gt;=10,$A45&lt;=97),AVERAGE(G43:G47),G45)</f>
        <v>978620.2</v>
      </c>
      <c r="Q45" s="44" t="n">
        <f aca="false">IF(AND(Suaviza=1,$A45&gt;=10,$A45&lt;=97),AVERAGE(H43:H47),H45)</f>
        <v>1884165.4</v>
      </c>
    </row>
    <row r="46" customFormat="false" ht="15" hidden="false" customHeight="false" outlineLevel="0" collapsed="false">
      <c r="A46" s="42" t="n">
        <v>33</v>
      </c>
      <c r="B46" s="38" t="n">
        <v>2817</v>
      </c>
      <c r="C46" s="38" t="n">
        <v>948</v>
      </c>
      <c r="D46" s="38" t="n">
        <v>0</v>
      </c>
      <c r="E46" s="43" t="n">
        <f aca="false">SUM(B46:D46)</f>
        <v>3765</v>
      </c>
      <c r="F46" s="38" t="n">
        <v>849187</v>
      </c>
      <c r="G46" s="38" t="n">
        <v>927893</v>
      </c>
      <c r="H46" s="43" t="n">
        <f aca="false">F46+G46</f>
        <v>1777080</v>
      </c>
      <c r="I46" s="44" t="n">
        <f aca="false">B46*B$116</f>
        <v>2839.26209646463</v>
      </c>
      <c r="J46" s="44" t="n">
        <f aca="false">C46*C$116</f>
        <v>949.087203012074</v>
      </c>
      <c r="K46" s="44" t="n">
        <f aca="false">E46*E$116</f>
        <v>3785.55801581771</v>
      </c>
      <c r="L46" s="44" t="n">
        <f aca="false">IF(AND(Suaviza=1,$A46&gt;=10,$A46&lt;=97),AVERAGE(I44:I48),I46)</f>
        <v>2900.54258473763</v>
      </c>
      <c r="M46" s="44" t="n">
        <f aca="false">IF(AND(Suaviza=1,$A46&gt;=10,$A46&lt;=97),AVERAGE(J44:J48),J46)</f>
        <v>912.845687454018</v>
      </c>
      <c r="N46" s="44" t="n">
        <f aca="false">IF(AND(Suaviza=1,$A46&gt;=10,$A46&lt;=97),AVERAGE(K44:K48),K46)</f>
        <v>3810.49343116758</v>
      </c>
      <c r="O46" s="44" t="n">
        <f aca="false">IF(AND(Suaviza=1,$A46&gt;=10,$A46&lt;=97),AVERAGE(F44:F48),F46)</f>
        <v>869191.4</v>
      </c>
      <c r="P46" s="44" t="n">
        <f aca="false">IF(AND(Suaviza=1,$A46&gt;=10,$A46&lt;=97),AVERAGE(G44:G48),G46)</f>
        <v>942345.6</v>
      </c>
      <c r="Q46" s="44" t="n">
        <f aca="false">IF(AND(Suaviza=1,$A46&gt;=10,$A46&lt;=97),AVERAGE(H44:H48),H46)</f>
        <v>1811537</v>
      </c>
    </row>
    <row r="47" customFormat="false" ht="15" hidden="false" customHeight="false" outlineLevel="0" collapsed="false">
      <c r="A47" s="42" t="n">
        <v>34</v>
      </c>
      <c r="B47" s="38" t="n">
        <v>2857</v>
      </c>
      <c r="C47" s="38" t="n">
        <v>910</v>
      </c>
      <c r="D47" s="38" t="n">
        <v>0</v>
      </c>
      <c r="E47" s="43" t="n">
        <f aca="false">SUM(B47:D47)</f>
        <v>3767</v>
      </c>
      <c r="F47" s="38" t="n">
        <v>836305</v>
      </c>
      <c r="G47" s="38" t="n">
        <v>901931</v>
      </c>
      <c r="H47" s="43" t="n">
        <f aca="false">F47+G47</f>
        <v>1738236</v>
      </c>
      <c r="I47" s="44" t="n">
        <f aca="false">B47*B$116</f>
        <v>2879.57820717055</v>
      </c>
      <c r="J47" s="44" t="n">
        <f aca="false">C47*C$116</f>
        <v>911.043623144502</v>
      </c>
      <c r="K47" s="44" t="n">
        <f aca="false">E47*E$116</f>
        <v>3787.56893641044</v>
      </c>
      <c r="L47" s="44" t="n">
        <f aca="false">IF(AND(Suaviza=1,$A47&gt;=10,$A47&lt;=97),AVERAGE(I45:I49),I47)</f>
        <v>2920.70064009059</v>
      </c>
      <c r="M47" s="44" t="n">
        <f aca="false">IF(AND(Suaviza=1,$A47&gt;=10,$A47&lt;=97),AVERAGE(J45:J49),J47)</f>
        <v>955.29431341152</v>
      </c>
      <c r="N47" s="44" t="n">
        <f aca="false">IF(AND(Suaviza=1,$A47&gt;=10,$A47&lt;=97),AVERAGE(K45:K49),K47)</f>
        <v>3873.23415366082</v>
      </c>
      <c r="O47" s="44" t="n">
        <f aca="false">IF(AND(Suaviza=1,$A47&gt;=10,$A47&lt;=97),AVERAGE(F45:F49),F47)</f>
        <v>896532</v>
      </c>
      <c r="P47" s="44" t="n">
        <f aca="false">IF(AND(Suaviza=1,$A47&gt;=10,$A47&lt;=97),AVERAGE(G45:G49),G47)</f>
        <v>972395.4</v>
      </c>
      <c r="Q47" s="44" t="n">
        <f aca="false">IF(AND(Suaviza=1,$A47&gt;=10,$A47&lt;=97),AVERAGE(H45:H49),H47)</f>
        <v>1868927.4</v>
      </c>
    </row>
    <row r="48" customFormat="false" ht="15" hidden="false" customHeight="false" outlineLevel="0" collapsed="false">
      <c r="A48" s="42" t="n">
        <v>35</v>
      </c>
      <c r="B48" s="38" t="n">
        <v>3150</v>
      </c>
      <c r="C48" s="38" t="n">
        <v>1021</v>
      </c>
      <c r="D48" s="38" t="n">
        <v>1</v>
      </c>
      <c r="E48" s="43" t="n">
        <f aca="false">SUM(B48:D48)</f>
        <v>4172</v>
      </c>
      <c r="F48" s="38" t="n">
        <v>966246</v>
      </c>
      <c r="G48" s="38" t="n">
        <v>1036930</v>
      </c>
      <c r="H48" s="43" t="n">
        <f aca="false">F48+G48</f>
        <v>2003176</v>
      </c>
      <c r="I48" s="44" t="n">
        <f aca="false">B48*B$116</f>
        <v>3174.89371809144</v>
      </c>
      <c r="J48" s="44" t="n">
        <f aca="false">C48*C$116</f>
        <v>1022.17092223136</v>
      </c>
      <c r="K48" s="44" t="n">
        <f aca="false">E48*E$116</f>
        <v>4194.78035643864</v>
      </c>
      <c r="L48" s="44" t="n">
        <f aca="false">IF(AND(Suaviza=1,$A48&gt;=10,$A48&lt;=97),AVERAGE(I46:I50),I48)</f>
        <v>2984.40009500595</v>
      </c>
      <c r="M48" s="44" t="n">
        <f aca="false">IF(AND(Suaviza=1,$A48&gt;=10,$A48&lt;=97),AVERAGE(J46:J50),J48)</f>
        <v>1004.35050850392</v>
      </c>
      <c r="N48" s="44" t="n">
        <f aca="false">IF(AND(Suaviza=1,$A48&gt;=10,$A48&lt;=97),AVERAGE(K46:K50),K48)</f>
        <v>3986.04679891307</v>
      </c>
      <c r="O48" s="44" t="n">
        <f aca="false">IF(AND(Suaviza=1,$A48&gt;=10,$A48&lt;=97),AVERAGE(F46:F50),F48)</f>
        <v>858141.8</v>
      </c>
      <c r="P48" s="44" t="n">
        <f aca="false">IF(AND(Suaviza=1,$A48&gt;=10,$A48&lt;=97),AVERAGE(G46:G50),G48)</f>
        <v>931398</v>
      </c>
      <c r="Q48" s="44" t="n">
        <f aca="false">IF(AND(Suaviza=1,$A48&gt;=10,$A48&lt;=97),AVERAGE(H46:H50),H48)</f>
        <v>1789539.8</v>
      </c>
    </row>
    <row r="49" customFormat="false" ht="15" hidden="false" customHeight="false" outlineLevel="0" collapsed="false">
      <c r="A49" s="42" t="n">
        <v>36</v>
      </c>
      <c r="B49" s="38" t="n">
        <v>2881</v>
      </c>
      <c r="C49" s="38" t="n">
        <v>1045</v>
      </c>
      <c r="D49" s="38" t="n">
        <v>0</v>
      </c>
      <c r="E49" s="43" t="n">
        <f aca="false">SUM(B49:D49)</f>
        <v>3926</v>
      </c>
      <c r="F49" s="38" t="n">
        <v>870975</v>
      </c>
      <c r="G49" s="38" t="n">
        <v>957381</v>
      </c>
      <c r="H49" s="43" t="n">
        <f aca="false">F49+G49</f>
        <v>1828356</v>
      </c>
      <c r="I49" s="44" t="n">
        <f aca="false">B49*B$116</f>
        <v>2903.7678735941</v>
      </c>
      <c r="J49" s="44" t="n">
        <f aca="false">C49*C$116</f>
        <v>1046.19844635825</v>
      </c>
      <c r="K49" s="44" t="n">
        <f aca="false">E49*E$116</f>
        <v>3947.43712353262</v>
      </c>
      <c r="L49" s="44" t="n">
        <f aca="false">IF(AND(Suaviza=1,$A49&gt;=10,$A49&lt;=97),AVERAGE(I47:I51),I49)</f>
        <v>3030.76362231776</v>
      </c>
      <c r="M49" s="44" t="n">
        <f aca="false">IF(AND(Suaviza=1,$A49&gt;=10,$A49&lt;=97),AVERAGE(J47:J51),J49)</f>
        <v>1050.8037218159</v>
      </c>
      <c r="N49" s="44" t="n">
        <f aca="false">IF(AND(Suaviza=1,$A49&gt;=10,$A49&lt;=97),AVERAGE(K47:K51),K49)</f>
        <v>4079.15242235656</v>
      </c>
      <c r="O49" s="44" t="n">
        <f aca="false">IF(AND(Suaviza=1,$A49&gt;=10,$A49&lt;=97),AVERAGE(F47:F51),F49)</f>
        <v>876669.2</v>
      </c>
      <c r="P49" s="44" t="n">
        <f aca="false">IF(AND(Suaviza=1,$A49&gt;=10,$A49&lt;=97),AVERAGE(G47:G51),G49)</f>
        <v>945864.4</v>
      </c>
      <c r="Q49" s="44" t="n">
        <f aca="false">IF(AND(Suaviza=1,$A49&gt;=10,$A49&lt;=97),AVERAGE(H47:H51),H49)</f>
        <v>1822533.6</v>
      </c>
    </row>
    <row r="50" customFormat="false" ht="15" hidden="false" customHeight="false" outlineLevel="0" collapsed="false">
      <c r="A50" s="42" t="n">
        <v>37</v>
      </c>
      <c r="B50" s="38" t="n">
        <v>3100</v>
      </c>
      <c r="C50" s="38" t="n">
        <v>1092</v>
      </c>
      <c r="D50" s="38" t="n">
        <v>0</v>
      </c>
      <c r="E50" s="43" t="n">
        <f aca="false">SUM(B50:D50)</f>
        <v>4192</v>
      </c>
      <c r="F50" s="38" t="n">
        <v>767996</v>
      </c>
      <c r="G50" s="38" t="n">
        <v>832855</v>
      </c>
      <c r="H50" s="43" t="n">
        <f aca="false">F50+G50</f>
        <v>1600851</v>
      </c>
      <c r="I50" s="44" t="n">
        <f aca="false">B50*B$116</f>
        <v>3124.49857970903</v>
      </c>
      <c r="J50" s="44" t="n">
        <f aca="false">C50*C$116</f>
        <v>1093.2523477734</v>
      </c>
      <c r="K50" s="44" t="n">
        <f aca="false">E50*E$116</f>
        <v>4214.88956236596</v>
      </c>
      <c r="L50" s="44" t="n">
        <f aca="false">IF(AND(Suaviza=1,$A50&gt;=10,$A50&lt;=97),AVERAGE(I48:I52),I50)</f>
        <v>3087.60933841311</v>
      </c>
      <c r="M50" s="44" t="n">
        <f aca="false">IF(AND(Suaviza=1,$A50&gt;=10,$A50&lt;=97),AVERAGE(J48:J52),J50)</f>
        <v>1125.28904660925</v>
      </c>
      <c r="N50" s="44" t="n">
        <f aca="false">IF(AND(Suaviza=1,$A50&gt;=10,$A50&lt;=97),AVERAGE(K48:K52),K50)</f>
        <v>4210.66662912122</v>
      </c>
      <c r="O50" s="44" t="n">
        <f aca="false">IF(AND(Suaviza=1,$A50&gt;=10,$A50&lt;=97),AVERAGE(F48:F52),F50)</f>
        <v>866306</v>
      </c>
      <c r="P50" s="44" t="n">
        <f aca="false">IF(AND(Suaviza=1,$A50&gt;=10,$A50&lt;=97),AVERAGE(G48:G52),G50)</f>
        <v>937749.2</v>
      </c>
      <c r="Q50" s="44" t="n">
        <f aca="false">IF(AND(Suaviza=1,$A50&gt;=10,$A50&lt;=97),AVERAGE(H48:H52),H50)</f>
        <v>1804055.2</v>
      </c>
    </row>
    <row r="51" customFormat="false" ht="15" hidden="false" customHeight="false" outlineLevel="0" collapsed="false">
      <c r="A51" s="42" t="n">
        <v>38</v>
      </c>
      <c r="B51" s="38" t="n">
        <v>3047</v>
      </c>
      <c r="C51" s="38" t="n">
        <v>1180</v>
      </c>
      <c r="D51" s="38" t="n">
        <v>1</v>
      </c>
      <c r="E51" s="43" t="n">
        <f aca="false">SUM(B51:D51)</f>
        <v>4228</v>
      </c>
      <c r="F51" s="38" t="n">
        <v>941824</v>
      </c>
      <c r="G51" s="38" t="n">
        <v>1000225</v>
      </c>
      <c r="H51" s="43" t="n">
        <f aca="false">F51+G51</f>
        <v>1942049</v>
      </c>
      <c r="I51" s="44" t="n">
        <f aca="false">B51*B$116</f>
        <v>3071.07973302368</v>
      </c>
      <c r="J51" s="44" t="n">
        <f aca="false">C51*C$116</f>
        <v>1181.35326957199</v>
      </c>
      <c r="K51" s="44" t="n">
        <f aca="false">E51*E$116</f>
        <v>4251.08613303513</v>
      </c>
      <c r="L51" s="44" t="n">
        <f aca="false">IF(AND(Suaviza=1,$A51&gt;=10,$A51&lt;=97),AVERAGE(I49:I53),I51)</f>
        <v>3151.30879332847</v>
      </c>
      <c r="M51" s="44" t="n">
        <f aca="false">IF(AND(Suaviza=1,$A51&gt;=10,$A51&lt;=97),AVERAGE(J49:J53),J51)</f>
        <v>1190.76404985502</v>
      </c>
      <c r="N51" s="44" t="n">
        <f aca="false">IF(AND(Suaviza=1,$A51&gt;=10,$A51&lt;=97),AVERAGE(K49:K53),K51)</f>
        <v>4340.37100735243</v>
      </c>
      <c r="O51" s="44" t="n">
        <f aca="false">IF(AND(Suaviza=1,$A51&gt;=10,$A51&lt;=97),AVERAGE(F49:F53),F51)</f>
        <v>884921.2</v>
      </c>
      <c r="P51" s="44" t="n">
        <f aca="false">IF(AND(Suaviza=1,$A51&gt;=10,$A51&lt;=97),AVERAGE(G49:G53),G51)</f>
        <v>959699.8</v>
      </c>
      <c r="Q51" s="44" t="n">
        <f aca="false">IF(AND(Suaviza=1,$A51&gt;=10,$A51&lt;=97),AVERAGE(H49:H53),H51)</f>
        <v>1844621</v>
      </c>
    </row>
    <row r="52" customFormat="false" ht="15" hidden="false" customHeight="false" outlineLevel="0" collapsed="false">
      <c r="A52" s="42" t="n">
        <v>39</v>
      </c>
      <c r="B52" s="38" t="n">
        <v>3139</v>
      </c>
      <c r="C52" s="38" t="n">
        <v>1282</v>
      </c>
      <c r="D52" s="38" t="n">
        <v>0</v>
      </c>
      <c r="E52" s="43" t="n">
        <f aca="false">SUM(B52:D52)</f>
        <v>4421</v>
      </c>
      <c r="F52" s="38" t="n">
        <v>784489</v>
      </c>
      <c r="G52" s="38" t="n">
        <v>861355</v>
      </c>
      <c r="H52" s="43" t="n">
        <f aca="false">F52+G52</f>
        <v>1645844</v>
      </c>
      <c r="I52" s="44" t="n">
        <f aca="false">B52*B$116</f>
        <v>3163.80678764731</v>
      </c>
      <c r="J52" s="44" t="n">
        <f aca="false">C52*C$116</f>
        <v>1283.47024711127</v>
      </c>
      <c r="K52" s="44" t="n">
        <f aca="false">E52*E$116</f>
        <v>4445.13997023375</v>
      </c>
      <c r="L52" s="44" t="n">
        <f aca="false">IF(AND(Suaviza=1,$A52&gt;=10,$A52&lt;=97),AVERAGE(I50:I54),I52)</f>
        <v>3252.70381175387</v>
      </c>
      <c r="M52" s="44" t="n">
        <f aca="false">IF(AND(Suaviza=1,$A52&gt;=10,$A52&lt;=97),AVERAGE(J50:J54),J52)</f>
        <v>1266.45075085472</v>
      </c>
      <c r="N52" s="44" t="n">
        <f aca="false">IF(AND(Suaviza=1,$A52&gt;=10,$A52&lt;=97),AVERAGE(K50:K54),K52)</f>
        <v>4517.5331115721</v>
      </c>
      <c r="O52" s="44" t="n">
        <f aca="false">IF(AND(Suaviza=1,$A52&gt;=10,$A52&lt;=97),AVERAGE(F50:F54),F52)</f>
        <v>835707.2</v>
      </c>
      <c r="P52" s="44" t="n">
        <f aca="false">IF(AND(Suaviza=1,$A52&gt;=10,$A52&lt;=97),AVERAGE(G50:G54),G52)</f>
        <v>906290.6</v>
      </c>
      <c r="Q52" s="44" t="n">
        <f aca="false">IF(AND(Suaviza=1,$A52&gt;=10,$A52&lt;=97),AVERAGE(H50:H54),H52)</f>
        <v>1741997.8</v>
      </c>
    </row>
    <row r="53" customFormat="false" ht="15" hidden="false" customHeight="false" outlineLevel="0" collapsed="false">
      <c r="A53" s="42" t="n">
        <v>40</v>
      </c>
      <c r="B53" s="38" t="n">
        <v>3466</v>
      </c>
      <c r="C53" s="38" t="n">
        <v>1348</v>
      </c>
      <c r="D53" s="38" t="n">
        <v>3</v>
      </c>
      <c r="E53" s="43" t="n">
        <f aca="false">SUM(B53:D53)</f>
        <v>4817</v>
      </c>
      <c r="F53" s="38" t="n">
        <v>1059322</v>
      </c>
      <c r="G53" s="38" t="n">
        <v>1146683</v>
      </c>
      <c r="H53" s="43" t="n">
        <f aca="false">F53+G53</f>
        <v>2206005</v>
      </c>
      <c r="I53" s="44" t="n">
        <f aca="false">B53*B$116</f>
        <v>3493.39099266823</v>
      </c>
      <c r="J53" s="44" t="n">
        <f aca="false">C53*C$116</f>
        <v>1349.54593846021</v>
      </c>
      <c r="K53" s="44" t="n">
        <f aca="false">E53*E$116</f>
        <v>4843.30224759466</v>
      </c>
      <c r="L53" s="44" t="n">
        <f aca="false">IF(AND(Suaviza=1,$A53&gt;=10,$A53&lt;=97),AVERAGE(I51:I55),I53)</f>
        <v>3331.52180818395</v>
      </c>
      <c r="M53" s="44" t="n">
        <f aca="false">IF(AND(Suaviza=1,$A53&gt;=10,$A53&lt;=97),AVERAGE(J51:J55),J53)</f>
        <v>1358.75648937551</v>
      </c>
      <c r="N53" s="44" t="n">
        <f aca="false">IF(AND(Suaviza=1,$A53&gt;=10,$A53&lt;=97),AVERAGE(K51:K55),K53)</f>
        <v>4689.06463813213</v>
      </c>
      <c r="O53" s="44" t="n">
        <f aca="false">IF(AND(Suaviza=1,$A53&gt;=10,$A53&lt;=97),AVERAGE(F51:F55),F53)</f>
        <v>867765</v>
      </c>
      <c r="P53" s="44" t="n">
        <f aca="false">IF(AND(Suaviza=1,$A53&gt;=10,$A53&lt;=97),AVERAGE(G51:G55),G53)</f>
        <v>939244</v>
      </c>
      <c r="Q53" s="44" t="n">
        <f aca="false">IF(AND(Suaviza=1,$A53&gt;=10,$A53&lt;=97),AVERAGE(H51:H55),H53)</f>
        <v>1807009</v>
      </c>
    </row>
    <row r="54" customFormat="false" ht="15" hidden="false" customHeight="false" outlineLevel="0" collapsed="false">
      <c r="A54" s="42" t="n">
        <v>41</v>
      </c>
      <c r="B54" s="38" t="n">
        <v>3384</v>
      </c>
      <c r="C54" s="38" t="n">
        <v>1423</v>
      </c>
      <c r="D54" s="38" t="n">
        <v>0</v>
      </c>
      <c r="E54" s="43" t="n">
        <f aca="false">SUM(B54:D54)</f>
        <v>4807</v>
      </c>
      <c r="F54" s="38" t="n">
        <v>624905</v>
      </c>
      <c r="G54" s="38" t="n">
        <v>690335</v>
      </c>
      <c r="H54" s="43" t="n">
        <f aca="false">F54+G54</f>
        <v>1315240</v>
      </c>
      <c r="I54" s="44" t="n">
        <f aca="false">B54*B$116</f>
        <v>3410.74296572109</v>
      </c>
      <c r="J54" s="44" t="n">
        <f aca="false">C54*C$116</f>
        <v>1424.63195135673</v>
      </c>
      <c r="K54" s="44" t="n">
        <f aca="false">E54*E$116</f>
        <v>4833.247644631</v>
      </c>
      <c r="L54" s="44" t="n">
        <f aca="false">IF(AND(Suaviza=1,$A54&gt;=10,$A54&lt;=97),AVERAGE(I52:I56),I54)</f>
        <v>3465.77445683467</v>
      </c>
      <c r="M54" s="44" t="n">
        <f aca="false">IF(AND(Suaviza=1,$A54&gt;=10,$A54&lt;=97),AVERAGE(J52:J56),J54)</f>
        <v>1440.65030077466</v>
      </c>
      <c r="N54" s="44" t="n">
        <f aca="false">IF(AND(Suaviza=1,$A54&gt;=10,$A54&lt;=97),AVERAGE(K52:K56),K54)</f>
        <v>4905.03750979153</v>
      </c>
      <c r="O54" s="44" t="n">
        <f aca="false">IF(AND(Suaviza=1,$A54&gt;=10,$A54&lt;=97),AVERAGE(F52:F56),F54)</f>
        <v>833023.2</v>
      </c>
      <c r="P54" s="44" t="n">
        <f aca="false">IF(AND(Suaviza=1,$A54&gt;=10,$A54&lt;=97),AVERAGE(G52:G56),G54)</f>
        <v>909237.8</v>
      </c>
      <c r="Q54" s="44" t="n">
        <f aca="false">IF(AND(Suaviza=1,$A54&gt;=10,$A54&lt;=97),AVERAGE(H52:H56),H54)</f>
        <v>1742261</v>
      </c>
    </row>
    <row r="55" customFormat="false" ht="15" hidden="false" customHeight="false" outlineLevel="0" collapsed="false">
      <c r="A55" s="42" t="n">
        <v>42</v>
      </c>
      <c r="B55" s="38" t="n">
        <v>3491</v>
      </c>
      <c r="C55" s="38" t="n">
        <v>1553</v>
      </c>
      <c r="D55" s="38" t="n">
        <v>1</v>
      </c>
      <c r="E55" s="43" t="n">
        <f aca="false">SUM(B55:D55)</f>
        <v>5045</v>
      </c>
      <c r="F55" s="38" t="n">
        <v>928285</v>
      </c>
      <c r="G55" s="38" t="n">
        <v>997622</v>
      </c>
      <c r="H55" s="43" t="n">
        <f aca="false">F55+G55</f>
        <v>1925907</v>
      </c>
      <c r="I55" s="44" t="n">
        <f aca="false">B55*B$116</f>
        <v>3518.58856185943</v>
      </c>
      <c r="J55" s="44" t="n">
        <f aca="false">C55*C$116</f>
        <v>1554.78104037738</v>
      </c>
      <c r="K55" s="44" t="n">
        <f aca="false">E55*E$116</f>
        <v>5072.54719516609</v>
      </c>
      <c r="L55" s="44" t="n">
        <f aca="false">IF(AND(Suaviza=1,$A55&gt;=10,$A55&lt;=97),AVERAGE(I53:I57),I55)</f>
        <v>3605.67136098422</v>
      </c>
      <c r="M55" s="44" t="n">
        <f aca="false">IF(AND(Suaviza=1,$A55&gt;=10,$A55&lt;=97),AVERAGE(J53:J57),J55)</f>
        <v>1560.38746267365</v>
      </c>
      <c r="N55" s="44" t="n">
        <f aca="false">IF(AND(Suaviza=1,$A55&gt;=10,$A55&lt;=97),AVERAGE(K53:K57),K55)</f>
        <v>5164.84845037248</v>
      </c>
      <c r="O55" s="44" t="n">
        <f aca="false">IF(AND(Suaviza=1,$A55&gt;=10,$A55&lt;=97),AVERAGE(F53:F57),F55)</f>
        <v>812460.8</v>
      </c>
      <c r="P55" s="44" t="n">
        <f aca="false">IF(AND(Suaviza=1,$A55&gt;=10,$A55&lt;=97),AVERAGE(G53:G57),G55)</f>
        <v>888256.4</v>
      </c>
      <c r="Q55" s="44" t="n">
        <f aca="false">IF(AND(Suaviza=1,$A55&gt;=10,$A55&lt;=97),AVERAGE(H53:H57),H55)</f>
        <v>1700717.2</v>
      </c>
    </row>
    <row r="56" customFormat="false" ht="15" hidden="false" customHeight="false" outlineLevel="0" collapsed="false">
      <c r="A56" s="42" t="n">
        <v>43</v>
      </c>
      <c r="B56" s="38" t="n">
        <v>3713</v>
      </c>
      <c r="C56" s="38" t="n">
        <v>1589</v>
      </c>
      <c r="D56" s="38" t="n">
        <v>0</v>
      </c>
      <c r="E56" s="43" t="n">
        <f aca="false">SUM(B56:D56)</f>
        <v>5302</v>
      </c>
      <c r="F56" s="38" t="n">
        <v>768115</v>
      </c>
      <c r="G56" s="38" t="n">
        <v>850194</v>
      </c>
      <c r="H56" s="43" t="n">
        <f aca="false">F56+G56</f>
        <v>1618309</v>
      </c>
      <c r="I56" s="44" t="n">
        <f aca="false">B56*B$116</f>
        <v>3742.3429762773</v>
      </c>
      <c r="J56" s="44" t="n">
        <f aca="false">C56*C$116</f>
        <v>1590.82232656771</v>
      </c>
      <c r="K56" s="44" t="n">
        <f aca="false">E56*E$116</f>
        <v>5330.95049133213</v>
      </c>
      <c r="L56" s="44" t="n">
        <f aca="false">IF(AND(Suaviza=1,$A56&gt;=10,$A56&lt;=97),AVERAGE(I54:I58),I56)</f>
        <v>3749.59987620437</v>
      </c>
      <c r="M56" s="44" t="n">
        <f aca="false">IF(AND(Suaviza=1,$A56&gt;=10,$A56&lt;=97),AVERAGE(J54:J58),J56)</f>
        <v>1683.1280650885</v>
      </c>
      <c r="N56" s="44" t="n">
        <f aca="false">IF(AND(Suaviza=1,$A56&gt;=10,$A56&lt;=97),AVERAGE(K54:K58),K56)</f>
        <v>5431.697613028</v>
      </c>
      <c r="O56" s="44" t="n">
        <f aca="false">IF(AND(Suaviza=1,$A56&gt;=10,$A56&lt;=97),AVERAGE(F54:F58),F56)</f>
        <v>784461.8</v>
      </c>
      <c r="P56" s="44" t="n">
        <f aca="false">IF(AND(Suaviza=1,$A56&gt;=10,$A56&lt;=97),AVERAGE(G54:G58),G56)</f>
        <v>854243.4</v>
      </c>
      <c r="Q56" s="44" t="n">
        <f aca="false">IF(AND(Suaviza=1,$A56&gt;=10,$A56&lt;=97),AVERAGE(H54:H58),H56)</f>
        <v>1638705.2</v>
      </c>
    </row>
    <row r="57" customFormat="false" ht="15" hidden="false" customHeight="false" outlineLevel="0" collapsed="false">
      <c r="A57" s="42" t="n">
        <v>44</v>
      </c>
      <c r="B57" s="38" t="n">
        <v>3833</v>
      </c>
      <c r="C57" s="38" t="n">
        <v>1880</v>
      </c>
      <c r="D57" s="38" t="n">
        <v>0</v>
      </c>
      <c r="E57" s="43" t="n">
        <f aca="false">SUM(B57:D57)</f>
        <v>5713</v>
      </c>
      <c r="F57" s="38" t="n">
        <v>681677</v>
      </c>
      <c r="G57" s="38" t="n">
        <v>756448</v>
      </c>
      <c r="H57" s="43" t="n">
        <f aca="false">F57+G57</f>
        <v>1438125</v>
      </c>
      <c r="I57" s="44" t="n">
        <f aca="false">B57*B$116</f>
        <v>3863.29130839507</v>
      </c>
      <c r="J57" s="44" t="n">
        <f aca="false">C57*C$116</f>
        <v>1882.15605660622</v>
      </c>
      <c r="K57" s="44" t="n">
        <f aca="false">E57*E$116</f>
        <v>5744.19467313853</v>
      </c>
      <c r="L57" s="44" t="n">
        <f aca="false">IF(AND(Suaviza=1,$A57&gt;=10,$A57&lt;=97),AVERAGE(I55:I59),I57)</f>
        <v>3938.07769375456</v>
      </c>
      <c r="M57" s="44" t="n">
        <f aca="false">IF(AND(Suaviza=1,$A57&gt;=10,$A57&lt;=97),AVERAGE(J55:J59),J57)</f>
        <v>1833.700549617</v>
      </c>
      <c r="N57" s="44" t="n">
        <f aca="false">IF(AND(Suaviza=1,$A57&gt;=10,$A57&lt;=97),AVERAGE(K55:K59),K57)</f>
        <v>5770.93991702186</v>
      </c>
      <c r="O57" s="44" t="n">
        <f aca="false">IF(AND(Suaviza=1,$A57&gt;=10,$A57&lt;=97),AVERAGE(F55:F59),F57)</f>
        <v>803210.2</v>
      </c>
      <c r="P57" s="44" t="n">
        <f aca="false">IF(AND(Suaviza=1,$A57&gt;=10,$A57&lt;=97),AVERAGE(G55:G59),G57)</f>
        <v>874345.8</v>
      </c>
      <c r="Q57" s="44" t="n">
        <f aca="false">IF(AND(Suaviza=1,$A57&gt;=10,$A57&lt;=97),AVERAGE(H55:H59),H57)</f>
        <v>1677556</v>
      </c>
    </row>
    <row r="58" customFormat="false" ht="15" hidden="false" customHeight="false" outlineLevel="0" collapsed="false">
      <c r="A58" s="42" t="n">
        <v>45</v>
      </c>
      <c r="B58" s="38" t="n">
        <v>4180</v>
      </c>
      <c r="C58" s="38" t="n">
        <v>1961</v>
      </c>
      <c r="D58" s="38" t="n">
        <v>3</v>
      </c>
      <c r="E58" s="43" t="n">
        <f aca="false">SUM(B58:D58)</f>
        <v>6144</v>
      </c>
      <c r="F58" s="38" t="n">
        <v>919327</v>
      </c>
      <c r="G58" s="38" t="n">
        <v>976618</v>
      </c>
      <c r="H58" s="43" t="n">
        <f aca="false">F58+G58</f>
        <v>1895945</v>
      </c>
      <c r="I58" s="44" t="n">
        <f aca="false">B58*B$116</f>
        <v>4213.03356876895</v>
      </c>
      <c r="J58" s="44" t="n">
        <f aca="false">C58*C$116</f>
        <v>1963.24895053447</v>
      </c>
      <c r="K58" s="44" t="n">
        <f aca="false">E58*E$116</f>
        <v>6177.54806087224</v>
      </c>
      <c r="L58" s="44" t="n">
        <f aca="false">IF(AND(Suaviza=1,$A58&gt;=10,$A58&lt;=97),AVERAGE(I56:I60),I58)</f>
        <v>4113.45277532532</v>
      </c>
      <c r="M58" s="44" t="n">
        <f aca="false">IF(AND(Suaviza=1,$A58&gt;=10,$A58&lt;=97),AVERAGE(J56:J60),J58)</f>
        <v>1997.08771367984</v>
      </c>
      <c r="N58" s="44" t="n">
        <f aca="false">IF(AND(Suaviza=1,$A58&gt;=10,$A58&lt;=97),AVERAGE(K56:K60),K58)</f>
        <v>6109.98112895645</v>
      </c>
      <c r="O58" s="44" t="n">
        <f aca="false">IF(AND(Suaviza=1,$A58&gt;=10,$A58&lt;=97),AVERAGE(F56:F60),F58)</f>
        <v>762628.8</v>
      </c>
      <c r="P58" s="44" t="n">
        <f aca="false">IF(AND(Suaviza=1,$A58&gt;=10,$A58&lt;=97),AVERAGE(G56:G60),G58)</f>
        <v>831320.4</v>
      </c>
      <c r="Q58" s="44" t="n">
        <f aca="false">IF(AND(Suaviza=1,$A58&gt;=10,$A58&lt;=97),AVERAGE(H56:H60),H58)</f>
        <v>1593949.2</v>
      </c>
    </row>
    <row r="59" customFormat="false" ht="15" hidden="false" customHeight="false" outlineLevel="0" collapsed="false">
      <c r="A59" s="42" t="n">
        <v>46</v>
      </c>
      <c r="B59" s="38" t="n">
        <v>4319</v>
      </c>
      <c r="C59" s="38" t="n">
        <v>2175</v>
      </c>
      <c r="D59" s="38" t="n">
        <v>0</v>
      </c>
      <c r="E59" s="43" t="n">
        <f aca="false">SUM(B59:D59)</f>
        <v>6494</v>
      </c>
      <c r="F59" s="38" t="n">
        <v>718647</v>
      </c>
      <c r="G59" s="38" t="n">
        <v>790847</v>
      </c>
      <c r="H59" s="43" t="n">
        <f aca="false">F59+G59</f>
        <v>1509494</v>
      </c>
      <c r="I59" s="44" t="n">
        <f aca="false">B59*B$116</f>
        <v>4353.13205347204</v>
      </c>
      <c r="J59" s="44" t="n">
        <f aca="false">C59*C$116</f>
        <v>2177.49437399922</v>
      </c>
      <c r="K59" s="44" t="n">
        <f aca="false">E59*E$116</f>
        <v>6529.45916460032</v>
      </c>
      <c r="L59" s="44" t="n">
        <f aca="false">IF(AND(Suaviza=1,$A59&gt;=10,$A59&lt;=97),AVERAGE(I57:I61),I59)</f>
        <v>4237.42481574604</v>
      </c>
      <c r="M59" s="44" t="n">
        <f aca="false">IF(AND(Suaviza=1,$A59&gt;=10,$A59&lt;=97),AVERAGE(J57:J61),J59)</f>
        <v>2138.64987666075</v>
      </c>
      <c r="N59" s="44" t="n">
        <f aca="false">IF(AND(Suaviza=1,$A59&gt;=10,$A59&lt;=97),AVERAGE(K57:K61),K59)</f>
        <v>6375.8248313156</v>
      </c>
      <c r="O59" s="44" t="n">
        <f aca="false">IF(AND(Suaviza=1,$A59&gt;=10,$A59&lt;=97),AVERAGE(F57:F61),F59)</f>
        <v>761625.4</v>
      </c>
      <c r="P59" s="44" t="n">
        <f aca="false">IF(AND(Suaviza=1,$A59&gt;=10,$A59&lt;=97),AVERAGE(G57:G61),G59)</f>
        <v>826928</v>
      </c>
      <c r="Q59" s="44" t="n">
        <f aca="false">IF(AND(Suaviza=1,$A59&gt;=10,$A59&lt;=97),AVERAGE(H57:H61),H59)</f>
        <v>1588553.4</v>
      </c>
    </row>
    <row r="60" customFormat="false" ht="15" hidden="false" customHeight="false" outlineLevel="0" collapsed="false">
      <c r="A60" s="42" t="n">
        <v>47</v>
      </c>
      <c r="B60" s="38" t="n">
        <v>4361</v>
      </c>
      <c r="C60" s="38" t="n">
        <v>2369</v>
      </c>
      <c r="D60" s="38" t="n">
        <v>1</v>
      </c>
      <c r="E60" s="43" t="n">
        <f aca="false">SUM(B60:D60)</f>
        <v>6731</v>
      </c>
      <c r="F60" s="38" t="n">
        <v>725378</v>
      </c>
      <c r="G60" s="38" t="n">
        <v>782495</v>
      </c>
      <c r="H60" s="43" t="n">
        <f aca="false">F60+G60</f>
        <v>1507873</v>
      </c>
      <c r="I60" s="44" t="n">
        <f aca="false">B60*B$116</f>
        <v>4395.46396971326</v>
      </c>
      <c r="J60" s="44" t="n">
        <f aca="false">C60*C$116</f>
        <v>2371.71686069157</v>
      </c>
      <c r="K60" s="44" t="n">
        <f aca="false">E60*E$116</f>
        <v>6767.75325483904</v>
      </c>
      <c r="L60" s="44" t="n">
        <f aca="false">IF(AND(Suaviza=1,$A60&gt;=10,$A60&lt;=97),AVERAGE(I58:I62),I60)</f>
        <v>4339.62615638555</v>
      </c>
      <c r="M60" s="44" t="n">
        <f aca="false">IF(AND(Suaviza=1,$A60&gt;=10,$A60&lt;=97),AVERAGE(J58:J62),J60)</f>
        <v>2264.99460769464</v>
      </c>
      <c r="N60" s="44" t="n">
        <f aca="false">IF(AND(Suaviza=1,$A60&gt;=10,$A60&lt;=97),AVERAGE(K58:K62),K60)</f>
        <v>6604.66759476849</v>
      </c>
      <c r="O60" s="44" t="n">
        <f aca="false">IF(AND(Suaviza=1,$A60&gt;=10,$A60&lt;=97),AVERAGE(F58:F62),F60)</f>
        <v>762468.8</v>
      </c>
      <c r="P60" s="44" t="n">
        <f aca="false">IF(AND(Suaviza=1,$A60&gt;=10,$A60&lt;=97),AVERAGE(G58:G62),G60)</f>
        <v>826013.8</v>
      </c>
      <c r="Q60" s="44" t="n">
        <f aca="false">IF(AND(Suaviza=1,$A60&gt;=10,$A60&lt;=97),AVERAGE(H58:H62),H60)</f>
        <v>1588482.6</v>
      </c>
    </row>
    <row r="61" customFormat="false" ht="15" hidden="false" customHeight="false" outlineLevel="0" collapsed="false">
      <c r="A61" s="42" t="n">
        <v>48</v>
      </c>
      <c r="B61" s="38" t="n">
        <v>4328</v>
      </c>
      <c r="C61" s="38" t="n">
        <v>2296</v>
      </c>
      <c r="D61" s="38" t="n">
        <v>0</v>
      </c>
      <c r="E61" s="43" t="n">
        <f aca="false">SUM(B61:D61)</f>
        <v>6624</v>
      </c>
      <c r="F61" s="38" t="n">
        <v>763098</v>
      </c>
      <c r="G61" s="38" t="n">
        <v>828232</v>
      </c>
      <c r="H61" s="43" t="n">
        <f aca="false">F61+G61</f>
        <v>1591330</v>
      </c>
      <c r="I61" s="44" t="n">
        <f aca="false">B61*B$116</f>
        <v>4362.20317838087</v>
      </c>
      <c r="J61" s="44" t="n">
        <f aca="false">C61*C$116</f>
        <v>2298.63314147228</v>
      </c>
      <c r="K61" s="44" t="n">
        <f aca="false">E61*E$116</f>
        <v>6660.16900312789</v>
      </c>
      <c r="L61" s="44" t="n">
        <f aca="false">IF(AND(Suaviza=1,$A61&gt;=10,$A61&lt;=97),AVERAGE(I59:I63),I61)</f>
        <v>4479.11989942805</v>
      </c>
      <c r="M61" s="44" t="n">
        <f aca="false">IF(AND(Suaviza=1,$A61&gt;=10,$A61&lt;=97),AVERAGE(J59:J63),J61)</f>
        <v>2403.15287142424</v>
      </c>
      <c r="N61" s="44" t="n">
        <f aca="false">IF(AND(Suaviza=1,$A61&gt;=10,$A61&lt;=97),AVERAGE(K59:K63),K61)</f>
        <v>6882.17463656548</v>
      </c>
      <c r="O61" s="44" t="n">
        <f aca="false">IF(AND(Suaviza=1,$A61&gt;=10,$A61&lt;=97),AVERAGE(F59:F63),F61)</f>
        <v>756745.2</v>
      </c>
      <c r="P61" s="44" t="n">
        <f aca="false">IF(AND(Suaviza=1,$A61&gt;=10,$A61&lt;=97),AVERAGE(G59:G63),G61)</f>
        <v>825583.6</v>
      </c>
      <c r="Q61" s="44" t="n">
        <f aca="false">IF(AND(Suaviza=1,$A61&gt;=10,$A61&lt;=97),AVERAGE(H59:H63),H61)</f>
        <v>1582328.8</v>
      </c>
    </row>
    <row r="62" customFormat="false" ht="15" hidden="false" customHeight="false" outlineLevel="0" collapsed="false">
      <c r="A62" s="42" t="n">
        <v>49</v>
      </c>
      <c r="B62" s="38" t="n">
        <v>4340</v>
      </c>
      <c r="C62" s="38" t="n">
        <v>2511</v>
      </c>
      <c r="D62" s="38" t="n">
        <v>0</v>
      </c>
      <c r="E62" s="43" t="n">
        <f aca="false">SUM(B62:D62)</f>
        <v>6851</v>
      </c>
      <c r="F62" s="38" t="n">
        <v>685894</v>
      </c>
      <c r="G62" s="38" t="n">
        <v>751877</v>
      </c>
      <c r="H62" s="43" t="n">
        <f aca="false">F62+G62</f>
        <v>1437771</v>
      </c>
      <c r="I62" s="44" t="n">
        <f aca="false">B62*B$116</f>
        <v>4374.29801159265</v>
      </c>
      <c r="J62" s="44" t="n">
        <f aca="false">C62*C$116</f>
        <v>2513.87971177565</v>
      </c>
      <c r="K62" s="44" t="n">
        <f aca="false">E62*E$116</f>
        <v>6888.40849040295</v>
      </c>
      <c r="L62" s="44" t="n">
        <f aca="false">IF(AND(Suaviza=1,$A62&gt;=10,$A62&lt;=97),AVERAGE(I60:I64),I62)</f>
        <v>4563.58215135695</v>
      </c>
      <c r="M62" s="44" t="n">
        <f aca="false">IF(AND(Suaviza=1,$A62&gt;=10,$A62&lt;=97),AVERAGE(J60:J64),J62)</f>
        <v>2523.29049205868</v>
      </c>
      <c r="N62" s="44" t="n">
        <f aca="false">IF(AND(Suaviza=1,$A62&gt;=10,$A62&lt;=97),AVERAGE(K60:K64),K62)</f>
        <v>7087.08744496486</v>
      </c>
      <c r="O62" s="44" t="n">
        <f aca="false">IF(AND(Suaviza=1,$A62&gt;=10,$A62&lt;=97),AVERAGE(F60:F64),F62)</f>
        <v>716967.2</v>
      </c>
      <c r="P62" s="44" t="n">
        <f aca="false">IF(AND(Suaviza=1,$A62&gt;=10,$A62&lt;=97),AVERAGE(G60:G64),G62)</f>
        <v>783560.2</v>
      </c>
      <c r="Q62" s="44" t="n">
        <f aca="false">IF(AND(Suaviza=1,$A62&gt;=10,$A62&lt;=97),AVERAGE(H60:H64),H62)</f>
        <v>1500527.4</v>
      </c>
    </row>
    <row r="63" customFormat="false" ht="15" hidden="false" customHeight="false" outlineLevel="0" collapsed="false">
      <c r="A63" s="42" t="n">
        <v>50</v>
      </c>
      <c r="B63" s="38" t="n">
        <v>4872</v>
      </c>
      <c r="C63" s="38" t="n">
        <v>2651</v>
      </c>
      <c r="D63" s="38" t="n">
        <v>1</v>
      </c>
      <c r="E63" s="43" t="n">
        <f aca="false">SUM(B63:D63)</f>
        <v>7524</v>
      </c>
      <c r="F63" s="38" t="n">
        <v>890709</v>
      </c>
      <c r="G63" s="38" t="n">
        <v>974467</v>
      </c>
      <c r="H63" s="43" t="n">
        <f aca="false">F63+G63</f>
        <v>1865176</v>
      </c>
      <c r="I63" s="44" t="n">
        <f aca="false">B63*B$116</f>
        <v>4910.50228398142</v>
      </c>
      <c r="J63" s="44" t="n">
        <f aca="false">C63*C$116</f>
        <v>2654.0402691825</v>
      </c>
      <c r="K63" s="44" t="n">
        <f aca="false">E63*E$116</f>
        <v>7565.08326985722</v>
      </c>
      <c r="L63" s="44" t="n">
        <f aca="false">IF(AND(Suaviza=1,$A63&gt;=10,$A63&lt;=97),AVERAGE(I61:I65),I63)</f>
        <v>4662.75978369353</v>
      </c>
      <c r="M63" s="44" t="n">
        <f aca="false">IF(AND(Suaviza=1,$A63&gt;=10,$A63&lt;=97),AVERAGE(J61:J65),J63)</f>
        <v>2641.22558964816</v>
      </c>
      <c r="N63" s="44" t="n">
        <f aca="false">IF(AND(Suaviza=1,$A63&gt;=10,$A63&lt;=97),AVERAGE(K61:K65),K63)</f>
        <v>7304.2668689799</v>
      </c>
      <c r="O63" s="44" t="n">
        <f aca="false">IF(AND(Suaviza=1,$A63&gt;=10,$A63&lt;=97),AVERAGE(F61:F65),F63)</f>
        <v>714250.2</v>
      </c>
      <c r="P63" s="44" t="n">
        <f aca="false">IF(AND(Suaviza=1,$A63&gt;=10,$A63&lt;=97),AVERAGE(G61:G65),G63)</f>
        <v>782894.6</v>
      </c>
      <c r="Q63" s="44" t="n">
        <f aca="false">IF(AND(Suaviza=1,$A63&gt;=10,$A63&lt;=97),AVERAGE(H61:H65),H63)</f>
        <v>1497144.8</v>
      </c>
    </row>
    <row r="64" customFormat="false" ht="15" hidden="false" customHeight="false" outlineLevel="0" collapsed="false">
      <c r="A64" s="42" t="n">
        <v>51</v>
      </c>
      <c r="B64" s="38" t="n">
        <v>4738</v>
      </c>
      <c r="C64" s="38" t="n">
        <v>2775</v>
      </c>
      <c r="D64" s="38" t="n">
        <v>0</v>
      </c>
      <c r="E64" s="43" t="n">
        <f aca="false">SUM(B64:D64)</f>
        <v>7513</v>
      </c>
      <c r="F64" s="38" t="n">
        <v>519757</v>
      </c>
      <c r="G64" s="38" t="n">
        <v>580730</v>
      </c>
      <c r="H64" s="43" t="n">
        <f aca="false">F64+G64</f>
        <v>1100487</v>
      </c>
      <c r="I64" s="44" t="n">
        <f aca="false">B64*B$116</f>
        <v>4775.44331311658</v>
      </c>
      <c r="J64" s="44" t="n">
        <f aca="false">C64*C$116</f>
        <v>2778.18247717142</v>
      </c>
      <c r="K64" s="44" t="n">
        <f aca="false">E64*E$116</f>
        <v>7554.02320659719</v>
      </c>
      <c r="L64" s="44" t="n">
        <f aca="false">IF(AND(Suaviza=1,$A64&gt;=10,$A64&lt;=97),AVERAGE(I62:I66),I64)</f>
        <v>4792.17449905954</v>
      </c>
      <c r="M64" s="44" t="n">
        <f aca="false">IF(AND(Suaviza=1,$A64&gt;=10,$A64&lt;=97),AVERAGE(J62:J66),J64)</f>
        <v>2798.20541394383</v>
      </c>
      <c r="N64" s="44" t="n">
        <f aca="false">IF(AND(Suaviza=1,$A64&gt;=10,$A64&lt;=97),AVERAGE(K62:K66),K64)</f>
        <v>7591.02414550346</v>
      </c>
      <c r="O64" s="44" t="n">
        <f aca="false">IF(AND(Suaviza=1,$A64&gt;=10,$A64&lt;=97),AVERAGE(F62:F66),F64)</f>
        <v>682835.4</v>
      </c>
      <c r="P64" s="44" t="n">
        <f aca="false">IF(AND(Suaviza=1,$A64&gt;=10,$A64&lt;=97),AVERAGE(G62:G66),G64)</f>
        <v>752395.4</v>
      </c>
      <c r="Q64" s="44" t="n">
        <f aca="false">IF(AND(Suaviza=1,$A64&gt;=10,$A64&lt;=97),AVERAGE(H62:H66),H64)</f>
        <v>1435230.8</v>
      </c>
    </row>
    <row r="65" customFormat="false" ht="15" hidden="false" customHeight="false" outlineLevel="0" collapsed="false">
      <c r="A65" s="42" t="n">
        <v>52</v>
      </c>
      <c r="B65" s="38" t="n">
        <v>4853</v>
      </c>
      <c r="C65" s="38" t="n">
        <v>2958</v>
      </c>
      <c r="D65" s="38" t="n">
        <v>0</v>
      </c>
      <c r="E65" s="43" t="n">
        <f aca="false">SUM(B65:D65)</f>
        <v>7811</v>
      </c>
      <c r="F65" s="38" t="n">
        <v>711793</v>
      </c>
      <c r="G65" s="38" t="n">
        <v>779167</v>
      </c>
      <c r="H65" s="43" t="n">
        <f aca="false">F65+G65</f>
        <v>1490960</v>
      </c>
      <c r="I65" s="44" t="n">
        <f aca="false">B65*B$116</f>
        <v>4891.35213139611</v>
      </c>
      <c r="J65" s="44" t="n">
        <f aca="false">C65*C$116</f>
        <v>2961.39234863894</v>
      </c>
      <c r="K65" s="44" t="n">
        <f aca="false">E65*E$116</f>
        <v>7853.65037491424</v>
      </c>
      <c r="L65" s="44" t="n">
        <f aca="false">IF(AND(Suaviza=1,$A65&gt;=10,$A65&lt;=97),AVERAGE(I63:I67),I65)</f>
        <v>5006.45462746152</v>
      </c>
      <c r="M65" s="44" t="n">
        <f aca="false">IF(AND(Suaviza=1,$A65&gt;=10,$A65&lt;=97),AVERAGE(J63:J67),J65)</f>
        <v>2968.40037650928</v>
      </c>
      <c r="N65" s="44" t="n">
        <f aca="false">IF(AND(Suaviza=1,$A65&gt;=10,$A65&lt;=97),AVERAGE(K63:K67),K65)</f>
        <v>7975.71325489306</v>
      </c>
      <c r="O65" s="44" t="n">
        <f aca="false">IF(AND(Suaviza=1,$A65&gt;=10,$A65&lt;=97),AVERAGE(F63:F67),F65)</f>
        <v>666432.6</v>
      </c>
      <c r="P65" s="44" t="n">
        <f aca="false">IF(AND(Suaviza=1,$A65&gt;=10,$A65&lt;=97),AVERAGE(G63:G67),G65)</f>
        <v>741073.8</v>
      </c>
      <c r="Q65" s="44" t="n">
        <f aca="false">IF(AND(Suaviza=1,$A65&gt;=10,$A65&lt;=97),AVERAGE(H63:H67),H65)</f>
        <v>1407506.4</v>
      </c>
    </row>
    <row r="66" customFormat="false" ht="15" hidden="false" customHeight="false" outlineLevel="0" collapsed="false">
      <c r="A66" s="42" t="n">
        <v>53</v>
      </c>
      <c r="B66" s="38" t="n">
        <v>4970</v>
      </c>
      <c r="C66" s="38" t="n">
        <v>3080</v>
      </c>
      <c r="D66" s="38" t="n">
        <v>0</v>
      </c>
      <c r="E66" s="43" t="n">
        <f aca="false">SUM(B66:D66)</f>
        <v>8050</v>
      </c>
      <c r="F66" s="38" t="n">
        <v>606024</v>
      </c>
      <c r="G66" s="38" t="n">
        <v>675736</v>
      </c>
      <c r="H66" s="43" t="n">
        <f aca="false">F66+G66</f>
        <v>1281760</v>
      </c>
      <c r="I66" s="44" t="n">
        <f aca="false">B66*B$116</f>
        <v>5009.27675521093</v>
      </c>
      <c r="J66" s="44" t="n">
        <f aca="false">C66*C$116</f>
        <v>3083.53226295062</v>
      </c>
      <c r="K66" s="44" t="n">
        <f aca="false">E66*E$116</f>
        <v>8093.9553857457</v>
      </c>
      <c r="L66" s="44" t="n">
        <f aca="false">IF(AND(Suaviza=1,$A66&gt;=10,$A66&lt;=97),AVERAGE(I64:I68),I66)</f>
        <v>5142.92466220107</v>
      </c>
      <c r="M66" s="44" t="n">
        <f aca="false">IF(AND(Suaviza=1,$A66&gt;=10,$A66&lt;=97),AVERAGE(J64:J68),J66)</f>
        <v>3144.60222010646</v>
      </c>
      <c r="N66" s="44" t="n">
        <f aca="false">IF(AND(Suaviza=1,$A66&gt;=10,$A66&lt;=97),AVERAGE(K64:K68),K66)</f>
        <v>8289.01468324069</v>
      </c>
      <c r="O66" s="44" t="n">
        <f aca="false">IF(AND(Suaviza=1,$A66&gt;=10,$A66&lt;=97),AVERAGE(F64:F68),F66)</f>
        <v>612575.4</v>
      </c>
      <c r="P66" s="44" t="n">
        <f aca="false">IF(AND(Suaviza=1,$A66&gt;=10,$A66&lt;=97),AVERAGE(G64:G68),G66)</f>
        <v>684997.4</v>
      </c>
      <c r="Q66" s="44" t="n">
        <f aca="false">IF(AND(Suaviza=1,$A66&gt;=10,$A66&lt;=97),AVERAGE(H64:H68),H66)</f>
        <v>1297572.8</v>
      </c>
    </row>
    <row r="67" customFormat="false" ht="15" hidden="false" customHeight="false" outlineLevel="0" collapsed="false">
      <c r="A67" s="42" t="n">
        <v>54</v>
      </c>
      <c r="B67" s="38" t="n">
        <v>5403</v>
      </c>
      <c r="C67" s="38" t="n">
        <v>3361</v>
      </c>
      <c r="D67" s="38" t="n">
        <v>0</v>
      </c>
      <c r="E67" s="43" t="n">
        <f aca="false">SUM(B67:D67)</f>
        <v>8764</v>
      </c>
      <c r="F67" s="38" t="n">
        <v>603880</v>
      </c>
      <c r="G67" s="38" t="n">
        <v>695269</v>
      </c>
      <c r="H67" s="43" t="n">
        <f aca="false">F67+G67</f>
        <v>1299149</v>
      </c>
      <c r="I67" s="44" t="n">
        <f aca="false">B67*B$116</f>
        <v>5445.69865360255</v>
      </c>
      <c r="J67" s="44" t="n">
        <f aca="false">C67*C$116</f>
        <v>3364.85452460293</v>
      </c>
      <c r="K67" s="44" t="n">
        <f aca="false">E67*E$116</f>
        <v>8811.85403735097</v>
      </c>
      <c r="L67" s="44" t="n">
        <f aca="false">IF(AND(Suaviza=1,$A67&gt;=10,$A67&lt;=97),AVERAGE(I65:I69),I67)</f>
        <v>5342.28782964186</v>
      </c>
      <c r="M67" s="44" t="n">
        <f aca="false">IF(AND(Suaviza=1,$A67&gt;=10,$A67&lt;=97),AVERAGE(J65:J69),J67)</f>
        <v>3324.6084216904</v>
      </c>
      <c r="N67" s="44" t="n">
        <f aca="false">IF(AND(Suaviza=1,$A67&gt;=10,$A67&lt;=97),AVERAGE(K65:K69),K67)</f>
        <v>8668.67649114846</v>
      </c>
      <c r="O67" s="44" t="n">
        <f aca="false">IF(AND(Suaviza=1,$A67&gt;=10,$A67&lt;=97),AVERAGE(F65:F69),F67)</f>
        <v>626883.2</v>
      </c>
      <c r="P67" s="44" t="n">
        <f aca="false">IF(AND(Suaviza=1,$A67&gt;=10,$A67&lt;=97),AVERAGE(G65:G69),G67)</f>
        <v>697756</v>
      </c>
      <c r="Q67" s="44" t="n">
        <f aca="false">IF(AND(Suaviza=1,$A67&gt;=10,$A67&lt;=97),AVERAGE(H65:H69),H67)</f>
        <v>1324639.2</v>
      </c>
    </row>
    <row r="68" customFormat="false" ht="15" hidden="false" customHeight="false" outlineLevel="0" collapsed="false">
      <c r="A68" s="42" t="n">
        <v>55</v>
      </c>
      <c r="B68" s="38" t="n">
        <v>5549</v>
      </c>
      <c r="C68" s="38" t="n">
        <v>3531</v>
      </c>
      <c r="D68" s="38" t="n">
        <v>2</v>
      </c>
      <c r="E68" s="43" t="n">
        <f aca="false">SUM(B68:D68)</f>
        <v>9082</v>
      </c>
      <c r="F68" s="38" t="n">
        <v>621423</v>
      </c>
      <c r="G68" s="38" t="n">
        <v>694085</v>
      </c>
      <c r="H68" s="43" t="n">
        <f aca="false">F68+G68</f>
        <v>1315508</v>
      </c>
      <c r="I68" s="44" t="n">
        <f aca="false">B68*B$116</f>
        <v>5592.85245767917</v>
      </c>
      <c r="J68" s="44" t="n">
        <f aca="false">C68*C$116</f>
        <v>3535.04948716839</v>
      </c>
      <c r="K68" s="44" t="n">
        <f aca="false">E68*E$116</f>
        <v>9131.59041159533</v>
      </c>
      <c r="L68" s="44" t="n">
        <f aca="false">IF(AND(Suaviza=1,$A68&gt;=10,$A68&lt;=97),AVERAGE(I66:I70),I68)</f>
        <v>5550.92370254501</v>
      </c>
      <c r="M68" s="44" t="n">
        <f aca="false">IF(AND(Suaviza=1,$A68&gt;=10,$A68&lt;=97),AVERAGE(J66:J70),J68)</f>
        <v>3507.01737568702</v>
      </c>
      <c r="N68" s="44" t="n">
        <f aca="false">IF(AND(Suaviza=1,$A68&gt;=10,$A68&lt;=97),AVERAGE(K66:K70),K68)</f>
        <v>9060.00163849408</v>
      </c>
      <c r="O68" s="44" t="n">
        <f aca="false">IF(AND(Suaviza=1,$A68&gt;=10,$A68&lt;=97),AVERAGE(F66:F70),F68)</f>
        <v>579855.6</v>
      </c>
      <c r="P68" s="44" t="n">
        <f aca="false">IF(AND(Suaviza=1,$A68&gt;=10,$A68&lt;=97),AVERAGE(G66:G70),G68)</f>
        <v>649225.6</v>
      </c>
      <c r="Q68" s="44" t="n">
        <f aca="false">IF(AND(Suaviza=1,$A68&gt;=10,$A68&lt;=97),AVERAGE(H66:H70),H68)</f>
        <v>1229081.2</v>
      </c>
    </row>
    <row r="69" customFormat="false" ht="15" hidden="false" customHeight="false" outlineLevel="0" collapsed="false">
      <c r="A69" s="42" t="n">
        <v>56</v>
      </c>
      <c r="B69" s="38" t="n">
        <v>5727</v>
      </c>
      <c r="C69" s="38" t="n">
        <v>3674</v>
      </c>
      <c r="D69" s="38" t="n">
        <v>0</v>
      </c>
      <c r="E69" s="43" t="n">
        <f aca="false">SUM(B69:D69)</f>
        <v>9401</v>
      </c>
      <c r="F69" s="38" t="n">
        <v>591296</v>
      </c>
      <c r="G69" s="38" t="n">
        <v>644523</v>
      </c>
      <c r="H69" s="43" t="n">
        <f aca="false">F69+G69</f>
        <v>1235819</v>
      </c>
      <c r="I69" s="44" t="n">
        <f aca="false">B69*B$116</f>
        <v>5772.25915032053</v>
      </c>
      <c r="J69" s="44" t="n">
        <f aca="false">C69*C$116</f>
        <v>3678.2134850911</v>
      </c>
      <c r="K69" s="44" t="n">
        <f aca="false">E69*E$116</f>
        <v>9452.33224613606</v>
      </c>
      <c r="L69" s="44" t="n">
        <f aca="false">IF(AND(Suaviza=1,$A69&gt;=10,$A69&lt;=97),AVERAGE(I67:I71),I69)</f>
        <v>5795.84407508349</v>
      </c>
      <c r="M69" s="44" t="n">
        <f aca="false">IF(AND(Suaviza=1,$A69&gt;=10,$A69&lt;=97),AVERAGE(J67:J71),J69)</f>
        <v>3739.28344224694</v>
      </c>
      <c r="N69" s="44" t="n">
        <f aca="false">IF(AND(Suaviza=1,$A69&gt;=10,$A69&lt;=97),AVERAGE(K67:K71),K69)</f>
        <v>9537.59527926789</v>
      </c>
      <c r="O69" s="44" t="n">
        <f aca="false">IF(AND(Suaviza=1,$A69&gt;=10,$A69&lt;=97),AVERAGE(F67:F71),F69)</f>
        <v>563495.4</v>
      </c>
      <c r="P69" s="44" t="n">
        <f aca="false">IF(AND(Suaviza=1,$A69&gt;=10,$A69&lt;=97),AVERAGE(G67:G71),G69)</f>
        <v>631897.4</v>
      </c>
      <c r="Q69" s="44" t="n">
        <f aca="false">IF(AND(Suaviza=1,$A69&gt;=10,$A69&lt;=97),AVERAGE(H67:H71),H69)</f>
        <v>1195392.8</v>
      </c>
    </row>
    <row r="70" customFormat="false" ht="15" hidden="false" customHeight="false" outlineLevel="0" collapsed="false">
      <c r="A70" s="42" t="n">
        <v>57</v>
      </c>
      <c r="B70" s="38" t="n">
        <v>5888</v>
      </c>
      <c r="C70" s="38" t="n">
        <v>3869</v>
      </c>
      <c r="D70" s="38" t="n">
        <v>0</v>
      </c>
      <c r="E70" s="43" t="n">
        <f aca="false">SUM(B70:D70)</f>
        <v>9757</v>
      </c>
      <c r="F70" s="38" t="n">
        <v>476655</v>
      </c>
      <c r="G70" s="38" t="n">
        <v>536515</v>
      </c>
      <c r="H70" s="43" t="n">
        <f aca="false">F70+G70</f>
        <v>1013170</v>
      </c>
      <c r="I70" s="44" t="n">
        <f aca="false">B70*B$116</f>
        <v>5934.53149591187</v>
      </c>
      <c r="J70" s="44" t="n">
        <f aca="false">C70*C$116</f>
        <v>3873.43711862206</v>
      </c>
      <c r="K70" s="44" t="n">
        <f aca="false">E70*E$116</f>
        <v>9810.27611164233</v>
      </c>
      <c r="L70" s="44" t="n">
        <f aca="false">IF(AND(Suaviza=1,$A70&gt;=10,$A70&lt;=97),AVERAGE(I68:I72),I70)</f>
        <v>5994.80408141722</v>
      </c>
      <c r="M70" s="44" t="n">
        <f aca="false">IF(AND(Suaviza=1,$A70&gt;=10,$A70&lt;=97),AVERAGE(J68:J72),J70)</f>
        <v>3986.16625265071</v>
      </c>
      <c r="N70" s="44" t="n">
        <f aca="false">IF(AND(Suaviza=1,$A70&gt;=10,$A70&lt;=97),AVERAGE(K68:K72),K70)</f>
        <v>9984.01965085436</v>
      </c>
      <c r="O70" s="44" t="n">
        <f aca="false">IF(AND(Suaviza=1,$A70&gt;=10,$A70&lt;=97),AVERAGE(F68:F72),F70)</f>
        <v>538595.2</v>
      </c>
      <c r="P70" s="44" t="n">
        <f aca="false">IF(AND(Suaviza=1,$A70&gt;=10,$A70&lt;=97),AVERAGE(G68:G72),G70)</f>
        <v>600596.4</v>
      </c>
      <c r="Q70" s="44" t="n">
        <f aca="false">IF(AND(Suaviza=1,$A70&gt;=10,$A70&lt;=97),AVERAGE(H68:H72),H70)</f>
        <v>1139191.6</v>
      </c>
    </row>
    <row r="71" customFormat="false" ht="15" hidden="false" customHeight="false" outlineLevel="0" collapsed="false">
      <c r="A71" s="42" t="n">
        <v>58</v>
      </c>
      <c r="B71" s="38" t="n">
        <v>6185</v>
      </c>
      <c r="C71" s="38" t="n">
        <v>4240</v>
      </c>
      <c r="D71" s="38" t="n">
        <v>0</v>
      </c>
      <c r="E71" s="43" t="n">
        <f aca="false">SUM(B71:D71)</f>
        <v>10425</v>
      </c>
      <c r="F71" s="38" t="n">
        <v>524223</v>
      </c>
      <c r="G71" s="38" t="n">
        <v>589095</v>
      </c>
      <c r="H71" s="43" t="n">
        <f aca="false">F71+G71</f>
        <v>1113318</v>
      </c>
      <c r="I71" s="44" t="n">
        <f aca="false">B71*B$116</f>
        <v>6233.87861790334</v>
      </c>
      <c r="J71" s="44" t="n">
        <f aca="false">C71*C$116</f>
        <v>4244.86259575021</v>
      </c>
      <c r="K71" s="44" t="n">
        <f aca="false">E71*E$116</f>
        <v>10481.9235896148</v>
      </c>
      <c r="L71" s="44" t="n">
        <f aca="false">IF(AND(Suaviza=1,$A71&gt;=10,$A71&lt;=97),AVERAGE(I69:I73),I71)</f>
        <v>6211.30159590803</v>
      </c>
      <c r="M71" s="44" t="n">
        <f aca="false">IF(AND(Suaviza=1,$A71&gt;=10,$A71&lt;=97),AVERAGE(J69:J73),J71)</f>
        <v>4197.00777686415</v>
      </c>
      <c r="N71" s="44" t="n">
        <f aca="false">IF(AND(Suaviza=1,$A71&gt;=10,$A71&lt;=97),AVERAGE(K69:K73),K71)</f>
        <v>10411.7424609284</v>
      </c>
      <c r="O71" s="44" t="n">
        <f aca="false">IF(AND(Suaviza=1,$A71&gt;=10,$A71&lt;=97),AVERAGE(F69:F73),F71)</f>
        <v>539817</v>
      </c>
      <c r="P71" s="44" t="n">
        <f aca="false">IF(AND(Suaviza=1,$A71&gt;=10,$A71&lt;=97),AVERAGE(G69:G73),G71)</f>
        <v>602979</v>
      </c>
      <c r="Q71" s="44" t="n">
        <f aca="false">IF(AND(Suaviza=1,$A71&gt;=10,$A71&lt;=97),AVERAGE(H69:H73),H71)</f>
        <v>1142796</v>
      </c>
    </row>
    <row r="72" customFormat="false" ht="15" hidden="false" customHeight="false" outlineLevel="0" collapsed="false">
      <c r="A72" s="42" t="n">
        <v>59</v>
      </c>
      <c r="B72" s="38" t="n">
        <v>6390</v>
      </c>
      <c r="C72" s="38" t="n">
        <v>4594</v>
      </c>
      <c r="D72" s="38" t="n">
        <v>0</v>
      </c>
      <c r="E72" s="43" t="n">
        <f aca="false">SUM(B72:D72)</f>
        <v>10984</v>
      </c>
      <c r="F72" s="38" t="n">
        <v>479379</v>
      </c>
      <c r="G72" s="38" t="n">
        <v>538764</v>
      </c>
      <c r="H72" s="43" t="n">
        <f aca="false">F72+G72</f>
        <v>1018143</v>
      </c>
      <c r="I72" s="44" t="n">
        <f aca="false">B72*B$116</f>
        <v>6440.4986852712</v>
      </c>
      <c r="J72" s="44" t="n">
        <f aca="false">C72*C$116</f>
        <v>4599.2685766218</v>
      </c>
      <c r="K72" s="44" t="n">
        <f aca="false">E72*E$116</f>
        <v>11043.9758952833</v>
      </c>
      <c r="L72" s="44" t="n">
        <f aca="false">IF(AND(Suaviza=1,$A72&gt;=10,$A72&lt;=97),AVERAGE(I70:I74),I72)</f>
        <v>6373.97710260643</v>
      </c>
      <c r="M72" s="44" t="n">
        <f aca="false">IF(AND(Suaviza=1,$A72&gt;=10,$A72&lt;=97),AVERAGE(J70:J74),J72)</f>
        <v>4394.23370407236</v>
      </c>
      <c r="N72" s="44" t="n">
        <f aca="false">IF(AND(Suaviza=1,$A72&gt;=10,$A72&lt;=97),AVERAGE(K70:K74),K72)</f>
        <v>10772.099431146</v>
      </c>
      <c r="O72" s="44" t="n">
        <f aca="false">IF(AND(Suaviza=1,$A72&gt;=10,$A72&lt;=97),AVERAGE(F70:F74),F72)</f>
        <v>490971.4</v>
      </c>
      <c r="P72" s="44" t="n">
        <f aca="false">IF(AND(Suaviza=1,$A72&gt;=10,$A72&lt;=97),AVERAGE(G70:G74),G72)</f>
        <v>553933.2</v>
      </c>
      <c r="Q72" s="44" t="n">
        <f aca="false">IF(AND(Suaviza=1,$A72&gt;=10,$A72&lt;=97),AVERAGE(H70:H74),H72)</f>
        <v>1044904.6</v>
      </c>
    </row>
    <row r="73" customFormat="false" ht="15" hidden="false" customHeight="false" outlineLevel="0" collapsed="false">
      <c r="A73" s="42" t="n">
        <v>60</v>
      </c>
      <c r="B73" s="38" t="n">
        <v>6623</v>
      </c>
      <c r="C73" s="38" t="n">
        <v>4584</v>
      </c>
      <c r="D73" s="38" t="n">
        <v>2</v>
      </c>
      <c r="E73" s="43" t="n">
        <f aca="false">SUM(B73:D73)</f>
        <v>11209</v>
      </c>
      <c r="F73" s="38" t="n">
        <v>627532</v>
      </c>
      <c r="G73" s="38" t="n">
        <v>705998</v>
      </c>
      <c r="H73" s="43" t="n">
        <f aca="false">F73+G73</f>
        <v>1333530</v>
      </c>
      <c r="I73" s="44" t="n">
        <f aca="false">B73*B$116</f>
        <v>6675.3400301332</v>
      </c>
      <c r="J73" s="44" t="n">
        <f aca="false">C73*C$116</f>
        <v>4589.2571082356</v>
      </c>
      <c r="K73" s="44" t="n">
        <f aca="false">E73*E$116</f>
        <v>11270.2044619657</v>
      </c>
      <c r="L73" s="44" t="n">
        <f aca="false">IF(AND(Suaviza=1,$A73&gt;=10,$A73&lt;=97),AVERAGE(I71:I75),I73)</f>
        <v>6542.49844535718</v>
      </c>
      <c r="M73" s="44" t="n">
        <f aca="false">IF(AND(Suaviza=1,$A73&gt;=10,$A73&lt;=97),AVERAGE(J71:J75),J73)</f>
        <v>4620.29266023283</v>
      </c>
      <c r="N73" s="44" t="n">
        <f aca="false">IF(AND(Suaviza=1,$A73&gt;=10,$A73&lt;=97),AVERAGE(K71:K75),K73)</f>
        <v>11167.2453276178</v>
      </c>
      <c r="O73" s="44" t="n">
        <f aca="false">IF(AND(Suaviza=1,$A73&gt;=10,$A73&lt;=97),AVERAGE(F71:F75),F73)</f>
        <v>486991.4</v>
      </c>
      <c r="P73" s="44" t="n">
        <f aca="false">IF(AND(Suaviza=1,$A73&gt;=10,$A73&lt;=97),AVERAGE(G71:G75),G73)</f>
        <v>549834.8</v>
      </c>
      <c r="Q73" s="44" t="n">
        <f aca="false">IF(AND(Suaviza=1,$A73&gt;=10,$A73&lt;=97),AVERAGE(H71:H75),H73)</f>
        <v>1036826.2</v>
      </c>
    </row>
    <row r="74" customFormat="false" ht="15" hidden="false" customHeight="false" outlineLevel="0" collapsed="false">
      <c r="A74" s="42" t="n">
        <v>61</v>
      </c>
      <c r="B74" s="38" t="n">
        <v>6534</v>
      </c>
      <c r="C74" s="38" t="n">
        <v>4659</v>
      </c>
      <c r="D74" s="38" t="n">
        <v>0</v>
      </c>
      <c r="E74" s="43" t="n">
        <f aca="false">SUM(B74:D74)</f>
        <v>11193</v>
      </c>
      <c r="F74" s="38" t="n">
        <v>347068</v>
      </c>
      <c r="G74" s="38" t="n">
        <v>399294</v>
      </c>
      <c r="H74" s="43" t="n">
        <f aca="false">F74+G74</f>
        <v>746362</v>
      </c>
      <c r="I74" s="44" t="n">
        <f aca="false">B74*B$116</f>
        <v>6585.63668381252</v>
      </c>
      <c r="J74" s="44" t="n">
        <f aca="false">C74*C$116</f>
        <v>4664.34312113212</v>
      </c>
      <c r="K74" s="44" t="n">
        <f aca="false">E74*E$116</f>
        <v>11254.1170972238</v>
      </c>
      <c r="L74" s="44" t="n">
        <f aca="false">IF(AND(Suaviza=1,$A74&gt;=10,$A74&lt;=97),AVERAGE(I72:I76),I74)</f>
        <v>6698.11863268205</v>
      </c>
      <c r="M74" s="44" t="n">
        <f aca="false">IF(AND(Suaviza=1,$A74&gt;=10,$A74&lt;=97),AVERAGE(J72:J76),J74)</f>
        <v>4833.33670749124</v>
      </c>
      <c r="N74" s="44" t="n">
        <f aca="false">IF(AND(Suaviza=1,$A74&gt;=10,$A74&lt;=97),AVERAGE(K72:K76),K74)</f>
        <v>11536.6514405026</v>
      </c>
      <c r="O74" s="44" t="n">
        <f aca="false">IF(AND(Suaviza=1,$A74&gt;=10,$A74&lt;=97),AVERAGE(F72:F76),F74)</f>
        <v>468428.2</v>
      </c>
      <c r="P74" s="44" t="n">
        <f aca="false">IF(AND(Suaviza=1,$A74&gt;=10,$A74&lt;=97),AVERAGE(G72:G76),G74)</f>
        <v>529698.4</v>
      </c>
      <c r="Q74" s="44" t="n">
        <f aca="false">IF(AND(Suaviza=1,$A74&gt;=10,$A74&lt;=97),AVERAGE(H72:H76),H74)</f>
        <v>998126.6</v>
      </c>
    </row>
    <row r="75" customFormat="false" ht="15" hidden="false" customHeight="false" outlineLevel="0" collapsed="false">
      <c r="A75" s="42" t="n">
        <v>62</v>
      </c>
      <c r="B75" s="38" t="n">
        <v>6724</v>
      </c>
      <c r="C75" s="38" t="n">
        <v>4998</v>
      </c>
      <c r="D75" s="38" t="n">
        <v>0</v>
      </c>
      <c r="E75" s="43" t="n">
        <f aca="false">SUM(B75:D75)</f>
        <v>11722</v>
      </c>
      <c r="F75" s="38" t="n">
        <v>456755</v>
      </c>
      <c r="G75" s="38" t="n">
        <v>516023</v>
      </c>
      <c r="H75" s="43" t="n">
        <f aca="false">F75+G75</f>
        <v>972778</v>
      </c>
      <c r="I75" s="44" t="n">
        <f aca="false">B75*B$116</f>
        <v>6777.13820966566</v>
      </c>
      <c r="J75" s="44" t="n">
        <f aca="false">C75*C$116</f>
        <v>5003.73189942442</v>
      </c>
      <c r="K75" s="44" t="n">
        <f aca="false">E75*E$116</f>
        <v>11786.0055940014</v>
      </c>
      <c r="L75" s="44" t="n">
        <f aca="false">IF(AND(Suaviza=1,$A75&gt;=10,$A75&lt;=97),AVERAGE(I73:I77),I75)</f>
        <v>6856.76252830986</v>
      </c>
      <c r="M75" s="44" t="n">
        <f aca="false">IF(AND(Suaviza=1,$A75&gt;=10,$A75&lt;=97),AVERAGE(J73:J77),J75)</f>
        <v>4986.51217380015</v>
      </c>
      <c r="N75" s="44" t="n">
        <f aca="false">IF(AND(Suaviza=1,$A75&gt;=10,$A75&lt;=97),AVERAGE(K73:K77),K75)</f>
        <v>11848.7463164946</v>
      </c>
      <c r="O75" s="44" t="n">
        <f aca="false">IF(AND(Suaviza=1,$A75&gt;=10,$A75&lt;=97),AVERAGE(F73:F77),F75)</f>
        <v>451572.4</v>
      </c>
      <c r="P75" s="44" t="n">
        <f aca="false">IF(AND(Suaviza=1,$A75&gt;=10,$A75&lt;=97),AVERAGE(G73:G77),G75)</f>
        <v>512640</v>
      </c>
      <c r="Q75" s="44" t="n">
        <f aca="false">IF(AND(Suaviza=1,$A75&gt;=10,$A75&lt;=97),AVERAGE(H73:H77),H75)</f>
        <v>964212.4</v>
      </c>
    </row>
    <row r="76" customFormat="false" ht="15" hidden="false" customHeight="false" outlineLevel="0" collapsed="false">
      <c r="A76" s="42" t="n">
        <v>63</v>
      </c>
      <c r="B76" s="38" t="n">
        <v>6957</v>
      </c>
      <c r="C76" s="38" t="n">
        <v>5304</v>
      </c>
      <c r="D76" s="38" t="n">
        <v>1</v>
      </c>
      <c r="E76" s="43" t="n">
        <f aca="false">SUM(B76:D76)</f>
        <v>12262</v>
      </c>
      <c r="F76" s="38" t="n">
        <v>431407</v>
      </c>
      <c r="G76" s="38" t="n">
        <v>488413</v>
      </c>
      <c r="H76" s="43" t="n">
        <f aca="false">F76+G76</f>
        <v>919820</v>
      </c>
      <c r="I76" s="44" t="n">
        <f aca="false">B76*B$116</f>
        <v>7011.97955452766</v>
      </c>
      <c r="J76" s="44" t="n">
        <f aca="false">C76*C$116</f>
        <v>5310.08283204224</v>
      </c>
      <c r="K76" s="44" t="n">
        <f aca="false">E76*E$116</f>
        <v>12328.954154039</v>
      </c>
      <c r="L76" s="44" t="n">
        <f aca="false">IF(AND(Suaviza=1,$A76&gt;=10,$A76&lt;=97),AVERAGE(I74:I78),I76)</f>
        <v>6953.31961345054</v>
      </c>
      <c r="M76" s="44" t="n">
        <f aca="false">IF(AND(Suaviza=1,$A76&gt;=10,$A76&lt;=97),AVERAGE(J74:J78),J76)</f>
        <v>5159.51034751374</v>
      </c>
      <c r="N76" s="44" t="n">
        <f aca="false">IF(AND(Suaviza=1,$A76&gt;=10,$A76&lt;=97),AVERAGE(K74:K78),K76)</f>
        <v>12118.4107679799</v>
      </c>
      <c r="O76" s="44" t="n">
        <f aca="false">IF(AND(Suaviza=1,$A76&gt;=10,$A76&lt;=97),AVERAGE(F74:F78),F76)</f>
        <v>418515</v>
      </c>
      <c r="P76" s="44" t="n">
        <f aca="false">IF(AND(Suaviza=1,$A76&gt;=10,$A76&lt;=97),AVERAGE(G74:G78),G76)</f>
        <v>475611.6</v>
      </c>
      <c r="Q76" s="44" t="n">
        <f aca="false">IF(AND(Suaviza=1,$A76&gt;=10,$A76&lt;=97),AVERAGE(H74:H78),H76)</f>
        <v>894126.6</v>
      </c>
    </row>
    <row r="77" customFormat="false" ht="15" hidden="false" customHeight="false" outlineLevel="0" collapsed="false">
      <c r="A77" s="42" t="n">
        <v>64</v>
      </c>
      <c r="B77" s="38" t="n">
        <v>7177</v>
      </c>
      <c r="C77" s="38" t="n">
        <v>5359</v>
      </c>
      <c r="D77" s="38" t="n">
        <v>0</v>
      </c>
      <c r="E77" s="43" t="n">
        <f aca="false">SUM(B77:D77)</f>
        <v>12536</v>
      </c>
      <c r="F77" s="38" t="n">
        <v>395100</v>
      </c>
      <c r="G77" s="38" t="n">
        <v>453472</v>
      </c>
      <c r="H77" s="43" t="n">
        <f aca="false">F77+G77</f>
        <v>848572</v>
      </c>
      <c r="I77" s="44" t="n">
        <f aca="false">B77*B$116</f>
        <v>7233.71816341023</v>
      </c>
      <c r="J77" s="44" t="n">
        <f aca="false">C77*C$116</f>
        <v>5365.14590816636</v>
      </c>
      <c r="K77" s="44" t="n">
        <f aca="false">E77*E$116</f>
        <v>12604.4502752432</v>
      </c>
      <c r="L77" s="44" t="n">
        <f aca="false">IF(AND(Suaviza=1,$A77&gt;=10,$A77&lt;=97),AVERAGE(I75:I79),I77)</f>
        <v>7060.76204848182</v>
      </c>
      <c r="M77" s="44" t="n">
        <f aca="false">IF(AND(Suaviza=1,$A77&gt;=10,$A77&lt;=97),AVERAGE(J75:J79),J77)</f>
        <v>5351.53031116112</v>
      </c>
      <c r="N77" s="44" t="n">
        <f aca="false">IF(AND(Suaviza=1,$A77&gt;=10,$A77&lt;=97),AVERAGE(K75:K79),K77)</f>
        <v>12418.4401204155</v>
      </c>
      <c r="O77" s="44" t="n">
        <f aca="false">IF(AND(Suaviza=1,$A77&gt;=10,$A77&lt;=97),AVERAGE(F75:F79),F77)</f>
        <v>412325.6</v>
      </c>
      <c r="P77" s="44" t="n">
        <f aca="false">IF(AND(Suaviza=1,$A77&gt;=10,$A77&lt;=97),AVERAGE(G75:G79),G77)</f>
        <v>468486.6</v>
      </c>
      <c r="Q77" s="44" t="n">
        <f aca="false">IF(AND(Suaviza=1,$A77&gt;=10,$A77&lt;=97),AVERAGE(H75:H79),H77)</f>
        <v>880812.2</v>
      </c>
    </row>
    <row r="78" customFormat="false" ht="15" hidden="false" customHeight="false" outlineLevel="0" collapsed="false">
      <c r="A78" s="42" t="n">
        <v>65</v>
      </c>
      <c r="B78" s="38" t="n">
        <v>7102</v>
      </c>
      <c r="C78" s="38" t="n">
        <v>5448</v>
      </c>
      <c r="D78" s="38" t="n">
        <v>0</v>
      </c>
      <c r="E78" s="43" t="n">
        <f aca="false">SUM(B78:D78)</f>
        <v>12550</v>
      </c>
      <c r="F78" s="38" t="n">
        <v>462245</v>
      </c>
      <c r="G78" s="38" t="n">
        <v>520856</v>
      </c>
      <c r="H78" s="43" t="n">
        <f aca="false">F78+G78</f>
        <v>983101</v>
      </c>
      <c r="I78" s="44" t="n">
        <f aca="false">B78*B$116</f>
        <v>7158.12545583663</v>
      </c>
      <c r="J78" s="44" t="n">
        <f aca="false">C78*C$116</f>
        <v>5454.24797680357</v>
      </c>
      <c r="K78" s="44" t="n">
        <f aca="false">E78*E$116</f>
        <v>12618.5267193924</v>
      </c>
      <c r="L78" s="44" t="n">
        <f aca="false">IF(AND(Suaviza=1,$A78&gt;=10,$A78&lt;=97),AVERAGE(I76:I80),I78)</f>
        <v>7072.8568816936</v>
      </c>
      <c r="M78" s="44" t="n">
        <f aca="false">IF(AND(Suaviza=1,$A78&gt;=10,$A78&lt;=97),AVERAGE(J76:J80),J78)</f>
        <v>5442.8349028433</v>
      </c>
      <c r="N78" s="44" t="n">
        <f aca="false">IF(AND(Suaviza=1,$A78&gt;=10,$A78&lt;=97),AVERAGE(K76:K80),K78)</f>
        <v>12522.2036230005</v>
      </c>
      <c r="O78" s="44" t="n">
        <f aca="false">IF(AND(Suaviza=1,$A78&gt;=10,$A78&lt;=97),AVERAGE(F76:F80),F78)</f>
        <v>384323.2</v>
      </c>
      <c r="P78" s="44" t="n">
        <f aca="false">IF(AND(Suaviza=1,$A78&gt;=10,$A78&lt;=97),AVERAGE(G76:G80),G78)</f>
        <v>435303.6</v>
      </c>
      <c r="Q78" s="44" t="n">
        <f aca="false">IF(AND(Suaviza=1,$A78&gt;=10,$A78&lt;=97),AVERAGE(H76:H80),H78)</f>
        <v>819626.8</v>
      </c>
    </row>
    <row r="79" customFormat="false" ht="15" hidden="false" customHeight="false" outlineLevel="0" collapsed="false">
      <c r="A79" s="42" t="n">
        <v>66</v>
      </c>
      <c r="B79" s="38" t="n">
        <v>7067</v>
      </c>
      <c r="C79" s="38" t="n">
        <v>5618</v>
      </c>
      <c r="D79" s="38" t="n">
        <v>0</v>
      </c>
      <c r="E79" s="43" t="n">
        <f aca="false">SUM(B79:D79)</f>
        <v>12685</v>
      </c>
      <c r="F79" s="38" t="n">
        <v>316121</v>
      </c>
      <c r="G79" s="38" t="n">
        <v>363669</v>
      </c>
      <c r="H79" s="43" t="n">
        <f aca="false">F79+G79</f>
        <v>679790</v>
      </c>
      <c r="I79" s="44" t="n">
        <f aca="false">B79*B$116</f>
        <v>7122.84885896895</v>
      </c>
      <c r="J79" s="44" t="n">
        <f aca="false">C79*C$116</f>
        <v>5624.44293936902</v>
      </c>
      <c r="K79" s="44" t="n">
        <f aca="false">E79*E$116</f>
        <v>12754.2638594018</v>
      </c>
      <c r="L79" s="44" t="n">
        <f aca="false">IF(AND(Suaviza=1,$A79&gt;=10,$A79&lt;=97),AVERAGE(I77:I81),I79)</f>
        <v>7131.91998387778</v>
      </c>
      <c r="M79" s="44" t="n">
        <f aca="false">IF(AND(Suaviza=1,$A79&gt;=10,$A79&lt;=97),AVERAGE(J77:J81),J79)</f>
        <v>5579.59156099883</v>
      </c>
      <c r="N79" s="44" t="n">
        <f aca="false">IF(AND(Suaviza=1,$A79&gt;=10,$A79&lt;=97),AVERAGE(K77:K81),K79)</f>
        <v>12718.4694728511</v>
      </c>
      <c r="O79" s="44" t="n">
        <f aca="false">IF(AND(Suaviza=1,$A79&gt;=10,$A79&lt;=97),AVERAGE(F77:F81),F79)</f>
        <v>367950.2</v>
      </c>
      <c r="P79" s="44" t="n">
        <f aca="false">IF(AND(Suaviza=1,$A79&gt;=10,$A79&lt;=97),AVERAGE(G77:G81),G79)</f>
        <v>418455.2</v>
      </c>
      <c r="Q79" s="44" t="n">
        <f aca="false">IF(AND(Suaviza=1,$A79&gt;=10,$A79&lt;=97),AVERAGE(H77:H81),H79)</f>
        <v>786405.4</v>
      </c>
    </row>
    <row r="80" customFormat="false" ht="15" hidden="false" customHeight="false" outlineLevel="0" collapsed="false">
      <c r="A80" s="42" t="n">
        <v>67</v>
      </c>
      <c r="B80" s="38" t="n">
        <v>6784</v>
      </c>
      <c r="C80" s="38" t="n">
        <v>5454</v>
      </c>
      <c r="D80" s="38" t="n">
        <v>0</v>
      </c>
      <c r="E80" s="43" t="n">
        <f aca="false">SUM(B80:D80)</f>
        <v>12238</v>
      </c>
      <c r="F80" s="38" t="n">
        <v>316743</v>
      </c>
      <c r="G80" s="38" t="n">
        <v>350108</v>
      </c>
      <c r="H80" s="43" t="n">
        <f aca="false">F80+G80</f>
        <v>666851</v>
      </c>
      <c r="I80" s="44" t="n">
        <f aca="false">B80*B$116</f>
        <v>6837.61237572454</v>
      </c>
      <c r="J80" s="44" t="n">
        <f aca="false">C80*C$116</f>
        <v>5460.25485783529</v>
      </c>
      <c r="K80" s="44" t="n">
        <f aca="false">E80*E$116</f>
        <v>12304.8231069262</v>
      </c>
      <c r="L80" s="44" t="n">
        <f aca="false">IF(AND(Suaviza=1,$A80&gt;=10,$A80&lt;=97),AVERAGE(I78:I82),I80)</f>
        <v>7136.75791716249</v>
      </c>
      <c r="M80" s="44" t="n">
        <f aca="false">IF(AND(Suaviza=1,$A80&gt;=10,$A80&lt;=97),AVERAGE(J78:J82),J80)</f>
        <v>5717.74982472844</v>
      </c>
      <c r="N80" s="44" t="n">
        <f aca="false">IF(AND(Suaviza=1,$A80&gt;=10,$A80&lt;=97),AVERAGE(K78:K82),K80)</f>
        <v>12862.0492031722</v>
      </c>
      <c r="O80" s="44" t="n">
        <f aca="false">IF(AND(Suaviza=1,$A80&gt;=10,$A80&lt;=97),AVERAGE(F78:F82),F80)</f>
        <v>341370</v>
      </c>
      <c r="P80" s="44" t="n">
        <f aca="false">IF(AND(Suaviza=1,$A80&gt;=10,$A80&lt;=97),AVERAGE(G78:G82),G80)</f>
        <v>387645.4</v>
      </c>
      <c r="Q80" s="44" t="n">
        <f aca="false">IF(AND(Suaviza=1,$A80&gt;=10,$A80&lt;=97),AVERAGE(H78:H82),H80)</f>
        <v>729015.4</v>
      </c>
    </row>
    <row r="81" customFormat="false" ht="15" hidden="false" customHeight="false" outlineLevel="0" collapsed="false">
      <c r="A81" s="42" t="n">
        <v>68</v>
      </c>
      <c r="B81" s="38" t="n">
        <v>7250</v>
      </c>
      <c r="C81" s="38" t="n">
        <v>5987</v>
      </c>
      <c r="D81" s="38" t="n">
        <v>1</v>
      </c>
      <c r="E81" s="43" t="n">
        <f aca="false">SUM(B81:D81)</f>
        <v>13238</v>
      </c>
      <c r="F81" s="38" t="n">
        <v>349542</v>
      </c>
      <c r="G81" s="38" t="n">
        <v>404171</v>
      </c>
      <c r="H81" s="43" t="n">
        <f aca="false">F81+G81</f>
        <v>753713</v>
      </c>
      <c r="I81" s="44" t="n">
        <f aca="false">B81*B$116</f>
        <v>7307.29506544854</v>
      </c>
      <c r="J81" s="44" t="n">
        <f aca="false">C81*C$116</f>
        <v>5993.86612281992</v>
      </c>
      <c r="K81" s="44" t="n">
        <f aca="false">E81*E$116</f>
        <v>13310.2834032921</v>
      </c>
      <c r="L81" s="44" t="n">
        <f aca="false">IF(AND(Suaviza=1,$A81&gt;=10,$A81&lt;=97),AVERAGE(I79:I83),I81)</f>
        <v>7189.16886108019</v>
      </c>
      <c r="M81" s="44" t="n">
        <f aca="false">IF(AND(Suaviza=1,$A81&gt;=10,$A81&lt;=97),AVERAGE(J79:J83),J81)</f>
        <v>5795.23859003765</v>
      </c>
      <c r="N81" s="44" t="n">
        <f aca="false">IF(AND(Suaviza=1,$A81&gt;=10,$A81&lt;=97),AVERAGE(K79:K83),K81)</f>
        <v>12992.1557655219</v>
      </c>
      <c r="O81" s="44" t="n">
        <f aca="false">IF(AND(Suaviza=1,$A81&gt;=10,$A81&lt;=97),AVERAGE(F79:F83),F81)</f>
        <v>315413.8</v>
      </c>
      <c r="P81" s="44" t="n">
        <f aca="false">IF(AND(Suaviza=1,$A81&gt;=10,$A81&lt;=97),AVERAGE(G79:G83),G81)</f>
        <v>360230.6</v>
      </c>
      <c r="Q81" s="44" t="n">
        <f aca="false">IF(AND(Suaviza=1,$A81&gt;=10,$A81&lt;=97),AVERAGE(H79:H83),H81)</f>
        <v>675644.4</v>
      </c>
    </row>
    <row r="82" customFormat="false" ht="15" hidden="false" customHeight="false" outlineLevel="0" collapsed="false">
      <c r="A82" s="42" t="n">
        <v>69</v>
      </c>
      <c r="B82" s="38" t="n">
        <v>7201</v>
      </c>
      <c r="C82" s="38" t="n">
        <v>6049</v>
      </c>
      <c r="D82" s="38" t="n">
        <v>0</v>
      </c>
      <c r="E82" s="43" t="n">
        <f aca="false">SUM(B82:D82)</f>
        <v>13250</v>
      </c>
      <c r="F82" s="38" t="n">
        <v>262199</v>
      </c>
      <c r="G82" s="38" t="n">
        <v>299423</v>
      </c>
      <c r="H82" s="43" t="n">
        <f aca="false">F82+G82</f>
        <v>561622</v>
      </c>
      <c r="I82" s="44" t="n">
        <f aca="false">B82*B$116</f>
        <v>7257.90782983379</v>
      </c>
      <c r="J82" s="44" t="n">
        <f aca="false">C82*C$116</f>
        <v>6055.93722681439</v>
      </c>
      <c r="K82" s="44" t="n">
        <f aca="false">E82*E$116</f>
        <v>13322.3489268485</v>
      </c>
      <c r="L82" s="44" t="n">
        <f aca="false">IF(AND(Suaviza=1,$A82&gt;=10,$A82&lt;=97),AVERAGE(I80:I84),I82)</f>
        <v>7286.73384898852</v>
      </c>
      <c r="M82" s="44" t="n">
        <f aca="false">IF(AND(Suaviza=1,$A82&gt;=10,$A82&lt;=97),AVERAGE(J80:J84),J82)</f>
        <v>5912.77322889168</v>
      </c>
      <c r="N82" s="44" t="n">
        <f aca="false">IF(AND(Suaviza=1,$A82&gt;=10,$A82&lt;=97),AVERAGE(K80:K84),K82)</f>
        <v>13207.5253610035</v>
      </c>
      <c r="O82" s="44" t="n">
        <f aca="false">IF(AND(Suaviza=1,$A82&gt;=10,$A82&lt;=97),AVERAGE(F80:F84),F82)</f>
        <v>291025.8</v>
      </c>
      <c r="P82" s="44" t="n">
        <f aca="false">IF(AND(Suaviza=1,$A82&gt;=10,$A82&lt;=97),AVERAGE(G80:G84),G82)</f>
        <v>331362</v>
      </c>
      <c r="Q82" s="44" t="n">
        <f aca="false">IF(AND(Suaviza=1,$A82&gt;=10,$A82&lt;=97),AVERAGE(H80:H84),H82)</f>
        <v>622387.8</v>
      </c>
    </row>
    <row r="83" customFormat="false" ht="15" hidden="false" customHeight="false" outlineLevel="0" collapsed="false">
      <c r="A83" s="42" t="n">
        <v>70</v>
      </c>
      <c r="B83" s="38" t="n">
        <v>7362</v>
      </c>
      <c r="C83" s="38" t="n">
        <v>5835</v>
      </c>
      <c r="D83" s="38" t="n">
        <v>0</v>
      </c>
      <c r="E83" s="43" t="n">
        <f aca="false">SUM(B83:D83)</f>
        <v>13197</v>
      </c>
      <c r="F83" s="38" t="n">
        <v>332464</v>
      </c>
      <c r="G83" s="38" t="n">
        <v>383782</v>
      </c>
      <c r="H83" s="43" t="n">
        <f aca="false">F83+G83</f>
        <v>716246</v>
      </c>
      <c r="I83" s="44" t="n">
        <f aca="false">B83*B$116</f>
        <v>7420.18017542513</v>
      </c>
      <c r="J83" s="44" t="n">
        <f aca="false">C83*C$116</f>
        <v>5841.69180334963</v>
      </c>
      <c r="K83" s="44" t="n">
        <f aca="false">E83*E$116</f>
        <v>13269.0595311411</v>
      </c>
      <c r="L83" s="44" t="n">
        <f aca="false">IF(AND(Suaviza=1,$A83&gt;=10,$A83&lt;=97),AVERAGE(I81:I85),I83)</f>
        <v>7456.86783616752</v>
      </c>
      <c r="M83" s="44" t="n">
        <f aca="false">IF(AND(Suaviza=1,$A83&gt;=10,$A83&lt;=97),AVERAGE(J81:J85),J83)</f>
        <v>6087.17300817934</v>
      </c>
      <c r="N83" s="44" t="n">
        <f aca="false">IF(AND(Suaviza=1,$A83&gt;=10,$A83&lt;=97),AVERAGE(K81:K85),K83)</f>
        <v>13552.398242657</v>
      </c>
      <c r="O83" s="44" t="n">
        <f aca="false">IF(AND(Suaviza=1,$A83&gt;=10,$A83&lt;=97),AVERAGE(F81:F85),F83)</f>
        <v>282243.2</v>
      </c>
      <c r="P83" s="44" t="n">
        <f aca="false">IF(AND(Suaviza=1,$A83&gt;=10,$A83&lt;=97),AVERAGE(G81:G85),G83)</f>
        <v>322776.6</v>
      </c>
      <c r="Q83" s="44" t="n">
        <f aca="false">IF(AND(Suaviza=1,$A83&gt;=10,$A83&lt;=97),AVERAGE(H81:H85),H83)</f>
        <v>605019.8</v>
      </c>
    </row>
    <row r="84" customFormat="false" ht="15" hidden="false" customHeight="false" outlineLevel="0" collapsed="false">
      <c r="A84" s="42" t="n">
        <v>71</v>
      </c>
      <c r="B84" s="38" t="n">
        <v>7551</v>
      </c>
      <c r="C84" s="38" t="n">
        <v>6205</v>
      </c>
      <c r="D84" s="38" t="n">
        <v>0</v>
      </c>
      <c r="E84" s="43" t="n">
        <f aca="false">SUM(B84:D84)</f>
        <v>13756</v>
      </c>
      <c r="F84" s="38" t="n">
        <v>194181</v>
      </c>
      <c r="G84" s="38" t="n">
        <v>219326</v>
      </c>
      <c r="H84" s="43" t="n">
        <f aca="false">F84+G84</f>
        <v>413507</v>
      </c>
      <c r="I84" s="44" t="n">
        <f aca="false">B84*B$116</f>
        <v>7610.67379851061</v>
      </c>
      <c r="J84" s="44" t="n">
        <f aca="false">C84*C$116</f>
        <v>6212.11613363916</v>
      </c>
      <c r="K84" s="44" t="n">
        <f aca="false">E84*E$116</f>
        <v>13831.1118368097</v>
      </c>
      <c r="L84" s="44" t="n">
        <f aca="false">IF(AND(Suaviza=1,$A84&gt;=10,$A84&lt;=97),AVERAGE(I82:I86),I84)</f>
        <v>7537.70163813289</v>
      </c>
      <c r="M84" s="44" t="n">
        <f aca="false">IF(AND(Suaviza=1,$A84&gt;=10,$A84&lt;=97),AVERAGE(J82:J86),J84)</f>
        <v>6187.08746267365</v>
      </c>
      <c r="N84" s="44" t="n">
        <f aca="false">IF(AND(Suaviza=1,$A84&gt;=10,$A84&lt;=97),AVERAGE(K82:K86),K84)</f>
        <v>13733.1800039436</v>
      </c>
      <c r="O84" s="44" t="n">
        <f aca="false">IF(AND(Suaviza=1,$A84&gt;=10,$A84&lt;=97),AVERAGE(F82:F86),F84)</f>
        <v>257092.4</v>
      </c>
      <c r="P84" s="44" t="n">
        <f aca="false">IF(AND(Suaviza=1,$A84&gt;=10,$A84&lt;=97),AVERAGE(G82:G86),G84)</f>
        <v>293269.6</v>
      </c>
      <c r="Q84" s="44" t="n">
        <f aca="false">IF(AND(Suaviza=1,$A84&gt;=10,$A84&lt;=97),AVERAGE(H82:H86),H84)</f>
        <v>550362</v>
      </c>
    </row>
    <row r="85" customFormat="false" ht="15" hidden="false" customHeight="false" outlineLevel="0" collapsed="false">
      <c r="A85" s="42" t="n">
        <v>72</v>
      </c>
      <c r="B85" s="38" t="n">
        <v>7628</v>
      </c>
      <c r="C85" s="38" t="n">
        <v>6325</v>
      </c>
      <c r="D85" s="38" t="n">
        <v>0</v>
      </c>
      <c r="E85" s="43" t="n">
        <f aca="false">SUM(B85:D85)</f>
        <v>13953</v>
      </c>
      <c r="F85" s="38" t="n">
        <v>272830</v>
      </c>
      <c r="G85" s="38" t="n">
        <v>307181</v>
      </c>
      <c r="H85" s="43" t="n">
        <f aca="false">F85+G85</f>
        <v>580011</v>
      </c>
      <c r="I85" s="44" t="n">
        <f aca="false">B85*B$116</f>
        <v>7688.28231161952</v>
      </c>
      <c r="J85" s="44" t="n">
        <f aca="false">C85*C$116</f>
        <v>6332.2537542736</v>
      </c>
      <c r="K85" s="44" t="n">
        <f aca="false">E85*E$116</f>
        <v>14029.1875151938</v>
      </c>
      <c r="L85" s="44" t="n">
        <f aca="false">IF(AND(Suaviza=1,$A85&gt;=10,$A85&lt;=97),AVERAGE(I83:I87),I85)</f>
        <v>7649.57884534183</v>
      </c>
      <c r="M85" s="44" t="n">
        <f aca="false">IF(AND(Suaviza=1,$A85&gt;=10,$A85&lt;=97),AVERAGE(J83:J87),J85)</f>
        <v>6327.44824944822</v>
      </c>
      <c r="N85" s="44" t="n">
        <f aca="false">IF(AND(Suaviza=1,$A85&gt;=10,$A85&lt;=97),AVERAGE(K83:K87),K85)</f>
        <v>13985.7516303907</v>
      </c>
      <c r="O85" s="44" t="n">
        <f aca="false">IF(AND(Suaviza=1,$A85&gt;=10,$A85&lt;=97),AVERAGE(F83:F87),F85)</f>
        <v>246698.4</v>
      </c>
      <c r="P85" s="44" t="n">
        <f aca="false">IF(AND(Suaviza=1,$A85&gt;=10,$A85&lt;=97),AVERAGE(G83:G87),G85)</f>
        <v>282769.6</v>
      </c>
      <c r="Q85" s="44" t="n">
        <f aca="false">IF(AND(Suaviza=1,$A85&gt;=10,$A85&lt;=97),AVERAGE(H83:H87),H85)</f>
        <v>529468</v>
      </c>
    </row>
    <row r="86" customFormat="false" ht="15" hidden="false" customHeight="false" outlineLevel="0" collapsed="false">
      <c r="A86" s="42" t="n">
        <v>73</v>
      </c>
      <c r="B86" s="38" t="n">
        <v>7651</v>
      </c>
      <c r="C86" s="38" t="n">
        <v>6486</v>
      </c>
      <c r="D86" s="38" t="n">
        <v>0</v>
      </c>
      <c r="E86" s="43" t="n">
        <f aca="false">SUM(B86:D86)</f>
        <v>14137</v>
      </c>
      <c r="F86" s="38" t="n">
        <v>223788</v>
      </c>
      <c r="G86" s="38" t="n">
        <v>256636</v>
      </c>
      <c r="H86" s="43" t="n">
        <f aca="false">F86+G86</f>
        <v>480424</v>
      </c>
      <c r="I86" s="44" t="n">
        <f aca="false">B86*B$116</f>
        <v>7711.46407527542</v>
      </c>
      <c r="J86" s="44" t="n">
        <f aca="false">C86*C$116</f>
        <v>6493.43839529147</v>
      </c>
      <c r="K86" s="44" t="n">
        <f aca="false">E86*E$116</f>
        <v>14214.1922097251</v>
      </c>
      <c r="L86" s="44" t="n">
        <f aca="false">IF(AND(Suaviza=1,$A86&gt;=10,$A86&lt;=97),AVERAGE(I84:I88),I86)</f>
        <v>7699.36924206365</v>
      </c>
      <c r="M86" s="44" t="n">
        <f aca="false">IF(AND(Suaviza=1,$A86&gt;=10,$A86&lt;=97),AVERAGE(J84:J88),J86)</f>
        <v>6481.02417449258</v>
      </c>
      <c r="N86" s="44" t="n">
        <f aca="false">IF(AND(Suaviza=1,$A86&gt;=10,$A86&lt;=97),AVERAGE(K84:K88),K86)</f>
        <v>14189.860070553</v>
      </c>
      <c r="O86" s="44" t="n">
        <f aca="false">IF(AND(Suaviza=1,$A86&gt;=10,$A86&lt;=97),AVERAGE(F84:F88),F86)</f>
        <v>224101.4</v>
      </c>
      <c r="P86" s="44" t="n">
        <f aca="false">IF(AND(Suaviza=1,$A86&gt;=10,$A86&lt;=97),AVERAGE(G84:G88),G86)</f>
        <v>256140.4</v>
      </c>
      <c r="Q86" s="44" t="n">
        <f aca="false">IF(AND(Suaviza=1,$A86&gt;=10,$A86&lt;=97),AVERAGE(H84:H88),H86)</f>
        <v>480241.8</v>
      </c>
    </row>
    <row r="87" customFormat="false" ht="15" hidden="false" customHeight="false" outlineLevel="0" collapsed="false">
      <c r="A87" s="42" t="n">
        <v>74</v>
      </c>
      <c r="B87" s="38" t="n">
        <v>7756</v>
      </c>
      <c r="C87" s="38" t="n">
        <v>6750</v>
      </c>
      <c r="D87" s="38" t="n">
        <v>0</v>
      </c>
      <c r="E87" s="43" t="n">
        <f aca="false">SUM(B87:D87)</f>
        <v>14506</v>
      </c>
      <c r="F87" s="38" t="n">
        <v>210229</v>
      </c>
      <c r="G87" s="38" t="n">
        <v>246923</v>
      </c>
      <c r="H87" s="43" t="n">
        <f aca="false">F87+G87</f>
        <v>457152</v>
      </c>
      <c r="I87" s="44" t="n">
        <f aca="false">B87*B$116</f>
        <v>7817.29386587847</v>
      </c>
      <c r="J87" s="44" t="n">
        <f aca="false">C87*C$116</f>
        <v>6757.74116068724</v>
      </c>
      <c r="K87" s="44" t="n">
        <f aca="false">E87*E$116</f>
        <v>14585.2070590841</v>
      </c>
      <c r="L87" s="44" t="n">
        <f aca="false">IF(AND(Suaviza=1,$A87&gt;=10,$A87&lt;=97),AVERAGE(I85:I89),I87)</f>
        <v>7747.34541380369</v>
      </c>
      <c r="M87" s="44" t="n">
        <f aca="false">IF(AND(Suaviza=1,$A87&gt;=10,$A87&lt;=97),AVERAGE(J85:J89),J87)</f>
        <v>6591.35055610854</v>
      </c>
      <c r="N87" s="44" t="n">
        <f aca="false">IF(AND(Suaviza=1,$A87&gt;=10,$A87&lt;=97),AVERAGE(K85:K89),K87)</f>
        <v>14348.5217053196</v>
      </c>
      <c r="O87" s="44" t="n">
        <f aca="false">IF(AND(Suaviza=1,$A87&gt;=10,$A87&lt;=97),AVERAGE(F85:F89),F87)</f>
        <v>220921.6</v>
      </c>
      <c r="P87" s="44" t="n">
        <f aca="false">IF(AND(Suaviza=1,$A87&gt;=10,$A87&lt;=97),AVERAGE(G85:G89),G87)</f>
        <v>253352.2</v>
      </c>
      <c r="Q87" s="44" t="n">
        <f aca="false">IF(AND(Suaviza=1,$A87&gt;=10,$A87&lt;=97),AVERAGE(H85:H89),H87)</f>
        <v>474273.8</v>
      </c>
    </row>
    <row r="88" customFormat="false" ht="15" hidden="false" customHeight="false" outlineLevel="0" collapsed="false">
      <c r="A88" s="42" t="n">
        <v>75</v>
      </c>
      <c r="B88" s="38" t="n">
        <v>7609</v>
      </c>
      <c r="C88" s="38" t="n">
        <v>6602</v>
      </c>
      <c r="D88" s="38" t="n">
        <v>1</v>
      </c>
      <c r="E88" s="43" t="n">
        <f aca="false">SUM(B88:D88)</f>
        <v>14212</v>
      </c>
      <c r="F88" s="38" t="n">
        <v>219479</v>
      </c>
      <c r="G88" s="38" t="n">
        <v>250636</v>
      </c>
      <c r="H88" s="43" t="n">
        <f aca="false">F88+G88</f>
        <v>470115</v>
      </c>
      <c r="I88" s="44" t="n">
        <f aca="false">B88*B$116</f>
        <v>7669.1321590342</v>
      </c>
      <c r="J88" s="44" t="n">
        <f aca="false">C88*C$116</f>
        <v>6609.57142857143</v>
      </c>
      <c r="K88" s="44" t="n">
        <f aca="false">E88*E$116</f>
        <v>14289.6017319525</v>
      </c>
      <c r="L88" s="44" t="n">
        <f aca="false">IF(AND(Suaviza=1,$A88&gt;=10,$A88&lt;=97),AVERAGE(I86:I90),I88)</f>
        <v>7759.03708590841</v>
      </c>
      <c r="M88" s="44" t="n">
        <f aca="false">IF(AND(Suaviza=1,$A88&gt;=10,$A88&lt;=97),AVERAGE(J86:J90),J88)</f>
        <v>6677.64941359761</v>
      </c>
      <c r="N88" s="44" t="n">
        <f aca="false">IF(AND(Suaviza=1,$A88&gt;=10,$A88&lt;=97),AVERAGE(K86:K90),K88)</f>
        <v>14447.2579064227</v>
      </c>
      <c r="O88" s="44" t="n">
        <f aca="false">IF(AND(Suaviza=1,$A88&gt;=10,$A88&lt;=97),AVERAGE(F86:F90),F88)</f>
        <v>196053.4</v>
      </c>
      <c r="P88" s="44" t="n">
        <f aca="false">IF(AND(Suaviza=1,$A88&gt;=10,$A88&lt;=97),AVERAGE(G86:G90),G88)</f>
        <v>225701.6</v>
      </c>
      <c r="Q88" s="44" t="n">
        <f aca="false">IF(AND(Suaviza=1,$A88&gt;=10,$A88&lt;=97),AVERAGE(H86:H90),H88)</f>
        <v>421755</v>
      </c>
    </row>
    <row r="89" customFormat="false" ht="15" hidden="false" customHeight="false" outlineLevel="0" collapsed="false">
      <c r="A89" s="42" t="n">
        <v>76</v>
      </c>
      <c r="B89" s="38" t="n">
        <v>7789</v>
      </c>
      <c r="C89" s="38" t="n">
        <v>6756</v>
      </c>
      <c r="D89" s="38" t="n">
        <v>0</v>
      </c>
      <c r="E89" s="43" t="n">
        <f aca="false">SUM(B89:D89)</f>
        <v>14545</v>
      </c>
      <c r="F89" s="38" t="n">
        <v>178282</v>
      </c>
      <c r="G89" s="38" t="n">
        <v>205385</v>
      </c>
      <c r="H89" s="43" t="n">
        <f aca="false">F89+G89</f>
        <v>383667</v>
      </c>
      <c r="I89" s="44" t="n">
        <f aca="false">B89*B$116</f>
        <v>7850.55465721086</v>
      </c>
      <c r="J89" s="44" t="n">
        <f aca="false">C89*C$116</f>
        <v>6763.74804171896</v>
      </c>
      <c r="K89" s="44" t="n">
        <f aca="false">E89*E$116</f>
        <v>14624.4200106424</v>
      </c>
      <c r="L89" s="44" t="n">
        <f aca="false">IF(AND(Suaviza=1,$A89&gt;=10,$A89&lt;=97),AVERAGE(I87:I91),I89)</f>
        <v>7803.1832271314</v>
      </c>
      <c r="M89" s="44" t="n">
        <f aca="false">IF(AND(Suaviza=1,$A89&gt;=10,$A89&lt;=97),AVERAGE(J87:J91),J89)</f>
        <v>6859.45767949106</v>
      </c>
      <c r="N89" s="44" t="n">
        <f aca="false">IF(AND(Suaviza=1,$A89&gt;=10,$A89&lt;=97),AVERAGE(K87:K91),K89)</f>
        <v>14673.8886572236</v>
      </c>
      <c r="O89" s="44" t="n">
        <f aca="false">IF(AND(Suaviza=1,$A89&gt;=10,$A89&lt;=97),AVERAGE(F87:F91),F89)</f>
        <v>185521.4</v>
      </c>
      <c r="P89" s="44" t="n">
        <f aca="false">IF(AND(Suaviza=1,$A89&gt;=10,$A89&lt;=97),AVERAGE(G87:G91),G89)</f>
        <v>212728.4</v>
      </c>
      <c r="Q89" s="44" t="n">
        <f aca="false">IF(AND(Suaviza=1,$A89&gt;=10,$A89&lt;=97),AVERAGE(H87:H91),H89)</f>
        <v>398249.8</v>
      </c>
    </row>
    <row r="90" customFormat="false" ht="15" hidden="false" customHeight="false" outlineLevel="0" collapsed="false">
      <c r="A90" s="42" t="n">
        <v>77</v>
      </c>
      <c r="B90" s="38" t="n">
        <v>7686</v>
      </c>
      <c r="C90" s="38" t="n">
        <v>6756</v>
      </c>
      <c r="D90" s="38" t="n">
        <v>2</v>
      </c>
      <c r="E90" s="43" t="n">
        <f aca="false">SUM(B90:D90)</f>
        <v>14444</v>
      </c>
      <c r="F90" s="38" t="n">
        <v>148489</v>
      </c>
      <c r="G90" s="38" t="n">
        <v>168928</v>
      </c>
      <c r="H90" s="43" t="n">
        <f aca="false">F90+G90</f>
        <v>317417</v>
      </c>
      <c r="I90" s="44" t="n">
        <f aca="false">B90*B$116</f>
        <v>7746.7406721431</v>
      </c>
      <c r="J90" s="44" t="n">
        <f aca="false">C90*C$116</f>
        <v>6763.74804171896</v>
      </c>
      <c r="K90" s="44" t="n">
        <f aca="false">E90*E$116</f>
        <v>14522.8685207094</v>
      </c>
      <c r="L90" s="44" t="n">
        <f aca="false">IF(AND(Suaviza=1,$A90&gt;=10,$A90&lt;=97),AVERAGE(I88:I92),I90)</f>
        <v>7841.68511285555</v>
      </c>
      <c r="M90" s="44" t="n">
        <f aca="false">IF(AND(Suaviza=1,$A90&gt;=10,$A90&lt;=97),AVERAGE(J88:J92),J90)</f>
        <v>7013.23383390315</v>
      </c>
      <c r="N90" s="44" t="n">
        <f aca="false">IF(AND(Suaviza=1,$A90&gt;=10,$A90&lt;=97),AVERAGE(K88:K92),K90)</f>
        <v>14866.7359420666</v>
      </c>
      <c r="O90" s="44" t="n">
        <f aca="false">IF(AND(Suaviza=1,$A90&gt;=10,$A90&lt;=97),AVERAGE(F88:F92),F90)</f>
        <v>169579.6</v>
      </c>
      <c r="P90" s="44" t="n">
        <f aca="false">IF(AND(Suaviza=1,$A90&gt;=10,$A90&lt;=97),AVERAGE(G88:G92),G90)</f>
        <v>193336.8</v>
      </c>
      <c r="Q90" s="44" t="n">
        <f aca="false">IF(AND(Suaviza=1,$A90&gt;=10,$A90&lt;=97),AVERAGE(H88:H92),H90)</f>
        <v>362916.4</v>
      </c>
    </row>
    <row r="91" customFormat="false" ht="15" hidden="false" customHeight="false" outlineLevel="0" collapsed="false">
      <c r="A91" s="42" t="n">
        <v>78</v>
      </c>
      <c r="B91" s="38" t="n">
        <v>7870</v>
      </c>
      <c r="C91" s="38" t="n">
        <v>7394</v>
      </c>
      <c r="D91" s="38" t="n">
        <v>0</v>
      </c>
      <c r="E91" s="43" t="n">
        <f aca="false">SUM(B91:D91)</f>
        <v>15264</v>
      </c>
      <c r="F91" s="38" t="n">
        <v>171128</v>
      </c>
      <c r="G91" s="38" t="n">
        <v>191770</v>
      </c>
      <c r="H91" s="43" t="n">
        <f aca="false">F91+G91</f>
        <v>362898</v>
      </c>
      <c r="I91" s="44" t="n">
        <f aca="false">B91*B$116</f>
        <v>7932.19478139035</v>
      </c>
      <c r="J91" s="44" t="n">
        <f aca="false">C91*C$116</f>
        <v>7402.47972475873</v>
      </c>
      <c r="K91" s="44" t="n">
        <f aca="false">E91*E$116</f>
        <v>15347.3459637295</v>
      </c>
      <c r="L91" s="44" t="n">
        <f aca="false">IF(AND(Suaviza=1,$A91&gt;=10,$A91&lt;=97),AVERAGE(I89:I93),I91)</f>
        <v>7875.95380695559</v>
      </c>
      <c r="M91" s="44" t="n">
        <f aca="false">IF(AND(Suaviza=1,$A91&gt;=10,$A91&lt;=97),AVERAGE(J89:J93),J91)</f>
        <v>7175.41962175964</v>
      </c>
      <c r="N91" s="44" t="n">
        <f aca="false">IF(AND(Suaviza=1,$A91&gt;=10,$A91&lt;=97),AVERAGE(K89:K93),K91)</f>
        <v>15063.605068095</v>
      </c>
      <c r="O91" s="44" t="n">
        <f aca="false">IF(AND(Suaviza=1,$A91&gt;=10,$A91&lt;=97),AVERAGE(F89:F93),F91)</f>
        <v>156917.8</v>
      </c>
      <c r="P91" s="44" t="n">
        <f aca="false">IF(AND(Suaviza=1,$A91&gt;=10,$A91&lt;=97),AVERAGE(G89:G93),G91)</f>
        <v>181776</v>
      </c>
      <c r="Q91" s="44" t="n">
        <f aca="false">IF(AND(Suaviza=1,$A91&gt;=10,$A91&lt;=97),AVERAGE(H89:H93),H91)</f>
        <v>338693.8</v>
      </c>
    </row>
    <row r="92" customFormat="false" ht="15" hidden="false" customHeight="false" outlineLevel="0" collapsed="false">
      <c r="A92" s="42" t="n">
        <v>79</v>
      </c>
      <c r="B92" s="38" t="n">
        <v>7947</v>
      </c>
      <c r="C92" s="38" t="n">
        <v>7518</v>
      </c>
      <c r="D92" s="38" t="n">
        <v>0</v>
      </c>
      <c r="E92" s="43" t="n">
        <f aca="false">SUM(B92:D92)</f>
        <v>15465</v>
      </c>
      <c r="F92" s="38" t="n">
        <v>130520</v>
      </c>
      <c r="G92" s="38" t="n">
        <v>149965</v>
      </c>
      <c r="H92" s="43" t="n">
        <f aca="false">F92+G92</f>
        <v>280485</v>
      </c>
      <c r="I92" s="44" t="n">
        <f aca="false">B92*B$116</f>
        <v>8009.80329449925</v>
      </c>
      <c r="J92" s="44" t="n">
        <f aca="false">C92*C$116</f>
        <v>7526.62193274765</v>
      </c>
      <c r="K92" s="44" t="n">
        <f aca="false">E92*E$116</f>
        <v>15549.443483299</v>
      </c>
      <c r="L92" s="44" t="n">
        <f aca="false">IF(AND(Suaviza=1,$A92&gt;=10,$A92&lt;=97),AVERAGE(I90:I94),I92)</f>
        <v>7824.34918525201</v>
      </c>
      <c r="M92" s="44" t="n">
        <f aca="false">IF(AND(Suaviza=1,$A92&gt;=10,$A92&lt;=97),AVERAGE(J90:J94),J92)</f>
        <v>7315.78040853421</v>
      </c>
      <c r="N92" s="44" t="n">
        <f aca="false">IF(AND(Suaviza=1,$A92&gt;=10,$A92&lt;=97),AVERAGE(K90:K94),K92)</f>
        <v>15153.0910344716</v>
      </c>
      <c r="O92" s="44" t="n">
        <f aca="false">IF(AND(Suaviza=1,$A92&gt;=10,$A92&lt;=97),AVERAGE(F90:F94),F92)</f>
        <v>137935</v>
      </c>
      <c r="P92" s="44" t="n">
        <f aca="false">IF(AND(Suaviza=1,$A92&gt;=10,$A92&lt;=97),AVERAGE(G90:G94),G92)</f>
        <v>160366.2</v>
      </c>
      <c r="Q92" s="44" t="n">
        <f aca="false">IF(AND(Suaviza=1,$A92&gt;=10,$A92&lt;=97),AVERAGE(H90:H94),H92)</f>
        <v>298301.2</v>
      </c>
    </row>
    <row r="93" customFormat="false" ht="15" hidden="false" customHeight="false" outlineLevel="0" collapsed="false">
      <c r="A93" s="42" t="n">
        <v>80</v>
      </c>
      <c r="B93" s="38" t="n">
        <v>7779</v>
      </c>
      <c r="C93" s="38" t="n">
        <v>7412</v>
      </c>
      <c r="D93" s="38" t="n">
        <v>0</v>
      </c>
      <c r="E93" s="43" t="n">
        <f aca="false">SUM(B93:D93)</f>
        <v>15191</v>
      </c>
      <c r="F93" s="38" t="n">
        <v>156170</v>
      </c>
      <c r="G93" s="38" t="n">
        <v>192832</v>
      </c>
      <c r="H93" s="43" t="n">
        <f aca="false">F93+G93</f>
        <v>349002</v>
      </c>
      <c r="I93" s="44" t="n">
        <f aca="false">B93*B$116</f>
        <v>7840.47562953438</v>
      </c>
      <c r="J93" s="44" t="n">
        <f aca="false">C93*C$116</f>
        <v>7420.5003678539</v>
      </c>
      <c r="K93" s="44" t="n">
        <f aca="false">E93*E$116</f>
        <v>15273.9473620948</v>
      </c>
      <c r="L93" s="44" t="n">
        <f aca="false">IF(AND(Suaviza=1,$A93&gt;=10,$A93&lt;=97),AVERAGE(I91:I95),I93)</f>
        <v>7815.07647978964</v>
      </c>
      <c r="M93" s="44" t="n">
        <f aca="false">IF(AND(Suaviza=1,$A93&gt;=10,$A93&lt;=97),AVERAGE(J91:J95),J93)</f>
        <v>7532.8290431471</v>
      </c>
      <c r="N93" s="44" t="n">
        <f aca="false">IF(AND(Suaviza=1,$A93&gt;=10,$A93&lt;=97),AVERAGE(K91:K95),K93)</f>
        <v>15361.4224078786</v>
      </c>
      <c r="O93" s="44" t="n">
        <f aca="false">IF(AND(Suaviza=1,$A93&gt;=10,$A93&lt;=97),AVERAGE(F91:F95),F93)</f>
        <v>128818.2</v>
      </c>
      <c r="P93" s="44" t="n">
        <f aca="false">IF(AND(Suaviza=1,$A93&gt;=10,$A93&lt;=97),AVERAGE(G91:G95),G93)</f>
        <v>152009.6</v>
      </c>
      <c r="Q93" s="44" t="n">
        <f aca="false">IF(AND(Suaviza=1,$A93&gt;=10,$A93&lt;=97),AVERAGE(H91:H95),H93)</f>
        <v>280827.8</v>
      </c>
    </row>
    <row r="94" customFormat="false" ht="15" hidden="false" customHeight="false" outlineLevel="0" collapsed="false">
      <c r="A94" s="42" t="n">
        <v>81</v>
      </c>
      <c r="B94" s="38" t="n">
        <v>7533</v>
      </c>
      <c r="C94" s="38" t="n">
        <v>7457</v>
      </c>
      <c r="D94" s="38" t="n">
        <v>0</v>
      </c>
      <c r="E94" s="43" t="n">
        <f aca="false">SUM(B94:D94)</f>
        <v>14990</v>
      </c>
      <c r="F94" s="38" t="n">
        <v>83368</v>
      </c>
      <c r="G94" s="38" t="n">
        <v>98336</v>
      </c>
      <c r="H94" s="43" t="n">
        <f aca="false">F94+G94</f>
        <v>181704</v>
      </c>
      <c r="I94" s="44" t="n">
        <f aca="false">B94*B$116</f>
        <v>7592.53154869295</v>
      </c>
      <c r="J94" s="44" t="n">
        <f aca="false">C94*C$116</f>
        <v>7465.55197559181</v>
      </c>
      <c r="K94" s="44" t="n">
        <f aca="false">E94*E$116</f>
        <v>15071.8498425252</v>
      </c>
      <c r="L94" s="44" t="n">
        <f aca="false">IF(AND(Suaviza=1,$A94&gt;=10,$A94&lt;=97),AVERAGE(I92:I96),I94)</f>
        <v>7780.20304402902</v>
      </c>
      <c r="M94" s="44" t="n">
        <f aca="false">IF(AND(Suaviza=1,$A94&gt;=10,$A94&lt;=97),AVERAGE(J92:J96),J94)</f>
        <v>7709.03088674428</v>
      </c>
      <c r="N94" s="44" t="n">
        <f aca="false">IF(AND(Suaviza=1,$A94&gt;=10,$A94&lt;=97),AVERAGE(K92:K96),K94)</f>
        <v>15503.5944937847</v>
      </c>
      <c r="O94" s="44" t="n">
        <f aca="false">IF(AND(Suaviza=1,$A94&gt;=10,$A94&lt;=97),AVERAGE(F92:F96),F94)</f>
        <v>113062.6</v>
      </c>
      <c r="P94" s="44" t="n">
        <f aca="false">IF(AND(Suaviza=1,$A94&gt;=10,$A94&lt;=97),AVERAGE(G92:G96),G94)</f>
        <v>137259.4</v>
      </c>
      <c r="Q94" s="44" t="n">
        <f aca="false">IF(AND(Suaviza=1,$A94&gt;=10,$A94&lt;=97),AVERAGE(H92:H96),H94)</f>
        <v>250322</v>
      </c>
    </row>
    <row r="95" customFormat="false" ht="15" hidden="false" customHeight="false" outlineLevel="0" collapsed="false">
      <c r="A95" s="42" t="n">
        <v>82</v>
      </c>
      <c r="B95" s="38" t="n">
        <v>7640</v>
      </c>
      <c r="C95" s="38" t="n">
        <v>7840</v>
      </c>
      <c r="D95" s="38" t="n">
        <v>0</v>
      </c>
      <c r="E95" s="43" t="n">
        <f aca="false">SUM(B95:D95)</f>
        <v>15480</v>
      </c>
      <c r="F95" s="38" t="n">
        <v>102905</v>
      </c>
      <c r="G95" s="38" t="n">
        <v>127145</v>
      </c>
      <c r="H95" s="43" t="n">
        <f aca="false">F95+G95</f>
        <v>230050</v>
      </c>
      <c r="I95" s="44" t="n">
        <f aca="false">B95*B$116</f>
        <v>7700.37714483129</v>
      </c>
      <c r="J95" s="44" t="n">
        <f aca="false">C95*C$116</f>
        <v>7848.9912147834</v>
      </c>
      <c r="K95" s="44" t="n">
        <f aca="false">E95*E$116</f>
        <v>15564.5253877445</v>
      </c>
      <c r="L95" s="44" t="n">
        <f aca="false">IF(AND(Suaviza=1,$A95&gt;=10,$A95&lt;=97),AVERAGE(I93:I97),I95)</f>
        <v>7701.98978925953</v>
      </c>
      <c r="M95" s="44" t="n">
        <f aca="false">IF(AND(Suaviza=1,$A95&gt;=10,$A95&lt;=97),AVERAGE(J93:J97),J95)</f>
        <v>7809.74625870948</v>
      </c>
      <c r="N95" s="44" t="n">
        <f aca="false">IF(AND(Suaviza=1,$A95&gt;=10,$A95&lt;=97),AVERAGE(K93:K97),K95)</f>
        <v>15526.7200806012</v>
      </c>
      <c r="O95" s="44" t="n">
        <f aca="false">IF(AND(Suaviza=1,$A95&gt;=10,$A95&lt;=97),AVERAGE(F93:F97),F95)</f>
        <v>104762.4</v>
      </c>
      <c r="P95" s="44" t="n">
        <f aca="false">IF(AND(Suaviza=1,$A95&gt;=10,$A95&lt;=97),AVERAGE(G93:G97),G95)</f>
        <v>130310.4</v>
      </c>
      <c r="Q95" s="44" t="n">
        <f aca="false">IF(AND(Suaviza=1,$A95&gt;=10,$A95&lt;=97),AVERAGE(H93:H97),H95)</f>
        <v>235072.8</v>
      </c>
    </row>
    <row r="96" customFormat="false" ht="15" hidden="false" customHeight="false" outlineLevel="0" collapsed="false">
      <c r="A96" s="42" t="n">
        <v>83</v>
      </c>
      <c r="B96" s="38" t="n">
        <v>7697</v>
      </c>
      <c r="C96" s="38" t="n">
        <v>8274</v>
      </c>
      <c r="D96" s="38" t="n">
        <v>0</v>
      </c>
      <c r="E96" s="43" t="n">
        <f aca="false">SUM(B96:D96)</f>
        <v>15971</v>
      </c>
      <c r="F96" s="38" t="n">
        <v>92350</v>
      </c>
      <c r="G96" s="38" t="n">
        <v>118019</v>
      </c>
      <c r="H96" s="43" t="n">
        <f aca="false">F96+G96</f>
        <v>210369</v>
      </c>
      <c r="I96" s="44" t="n">
        <f aca="false">B96*B$116</f>
        <v>7757.82760258723</v>
      </c>
      <c r="J96" s="44" t="n">
        <f aca="false">C96*C$116</f>
        <v>8283.48894274462</v>
      </c>
      <c r="K96" s="44" t="n">
        <f aca="false">E96*E$116</f>
        <v>16058.2063932602</v>
      </c>
      <c r="L96" s="44" t="n">
        <f aca="false">IF(AND(Suaviza=1,$A96&gt;=10,$A96&lt;=97),AVERAGE(I94:I98),I96)</f>
        <v>7525.00206326053</v>
      </c>
      <c r="M96" s="44" t="n">
        <f aca="false">IF(AND(Suaviza=1,$A96&gt;=10,$A96&lt;=97),AVERAGE(J94:J98),J96)</f>
        <v>7862.00612368546</v>
      </c>
      <c r="N96" s="44" t="n">
        <f aca="false">IF(AND(Suaviza=1,$A96&gt;=10,$A96&lt;=97),AVERAGE(K94:K98),K96)</f>
        <v>15402.6462800296</v>
      </c>
      <c r="O96" s="44" t="n">
        <f aca="false">IF(AND(Suaviza=1,$A96&gt;=10,$A96&lt;=97),AVERAGE(F94:F98),F96)</f>
        <v>90034.8</v>
      </c>
      <c r="P96" s="44" t="n">
        <f aca="false">IF(AND(Suaviza=1,$A96&gt;=10,$A96&lt;=97),AVERAGE(G94:G98),G96)</f>
        <v>113191.4</v>
      </c>
      <c r="Q96" s="44" t="n">
        <f aca="false">IF(AND(Suaviza=1,$A96&gt;=10,$A96&lt;=97),AVERAGE(H94:H98),H96)</f>
        <v>203226.2</v>
      </c>
    </row>
    <row r="97" customFormat="false" ht="15" hidden="false" customHeight="false" outlineLevel="0" collapsed="false">
      <c r="A97" s="42" t="n">
        <v>84</v>
      </c>
      <c r="B97" s="38" t="n">
        <v>7559</v>
      </c>
      <c r="C97" s="38" t="n">
        <v>8021</v>
      </c>
      <c r="D97" s="38" t="n">
        <v>0</v>
      </c>
      <c r="E97" s="43" t="n">
        <f aca="false">SUM(B97:D97)</f>
        <v>15580</v>
      </c>
      <c r="F97" s="38" t="n">
        <v>89019</v>
      </c>
      <c r="G97" s="38" t="n">
        <v>115220</v>
      </c>
      <c r="H97" s="43" t="n">
        <f aca="false">F97+G97</f>
        <v>204239</v>
      </c>
      <c r="I97" s="44" t="n">
        <f aca="false">B97*B$116</f>
        <v>7618.7370206518</v>
      </c>
      <c r="J97" s="44" t="n">
        <f aca="false">C97*C$116</f>
        <v>8030.19879257368</v>
      </c>
      <c r="K97" s="44" t="n">
        <f aca="false">E97*E$116</f>
        <v>15665.0714173811</v>
      </c>
      <c r="L97" s="44" t="n">
        <f aca="false">IF(AND(Suaviza=1,$A97&gt;=10,$A97&lt;=97),AVERAGE(I95:I99),I97)</f>
        <v>7317.77725423208</v>
      </c>
      <c r="M97" s="44" t="n">
        <f aca="false">IF(AND(Suaviza=1,$A97&gt;=10,$A97&lt;=97),AVERAGE(J95:J99),J97)</f>
        <v>7874.22011511663</v>
      </c>
      <c r="N97" s="44" t="n">
        <f aca="false">IF(AND(Suaviza=1,$A97&gt;=10,$A97&lt;=97),AVERAGE(K95:K99),K97)</f>
        <v>15208.1902587124</v>
      </c>
      <c r="O97" s="44" t="n">
        <f aca="false">IF(AND(Suaviza=1,$A97&gt;=10,$A97&lt;=97),AVERAGE(F95:F99),F97)</f>
        <v>86391.4</v>
      </c>
      <c r="P97" s="44" t="n">
        <f aca="false">IF(AND(Suaviza=1,$A97&gt;=10,$A97&lt;=97),AVERAGE(G95:G99),G97)</f>
        <v>110627</v>
      </c>
      <c r="Q97" s="44" t="n">
        <f aca="false">IF(AND(Suaviza=1,$A97&gt;=10,$A97&lt;=97),AVERAGE(H95:H99),H97)</f>
        <v>197018.4</v>
      </c>
    </row>
    <row r="98" customFormat="false" ht="15" hidden="false" customHeight="false" outlineLevel="0" collapsed="false">
      <c r="A98" s="42" t="n">
        <v>85</v>
      </c>
      <c r="B98" s="38" t="n">
        <v>6901</v>
      </c>
      <c r="C98" s="38" t="n">
        <v>7673</v>
      </c>
      <c r="D98" s="38" t="n">
        <v>0</v>
      </c>
      <c r="E98" s="43" t="n">
        <f aca="false">SUM(B98:D98)</f>
        <v>14574</v>
      </c>
      <c r="F98" s="38" t="n">
        <v>82532</v>
      </c>
      <c r="G98" s="38" t="n">
        <v>107237</v>
      </c>
      <c r="H98" s="43" t="n">
        <f aca="false">F98+G98</f>
        <v>189769</v>
      </c>
      <c r="I98" s="44" t="n">
        <f aca="false">B98*B$116</f>
        <v>6955.53699953937</v>
      </c>
      <c r="J98" s="44" t="n">
        <f aca="false">C98*C$116</f>
        <v>7681.7996927338</v>
      </c>
      <c r="K98" s="44" t="n">
        <f aca="false">E98*E$116</f>
        <v>14653.578359237</v>
      </c>
      <c r="L98" s="44" t="n">
        <f aca="false">IF(AND(Suaviza=1,$A98&gt;=10,$A98&lt;=97),AVERAGE(I96:I100),I98)</f>
        <v>6993.83730470999</v>
      </c>
      <c r="M98" s="44" t="n">
        <f aca="false">IF(AND(Suaviza=1,$A98&gt;=10,$A98&lt;=97),AVERAGE(J96:J100),J98)</f>
        <v>7723.04694248496</v>
      </c>
      <c r="N98" s="44" t="n">
        <f aca="false">IF(AND(Suaviza=1,$A98&gt;=10,$A98&lt;=97),AVERAGE(K96:K100),K98)</f>
        <v>14733.2108147092</v>
      </c>
      <c r="O98" s="44" t="n">
        <f aca="false">IF(AND(Suaviza=1,$A98&gt;=10,$A98&lt;=97),AVERAGE(F96:F100),F98)</f>
        <v>76409.2</v>
      </c>
      <c r="P98" s="44" t="n">
        <f aca="false">IF(AND(Suaviza=1,$A98&gt;=10,$A98&lt;=97),AVERAGE(G96:G100),G98)</f>
        <v>99349.8</v>
      </c>
      <c r="Q98" s="44" t="n">
        <f aca="false">IF(AND(Suaviza=1,$A98&gt;=10,$A98&lt;=97),AVERAGE(H96:H100),H98)</f>
        <v>175759</v>
      </c>
    </row>
    <row r="99" customFormat="false" ht="15" hidden="false" customHeight="false" outlineLevel="0" collapsed="false">
      <c r="A99" s="42" t="n">
        <v>86</v>
      </c>
      <c r="B99" s="38" t="n">
        <v>6505</v>
      </c>
      <c r="C99" s="38" t="n">
        <v>7518</v>
      </c>
      <c r="D99" s="38" t="n">
        <v>0</v>
      </c>
      <c r="E99" s="43" t="n">
        <f aca="false">SUM(B99:D99)</f>
        <v>14023</v>
      </c>
      <c r="F99" s="38" t="n">
        <v>65151</v>
      </c>
      <c r="G99" s="38" t="n">
        <v>85514</v>
      </c>
      <c r="H99" s="43" t="n">
        <f aca="false">F99+G99</f>
        <v>150665</v>
      </c>
      <c r="I99" s="44" t="n">
        <f aca="false">B99*B$116</f>
        <v>6556.40750355073</v>
      </c>
      <c r="J99" s="44" t="n">
        <f aca="false">C99*C$116</f>
        <v>7526.62193274765</v>
      </c>
      <c r="K99" s="44" t="n">
        <f aca="false">E99*E$116</f>
        <v>14099.5697359394</v>
      </c>
      <c r="L99" s="44" t="n">
        <f aca="false">IF(AND(Suaviza=1,$A99&gt;=10,$A99&lt;=97),AVERAGE(I97:I101),I99)</f>
        <v>6666.26890522437</v>
      </c>
      <c r="M99" s="44" t="n">
        <f aca="false">IF(AND(Suaviza=1,$A99&gt;=10,$A99&lt;=97),AVERAGE(J97:J101),J99)</f>
        <v>7622.33157051976</v>
      </c>
      <c r="N99" s="44" t="n">
        <f aca="false">IF(AND(Suaviza=1,$A99&gt;=10,$A99&lt;=97),AVERAGE(K97:K101),K99)</f>
        <v>14305.2869125758</v>
      </c>
      <c r="O99" s="44" t="n">
        <f aca="false">IF(AND(Suaviza=1,$A99&gt;=10,$A99&lt;=97),AVERAGE(F97:F101),F99)</f>
        <v>66678</v>
      </c>
      <c r="P99" s="44" t="n">
        <f aca="false">IF(AND(Suaviza=1,$A99&gt;=10,$A99&lt;=97),AVERAGE(G97:G101),G99)</f>
        <v>87378.2</v>
      </c>
      <c r="Q99" s="44" t="n">
        <f aca="false">IF(AND(Suaviza=1,$A99&gt;=10,$A99&lt;=97),AVERAGE(H97:H101),H99)</f>
        <v>154056.2</v>
      </c>
    </row>
    <row r="100" customFormat="false" ht="15" hidden="false" customHeight="false" outlineLevel="0" collapsed="false">
      <c r="A100" s="42" t="n">
        <v>87</v>
      </c>
      <c r="B100" s="38" t="n">
        <v>6033</v>
      </c>
      <c r="C100" s="38" t="n">
        <v>7085</v>
      </c>
      <c r="D100" s="38" t="n">
        <v>0</v>
      </c>
      <c r="E100" s="43" t="n">
        <f aca="false">SUM(B100:D100)</f>
        <v>13118</v>
      </c>
      <c r="F100" s="38" t="n">
        <v>52994</v>
      </c>
      <c r="G100" s="38" t="n">
        <v>70759</v>
      </c>
      <c r="H100" s="43" t="n">
        <f aca="false">F100+G100</f>
        <v>123753</v>
      </c>
      <c r="I100" s="44" t="n">
        <f aca="false">B100*B$116</f>
        <v>6080.67739722084</v>
      </c>
      <c r="J100" s="44" t="n">
        <f aca="false">C100*C$116</f>
        <v>7093.12535162505</v>
      </c>
      <c r="K100" s="44" t="n">
        <f aca="false">E100*E$116</f>
        <v>13189.6281677282</v>
      </c>
      <c r="L100" s="44" t="n">
        <f aca="false">IF(AND(Suaviza=1,$A100&gt;=10,$A100&lt;=97),AVERAGE(I98:I102),I100)</f>
        <v>6296.77175060458</v>
      </c>
      <c r="M100" s="44" t="n">
        <f aca="false">IF(AND(Suaviza=1,$A100&gt;=10,$A100&lt;=97),AVERAGE(J98:J102),J100)</f>
        <v>7474.76252650712</v>
      </c>
      <c r="N100" s="44" t="n">
        <f aca="false">IF(AND(Suaviza=1,$A100&gt;=10,$A100&lt;=97),AVERAGE(K98:K102),K100)</f>
        <v>13788.4803202437</v>
      </c>
      <c r="O100" s="44" t="n">
        <f aca="false">IF(AND(Suaviza=1,$A100&gt;=10,$A100&lt;=97),AVERAGE(F98:F102),F100)</f>
        <v>56670.2</v>
      </c>
      <c r="P100" s="44" t="n">
        <f aca="false">IF(AND(Suaviza=1,$A100&gt;=10,$A100&lt;=97),AVERAGE(G98:G102),G100)</f>
        <v>75178.8</v>
      </c>
      <c r="Q100" s="44" t="n">
        <f aca="false">IF(AND(Suaviza=1,$A100&gt;=10,$A100&lt;=97),AVERAGE(H98:H102),H100)</f>
        <v>131849</v>
      </c>
    </row>
    <row r="101" customFormat="false" ht="15" hidden="false" customHeight="false" outlineLevel="0" collapsed="false">
      <c r="A101" s="42" t="n">
        <v>88</v>
      </c>
      <c r="B101" s="38" t="n">
        <v>6072</v>
      </c>
      <c r="C101" s="38" t="n">
        <v>7771</v>
      </c>
      <c r="D101" s="38" t="n">
        <v>0</v>
      </c>
      <c r="E101" s="43" t="n">
        <f aca="false">SUM(B101:D101)</f>
        <v>13843</v>
      </c>
      <c r="F101" s="38" t="n">
        <v>43694</v>
      </c>
      <c r="G101" s="38" t="n">
        <v>58161</v>
      </c>
      <c r="H101" s="43" t="n">
        <f aca="false">F101+G101</f>
        <v>101855</v>
      </c>
      <c r="I101" s="44" t="n">
        <f aca="false">B101*B$116</f>
        <v>6119.98560515911</v>
      </c>
      <c r="J101" s="44" t="n">
        <f aca="false">C101*C$116</f>
        <v>7779.9120829186</v>
      </c>
      <c r="K101" s="44" t="n">
        <f aca="false">E101*E$116</f>
        <v>13918.5868825935</v>
      </c>
      <c r="L101" s="44" t="n">
        <f aca="false">IF(AND(Suaviza=1,$A101&gt;=10,$A101&lt;=97),AVERAGE(I99:I103),I101)</f>
        <v>5792.01404456643</v>
      </c>
      <c r="M101" s="44" t="n">
        <f aca="false">IF(AND(Suaviza=1,$A101&gt;=10,$A101&lt;=97),AVERAGE(J99:J103),J101)</f>
        <v>7109.14370104297</v>
      </c>
      <c r="N101" s="44" t="n">
        <f aca="false">IF(AND(Suaviza=1,$A101&gt;=10,$A101&lt;=97),AVERAGE(K99:K103),K101)</f>
        <v>12917.7517035909</v>
      </c>
      <c r="O101" s="44" t="n">
        <f aca="false">IF(AND(Suaviza=1,$A101&gt;=10,$A101&lt;=97),AVERAGE(F99:F103),F101)</f>
        <v>48065.8</v>
      </c>
      <c r="P101" s="44" t="n">
        <f aca="false">IF(AND(Suaviza=1,$A101&gt;=10,$A101&lt;=97),AVERAGE(G99:G103),G101)</f>
        <v>65081.2</v>
      </c>
      <c r="Q101" s="44" t="n">
        <f aca="false">IF(AND(Suaviza=1,$A101&gt;=10,$A101&lt;=97),AVERAGE(H99:H103),H101)</f>
        <v>113147</v>
      </c>
    </row>
    <row r="102" customFormat="false" ht="15" hidden="false" customHeight="false" outlineLevel="0" collapsed="false">
      <c r="A102" s="42" t="n">
        <v>89</v>
      </c>
      <c r="B102" s="38" t="n">
        <v>5726</v>
      </c>
      <c r="C102" s="38" t="n">
        <v>7284</v>
      </c>
      <c r="D102" s="38" t="n">
        <v>0</v>
      </c>
      <c r="E102" s="43" t="n">
        <f aca="false">SUM(B102:D102)</f>
        <v>13010</v>
      </c>
      <c r="F102" s="38" t="n">
        <v>38980</v>
      </c>
      <c r="G102" s="38" t="n">
        <v>54223</v>
      </c>
      <c r="H102" s="43" t="n">
        <f aca="false">F102+G102</f>
        <v>93203</v>
      </c>
      <c r="I102" s="44" t="n">
        <f aca="false">B102*B$116</f>
        <v>5771.25124755288</v>
      </c>
      <c r="J102" s="44" t="n">
        <f aca="false">C102*C$116</f>
        <v>7292.3535725105</v>
      </c>
      <c r="K102" s="44" t="n">
        <f aca="false">E102*E$116</f>
        <v>13081.0384557207</v>
      </c>
      <c r="L102" s="44" t="n">
        <f aca="false">IF(AND(Suaviza=1,$A102&gt;=10,$A102&lt;=97),AVERAGE(I100:I104),I102)</f>
        <v>5280.20101915474</v>
      </c>
      <c r="M102" s="44" t="n">
        <f aca="false">IF(AND(Suaviza=1,$A102&gt;=10,$A102&lt;=97),AVERAGE(J100:J104),J102)</f>
        <v>6690.46409313195</v>
      </c>
      <c r="N102" s="44" t="n">
        <f aca="false">IF(AND(Suaviza=1,$A102&gt;=10,$A102&lt;=97),AVERAGE(K100:K104),K102)</f>
        <v>11986.695469156</v>
      </c>
      <c r="O102" s="44" t="n">
        <f aca="false">IF(AND(Suaviza=1,$A102&gt;=10,$A102&lt;=97),AVERAGE(F100:F104),F102)</f>
        <v>38462.8</v>
      </c>
      <c r="P102" s="44" t="n">
        <f aca="false">IF(AND(Suaviza=1,$A102&gt;=10,$A102&lt;=97),AVERAGE(G100:G104),G102)</f>
        <v>53008.2</v>
      </c>
      <c r="Q102" s="44" t="n">
        <f aca="false">IF(AND(Suaviza=1,$A102&gt;=10,$A102&lt;=97),AVERAGE(H100:H104),H102)</f>
        <v>91471</v>
      </c>
    </row>
    <row r="103" customFormat="false" ht="15" hidden="false" customHeight="false" outlineLevel="0" collapsed="false">
      <c r="A103" s="42" t="n">
        <v>90</v>
      </c>
      <c r="B103" s="38" t="n">
        <v>4397</v>
      </c>
      <c r="C103" s="38" t="n">
        <v>5847</v>
      </c>
      <c r="D103" s="38" t="n">
        <v>0</v>
      </c>
      <c r="E103" s="43" t="n">
        <f aca="false">SUM(B103:D103)</f>
        <v>10244</v>
      </c>
      <c r="F103" s="38" t="n">
        <v>39510</v>
      </c>
      <c r="G103" s="38" t="n">
        <v>56749</v>
      </c>
      <c r="H103" s="43" t="n">
        <f aca="false">F103+G103</f>
        <v>96259</v>
      </c>
      <c r="I103" s="44" t="n">
        <f aca="false">B103*B$116</f>
        <v>4431.74846934859</v>
      </c>
      <c r="J103" s="44" t="n">
        <f aca="false">C103*C$116</f>
        <v>5853.70556541308</v>
      </c>
      <c r="K103" s="44" t="n">
        <f aca="false">E103*E$116</f>
        <v>10299.9352759725</v>
      </c>
      <c r="L103" s="44" t="n">
        <f aca="false">IF(AND(Suaviza=1,$A103&gt;=10,$A103&lt;=97),AVERAGE(I101:I105),I103)</f>
        <v>4775.64489367011</v>
      </c>
      <c r="M103" s="44" t="n">
        <f aca="false">IF(AND(Suaviza=1,$A103&gt;=10,$A103&lt;=97),AVERAGE(J101:J105),J103)</f>
        <v>6252.56246591942</v>
      </c>
      <c r="N103" s="44" t="n">
        <f aca="false">IF(AND(Suaviza=1,$A103&gt;=10,$A103&lt;=97),AVERAGE(K101:K105),K103)</f>
        <v>11043.5737111648</v>
      </c>
      <c r="O103" s="44" t="n">
        <f aca="false">IF(AND(Suaviza=1,$A103&gt;=10,$A103&lt;=97),AVERAGE(F101:F105),F103)</f>
        <v>31906.6</v>
      </c>
      <c r="P103" s="44" t="n">
        <f aca="false">IF(AND(Suaviza=1,$A103&gt;=10,$A103&lt;=97),AVERAGE(G101:G105),G103)</f>
        <v>44902.6</v>
      </c>
      <c r="Q103" s="44" t="n">
        <f aca="false">IF(AND(Suaviza=1,$A103&gt;=10,$A103&lt;=97),AVERAGE(H101:H105),H103)</f>
        <v>76809.2</v>
      </c>
    </row>
    <row r="104" customFormat="false" ht="15" hidden="false" customHeight="false" outlineLevel="0" collapsed="false">
      <c r="A104" s="42" t="n">
        <v>91</v>
      </c>
      <c r="B104" s="38" t="n">
        <v>3966</v>
      </c>
      <c r="C104" s="38" t="n">
        <v>5427</v>
      </c>
      <c r="D104" s="38" t="n">
        <v>0</v>
      </c>
      <c r="E104" s="43" t="n">
        <f aca="false">SUM(B104:D104)</f>
        <v>9393</v>
      </c>
      <c r="F104" s="38" t="n">
        <v>17136</v>
      </c>
      <c r="G104" s="38" t="n">
        <v>25149</v>
      </c>
      <c r="H104" s="43" t="n">
        <f aca="false">F104+G104</f>
        <v>42285</v>
      </c>
      <c r="I104" s="44" t="n">
        <f aca="false">B104*B$116</f>
        <v>3997.34237649227</v>
      </c>
      <c r="J104" s="44" t="n">
        <f aca="false">C104*C$116</f>
        <v>5433.22389319254</v>
      </c>
      <c r="K104" s="44" t="n">
        <f aca="false">E104*E$116</f>
        <v>9444.28856376513</v>
      </c>
      <c r="L104" s="44" t="n">
        <f aca="false">IF(AND(Suaviza=1,$A104&gt;=10,$A104&lt;=97),AVERAGE(I102:I106),I104)</f>
        <v>4208.5987965913</v>
      </c>
      <c r="M104" s="44" t="n">
        <f aca="false">IF(AND(Suaviza=1,$A104&gt;=10,$A104&lt;=97),AVERAGE(J102:J106),J104)</f>
        <v>5669.69477647466</v>
      </c>
      <c r="N104" s="44" t="n">
        <f aca="false">IF(AND(Suaviza=1,$A104&gt;=10,$A104&lt;=97),AVERAGE(K102:K106),K104)</f>
        <v>9892.52276388506</v>
      </c>
      <c r="O104" s="44" t="n">
        <f aca="false">IF(AND(Suaviza=1,$A104&gt;=10,$A104&lt;=97),AVERAGE(F102:F106),F104)</f>
        <v>26503.6</v>
      </c>
      <c r="P104" s="44" t="n">
        <f aca="false">IF(AND(Suaviza=1,$A104&gt;=10,$A104&lt;=97),AVERAGE(G102:G106),G104)</f>
        <v>38285.2</v>
      </c>
      <c r="Q104" s="44" t="n">
        <f aca="false">IF(AND(Suaviza=1,$A104&gt;=10,$A104&lt;=97),AVERAGE(H102:H106),H104)</f>
        <v>64788.8</v>
      </c>
    </row>
    <row r="105" customFormat="false" ht="15" hidden="false" customHeight="false" outlineLevel="0" collapsed="false">
      <c r="A105" s="42" t="n">
        <v>92</v>
      </c>
      <c r="B105" s="38" t="n">
        <v>3530</v>
      </c>
      <c r="C105" s="38" t="n">
        <v>4898</v>
      </c>
      <c r="D105" s="38" t="n">
        <v>0</v>
      </c>
      <c r="E105" s="43" t="n">
        <f aca="false">SUM(B105:D105)</f>
        <v>8428</v>
      </c>
      <c r="F105" s="38" t="n">
        <v>20213</v>
      </c>
      <c r="G105" s="38" t="n">
        <v>30231</v>
      </c>
      <c r="H105" s="43" t="n">
        <f aca="false">F105+G105</f>
        <v>50444</v>
      </c>
      <c r="I105" s="44" t="n">
        <f aca="false">B105*B$116</f>
        <v>3557.8967697977</v>
      </c>
      <c r="J105" s="44" t="n">
        <f aca="false">C105*C$116</f>
        <v>4903.61721556238</v>
      </c>
      <c r="K105" s="44" t="n">
        <f aca="false">E105*E$116</f>
        <v>8474.01937777202</v>
      </c>
      <c r="L105" s="44" t="n">
        <f aca="false">IF(AND(Suaviza=1,$A105&gt;=10,$A105&lt;=97),AVERAGE(I103:I107),I105)</f>
        <v>3601.4381693601</v>
      </c>
      <c r="M105" s="44" t="n">
        <f aca="false">IF(AND(Suaviza=1,$A105&gt;=10,$A105&lt;=97),AVERAGE(J103:J107),J105)</f>
        <v>5033.5660752153</v>
      </c>
      <c r="N105" s="44" t="n">
        <f aca="false">IF(AND(Suaviza=1,$A105&gt;=10,$A105&lt;=97),AVERAGE(K103:K107),K105)</f>
        <v>8647.96400904332</v>
      </c>
      <c r="O105" s="44" t="n">
        <f aca="false">IF(AND(Suaviza=1,$A105&gt;=10,$A105&lt;=97),AVERAGE(F103:F107),F105)</f>
        <v>21471.6</v>
      </c>
      <c r="P105" s="44" t="n">
        <f aca="false">IF(AND(Suaviza=1,$A105&gt;=10,$A105&lt;=97),AVERAGE(G103:G107),G105)</f>
        <v>31889.6</v>
      </c>
      <c r="Q105" s="44" t="n">
        <f aca="false">IF(AND(Suaviza=1,$A105&gt;=10,$A105&lt;=97),AVERAGE(H103:H107),H105)</f>
        <v>53361.2</v>
      </c>
    </row>
    <row r="106" customFormat="false" ht="15" hidden="false" customHeight="false" outlineLevel="0" collapsed="false">
      <c r="A106" s="42" t="n">
        <v>93</v>
      </c>
      <c r="B106" s="38" t="n">
        <v>3259</v>
      </c>
      <c r="C106" s="38" t="n">
        <v>4860</v>
      </c>
      <c r="D106" s="38" t="n">
        <v>0</v>
      </c>
      <c r="E106" s="43" t="n">
        <f aca="false">SUM(B106:D106)</f>
        <v>8119</v>
      </c>
      <c r="F106" s="38" t="n">
        <v>16679</v>
      </c>
      <c r="G106" s="38" t="n">
        <v>25074</v>
      </c>
      <c r="H106" s="43" t="n">
        <f aca="false">F106+G106</f>
        <v>41753</v>
      </c>
      <c r="I106" s="44" t="n">
        <f aca="false">B106*B$116</f>
        <v>3284.75511976508</v>
      </c>
      <c r="J106" s="44" t="n">
        <f aca="false">C106*C$116</f>
        <v>4865.57363569481</v>
      </c>
      <c r="K106" s="44" t="n">
        <f aca="false">E106*E$116</f>
        <v>8163.33214619494</v>
      </c>
      <c r="L106" s="44" t="n">
        <f aca="false">IF(AND(Suaviza=1,$A106&gt;=10,$A106&lt;=97),AVERAGE(I104:I108),I106)</f>
        <v>3167.03207650378</v>
      </c>
      <c r="M106" s="44" t="n">
        <f aca="false">IF(AND(Suaviza=1,$A106&gt;=10,$A106&lt;=97),AVERAGE(J104:J108),J106)</f>
        <v>4511.56811355866</v>
      </c>
      <c r="N106" s="44" t="n">
        <f aca="false">IF(AND(Suaviza=1,$A106&gt;=10,$A106&lt;=97),AVERAGE(K104:K108),K106)</f>
        <v>7690.36362278441</v>
      </c>
      <c r="O106" s="44" t="n">
        <f aca="false">IF(AND(Suaviza=1,$A106&gt;=10,$A106&lt;=97),AVERAGE(F104:F108),F106)</f>
        <v>15876.2</v>
      </c>
      <c r="P106" s="44" t="n">
        <f aca="false">IF(AND(Suaviza=1,$A106&gt;=10,$A106&lt;=97),AVERAGE(G104:G108),G106)</f>
        <v>24216.6</v>
      </c>
      <c r="Q106" s="44" t="n">
        <f aca="false">IF(AND(Suaviza=1,$A106&gt;=10,$A106&lt;=97),AVERAGE(H104:H108),H106)</f>
        <v>40092.8</v>
      </c>
    </row>
    <row r="107" customFormat="false" ht="15" hidden="false" customHeight="false" outlineLevel="0" collapsed="false">
      <c r="A107" s="42" t="n">
        <v>94</v>
      </c>
      <c r="B107" s="38" t="n">
        <v>2714</v>
      </c>
      <c r="C107" s="38" t="n">
        <v>4107</v>
      </c>
      <c r="D107" s="38" t="n">
        <v>0</v>
      </c>
      <c r="E107" s="43" t="n">
        <f aca="false">SUM(B107:D107)</f>
        <v>6821</v>
      </c>
      <c r="F107" s="38" t="n">
        <v>13820</v>
      </c>
      <c r="G107" s="38" t="n">
        <v>22245</v>
      </c>
      <c r="H107" s="43" t="n">
        <f aca="false">F107+G107</f>
        <v>36065</v>
      </c>
      <c r="I107" s="44" t="n">
        <f aca="false">B107*B$116</f>
        <v>2735.44811139688</v>
      </c>
      <c r="J107" s="44" t="n">
        <f aca="false">C107*C$116</f>
        <v>4111.7100662137</v>
      </c>
      <c r="K107" s="44" t="n">
        <f aca="false">E107*E$116</f>
        <v>6858.24468151197</v>
      </c>
      <c r="L107" s="44" t="n">
        <f aca="false">IF(AND(Suaviza=1,$A107&gt;=10,$A107&lt;=97),AVERAGE(I105:I109),I107)</f>
        <v>2736.45601416452</v>
      </c>
      <c r="M107" s="44" t="n">
        <f aca="false">IF(AND(Suaviza=1,$A107&gt;=10,$A107&lt;=97),AVERAGE(J105:J109),J107)</f>
        <v>3980.55983035444</v>
      </c>
      <c r="N107" s="44" t="n">
        <f aca="false">IF(AND(Suaviza=1,$A107&gt;=10,$A107&lt;=97),AVERAGE(K105:K109),K107)</f>
        <v>6727.5348429844</v>
      </c>
      <c r="O107" s="44" t="n">
        <f aca="false">IF(AND(Suaviza=1,$A107&gt;=10,$A107&lt;=97),AVERAGE(F105:F109),F107)</f>
        <v>14245.8</v>
      </c>
      <c r="P107" s="44" t="n">
        <f aca="false">IF(AND(Suaviza=1,$A107&gt;=10,$A107&lt;=97),AVERAGE(G105:G109),G107)</f>
        <v>21930.8</v>
      </c>
      <c r="Q107" s="44" t="n">
        <f aca="false">IF(AND(Suaviza=1,$A107&gt;=10,$A107&lt;=97),AVERAGE(H105:H109),H107)</f>
        <v>36176.6</v>
      </c>
    </row>
    <row r="108" customFormat="false" ht="15" hidden="false" customHeight="false" outlineLevel="0" collapsed="false">
      <c r="A108" s="42" t="n">
        <v>95</v>
      </c>
      <c r="B108" s="38" t="n">
        <v>2242</v>
      </c>
      <c r="C108" s="38" t="n">
        <v>3240</v>
      </c>
      <c r="D108" s="38" t="n">
        <v>0</v>
      </c>
      <c r="E108" s="43" t="n">
        <f aca="false">SUM(B108:D108)</f>
        <v>5482</v>
      </c>
      <c r="F108" s="38" t="n">
        <v>11533</v>
      </c>
      <c r="G108" s="38" t="n">
        <v>18384</v>
      </c>
      <c r="H108" s="43" t="n">
        <f aca="false">F108+G108</f>
        <v>29917</v>
      </c>
      <c r="I108" s="44" t="n">
        <f aca="false">B108*B$116</f>
        <v>2259.71800506698</v>
      </c>
      <c r="J108" s="44" t="n">
        <f aca="false">C108*C$116</f>
        <v>3243.71575712987</v>
      </c>
      <c r="K108" s="44" t="n">
        <f aca="false">E108*E$116</f>
        <v>5511.933344678</v>
      </c>
      <c r="L108" s="44" t="n">
        <f aca="false">IF(AND(Suaviza=1,$A108&gt;=10,$A108&lt;=97),AVERAGE(I106:I110),I108)</f>
        <v>2289.7535075429</v>
      </c>
      <c r="M108" s="44" t="n">
        <f aca="false">IF(AND(Suaviza=1,$A108&gt;=10,$A108&lt;=97),AVERAGE(J106:J110),J108)</f>
        <v>3421.51943566885</v>
      </c>
      <c r="N108" s="44" t="n">
        <f aca="false">IF(AND(Suaviza=1,$A108&gt;=10,$A108&lt;=97),AVERAGE(K106:K110),K108)</f>
        <v>5720.46581014429</v>
      </c>
      <c r="O108" s="44" t="n">
        <f aca="false">IF(AND(Suaviza=1,$A108&gt;=10,$A108&lt;=97),AVERAGE(F106:F110),F108)</f>
        <v>11465</v>
      </c>
      <c r="P108" s="44" t="n">
        <f aca="false">IF(AND(Suaviza=1,$A108&gt;=10,$A108&lt;=97),AVERAGE(G106:G110),G108)</f>
        <v>17930</v>
      </c>
      <c r="Q108" s="44" t="n">
        <f aca="false">IF(AND(Suaviza=1,$A108&gt;=10,$A108&lt;=97),AVERAGE(H106:H110),H108)</f>
        <v>29395</v>
      </c>
    </row>
    <row r="109" customFormat="false" ht="15" hidden="false" customHeight="false" outlineLevel="0" collapsed="false">
      <c r="A109" s="42" t="n">
        <v>96</v>
      </c>
      <c r="B109" s="38" t="n">
        <v>1830</v>
      </c>
      <c r="C109" s="38" t="n">
        <v>2775</v>
      </c>
      <c r="D109" s="38" t="n">
        <v>0</v>
      </c>
      <c r="E109" s="43" t="n">
        <f aca="false">SUM(B109:D109)</f>
        <v>4605</v>
      </c>
      <c r="F109" s="38" t="n">
        <v>8984</v>
      </c>
      <c r="G109" s="38" t="n">
        <v>13720</v>
      </c>
      <c r="H109" s="43" t="n">
        <f aca="false">F109+G109</f>
        <v>22704</v>
      </c>
      <c r="I109" s="44" t="n">
        <f aca="false">B109*B$116</f>
        <v>1844.46206479598</v>
      </c>
      <c r="J109" s="44" t="n">
        <f aca="false">C109*C$116</f>
        <v>2778.18247717142</v>
      </c>
      <c r="K109" s="44" t="n">
        <f aca="false">E109*E$116</f>
        <v>4630.14466476509</v>
      </c>
      <c r="L109" s="44" t="n">
        <f aca="false">IF(AND(Suaviza=1,$A109&gt;=10,$A109&lt;=97),AVERAGE(I107:I111),I109)</f>
        <v>1854.54109247246</v>
      </c>
      <c r="M109" s="44" t="n">
        <f aca="false">IF(AND(Suaviza=1,$A109&gt;=10,$A109&lt;=97),AVERAGE(J107:J111),J109)</f>
        <v>2811.62078158134</v>
      </c>
      <c r="N109" s="44" t="n">
        <f aca="false">IF(AND(Suaviza=1,$A109&gt;=10,$A109&lt;=97),AVERAGE(K107:K111),K109)</f>
        <v>4673.98273368664</v>
      </c>
      <c r="O109" s="44" t="n">
        <f aca="false">IF(AND(Suaviza=1,$A109&gt;=10,$A109&lt;=97),AVERAGE(F107:F111),F109)</f>
        <v>9307.6</v>
      </c>
      <c r="P109" s="44" t="n">
        <f aca="false">IF(AND(Suaviza=1,$A109&gt;=10,$A109&lt;=97),AVERAGE(G107:G111),G109)</f>
        <v>14827.2</v>
      </c>
      <c r="Q109" s="44" t="n">
        <f aca="false">IF(AND(Suaviza=1,$A109&gt;=10,$A109&lt;=97),AVERAGE(H107:H111),H109)</f>
        <v>24134.8</v>
      </c>
    </row>
    <row r="110" customFormat="false" ht="15" hidden="false" customHeight="false" outlineLevel="0" collapsed="false">
      <c r="A110" s="42" t="n">
        <v>97</v>
      </c>
      <c r="B110" s="38" t="n">
        <v>1314</v>
      </c>
      <c r="C110" s="38" t="n">
        <v>2106</v>
      </c>
      <c r="D110" s="38" t="n">
        <v>0</v>
      </c>
      <c r="E110" s="43" t="n">
        <f aca="false">SUM(B110:D110)</f>
        <v>3420</v>
      </c>
      <c r="F110" s="38" t="n">
        <v>6309</v>
      </c>
      <c r="G110" s="38" t="n">
        <v>10227</v>
      </c>
      <c r="H110" s="43" t="n">
        <f aca="false">F110+G110</f>
        <v>16536</v>
      </c>
      <c r="I110" s="44" t="n">
        <f aca="false">B110*B$116</f>
        <v>1324.38423668957</v>
      </c>
      <c r="J110" s="44" t="n">
        <f aca="false">C110*C$116</f>
        <v>2108.41524213442</v>
      </c>
      <c r="K110" s="44" t="n">
        <f aca="false">E110*E$116</f>
        <v>3438.67421357146</v>
      </c>
      <c r="L110" s="44" t="n">
        <f aca="false">IF(AND(Suaviza=1,$A110&gt;=10,$A110&lt;=97),AVERAGE(I108:I112),I110)</f>
        <v>1472.9491046409</v>
      </c>
      <c r="M110" s="44" t="n">
        <f aca="false">IF(AND(Suaviza=1,$A110&gt;=10,$A110&lt;=97),AVERAGE(J108:J112),J110)</f>
        <v>2252.98084563119</v>
      </c>
      <c r="N110" s="44" t="n">
        <f aca="false">IF(AND(Suaviza=1,$A110&gt;=10,$A110&lt;=97),AVERAGE(K108:K112),K110)</f>
        <v>3732.67080422886</v>
      </c>
      <c r="O110" s="44" t="n">
        <f aca="false">IF(AND(Suaviza=1,$A110&gt;=10,$A110&lt;=97),AVERAGE(F108:F112),F110)</f>
        <v>7323</v>
      </c>
      <c r="P110" s="44" t="n">
        <f aca="false">IF(AND(Suaviza=1,$A110&gt;=10,$A110&lt;=97),AVERAGE(G108:G112),G110)</f>
        <v>11718</v>
      </c>
      <c r="Q110" s="44" t="n">
        <f aca="false">IF(AND(Suaviza=1,$A110&gt;=10,$A110&lt;=97),AVERAGE(H108:H112),H110)</f>
        <v>19041</v>
      </c>
    </row>
    <row r="111" customFormat="false" ht="15" hidden="false" customHeight="false" outlineLevel="0" collapsed="false">
      <c r="A111" s="42" t="n">
        <v>98</v>
      </c>
      <c r="B111" s="38" t="n">
        <v>1100</v>
      </c>
      <c r="C111" s="38" t="n">
        <v>1814</v>
      </c>
      <c r="D111" s="38" t="n">
        <v>1</v>
      </c>
      <c r="E111" s="43" t="n">
        <f aca="false">SUM(B111:D111)</f>
        <v>2915</v>
      </c>
      <c r="F111" s="38" t="n">
        <v>5892</v>
      </c>
      <c r="G111" s="38" t="n">
        <v>9560</v>
      </c>
      <c r="H111" s="43" t="n">
        <f aca="false">F111+G111</f>
        <v>15452</v>
      </c>
      <c r="I111" s="44" t="n">
        <f aca="false">B111*B$116</f>
        <v>1108.69304441288</v>
      </c>
      <c r="J111" s="44" t="n">
        <f aca="false">C111*C$116</f>
        <v>1816.08036525728</v>
      </c>
      <c r="K111" s="44" t="n">
        <f aca="false">E111*E$116</f>
        <v>2930.91676390667</v>
      </c>
      <c r="L111" s="44" t="n">
        <f aca="false">IF(AND(Suaviza=1,$A111&gt;=10,$A111&lt;=97),AVERAGE(I109:I113),I111)</f>
        <v>1108.69304441288</v>
      </c>
      <c r="M111" s="44" t="n">
        <f aca="false">IF(AND(Suaviza=1,$A111&gt;=10,$A111&lt;=97),AVERAGE(J109:J113),J111)</f>
        <v>1816.08036525728</v>
      </c>
      <c r="N111" s="44" t="n">
        <f aca="false">IF(AND(Suaviza=1,$A111&gt;=10,$A111&lt;=97),AVERAGE(K109:K113),K111)</f>
        <v>2930.91676390667</v>
      </c>
      <c r="O111" s="44" t="n">
        <f aca="false">IF(AND(Suaviza=1,$A111&gt;=10,$A111&lt;=97),AVERAGE(F109:F113),F111)</f>
        <v>5892</v>
      </c>
      <c r="P111" s="44" t="n">
        <f aca="false">IF(AND(Suaviza=1,$A111&gt;=10,$A111&lt;=97),AVERAGE(G109:G113),G111)</f>
        <v>9560</v>
      </c>
      <c r="Q111" s="44" t="n">
        <f aca="false">IF(AND(Suaviza=1,$A111&gt;=10,$A111&lt;=97),AVERAGE(H109:H113),H111)</f>
        <v>15452</v>
      </c>
    </row>
    <row r="112" customFormat="false" ht="15" hidden="false" customHeight="false" outlineLevel="0" collapsed="false">
      <c r="A112" s="42" t="n">
        <v>99</v>
      </c>
      <c r="B112" s="38" t="n">
        <v>821</v>
      </c>
      <c r="C112" s="38" t="n">
        <v>1317</v>
      </c>
      <c r="D112" s="38" t="n">
        <v>2</v>
      </c>
      <c r="E112" s="43" t="n">
        <f aca="false">SUM(B112:D112)</f>
        <v>2140</v>
      </c>
      <c r="F112" s="38" t="n">
        <v>3897</v>
      </c>
      <c r="G112" s="38" t="n">
        <v>6699</v>
      </c>
      <c r="H112" s="43" t="n">
        <f aca="false">F112+G112</f>
        <v>10596</v>
      </c>
      <c r="I112" s="44" t="n">
        <f aca="false">B112*B$116</f>
        <v>827.48817223907</v>
      </c>
      <c r="J112" s="44" t="n">
        <f aca="false">C112*C$116</f>
        <v>1318.51038646298</v>
      </c>
      <c r="K112" s="44" t="n">
        <f aca="false">E112*E$116</f>
        <v>2151.68503422308</v>
      </c>
      <c r="L112" s="44" t="n">
        <f aca="false">IF(AND(Suaviza=1,$A112&gt;=10,$A112&lt;=97),AVERAGE(I110:I114),I112)</f>
        <v>827.48817223907</v>
      </c>
      <c r="M112" s="44" t="n">
        <f aca="false">IF(AND(Suaviza=1,$A112&gt;=10,$A112&lt;=97),AVERAGE(J110:J114),J112)</f>
        <v>1318.51038646298</v>
      </c>
      <c r="N112" s="44" t="n">
        <f aca="false">IF(AND(Suaviza=1,$A112&gt;=10,$A112&lt;=97),AVERAGE(K110:K114),K112)</f>
        <v>2151.68503422308</v>
      </c>
      <c r="O112" s="44" t="n">
        <f aca="false">IF(AND(Suaviza=1,$A112&gt;=10,$A112&lt;=97),AVERAGE(F110:F114),F112)</f>
        <v>3897</v>
      </c>
      <c r="P112" s="44" t="n">
        <f aca="false">IF(AND(Suaviza=1,$A112&gt;=10,$A112&lt;=97),AVERAGE(G110:G114),G112)</f>
        <v>6699</v>
      </c>
      <c r="Q112" s="44" t="n">
        <f aca="false">IF(AND(Suaviza=1,$A112&gt;=10,$A112&lt;=97),AVERAGE(H110:H114),H112)</f>
        <v>10596</v>
      </c>
    </row>
    <row r="113" customFormat="false" ht="15" hidden="false" customHeight="false" outlineLevel="0" collapsed="false">
      <c r="A113" s="45" t="n">
        <v>100</v>
      </c>
      <c r="B113" s="38" t="n">
        <v>1480</v>
      </c>
      <c r="C113" s="38" t="n">
        <v>2802</v>
      </c>
      <c r="D113" s="38" t="n">
        <v>0</v>
      </c>
      <c r="E113" s="43" t="n">
        <f aca="false">SUM(B113:D113)</f>
        <v>4282</v>
      </c>
      <c r="F113" s="38" t="n">
        <v>6644</v>
      </c>
      <c r="G113" s="38" t="n">
        <v>11651</v>
      </c>
      <c r="H113" s="43" t="n">
        <f aca="false">F113+G113</f>
        <v>18295</v>
      </c>
      <c r="I113" s="44" t="n">
        <f aca="false">B113*B$116</f>
        <v>1491.69609611915</v>
      </c>
      <c r="J113" s="44" t="n">
        <f aca="false">C113*C$116</f>
        <v>2805.21344181417</v>
      </c>
      <c r="K113" s="44" t="n">
        <f aca="false">E113*E$116</f>
        <v>4305.38098903889</v>
      </c>
      <c r="L113" s="44" t="n">
        <f aca="false">IF(AND(Suaviza=1,$A113&gt;=10,$A113&lt;=97),AVERAGE(I111:I115),I113)</f>
        <v>1491.69609611915</v>
      </c>
      <c r="M113" s="44" t="n">
        <f aca="false">IF(AND(Suaviza=1,$A113&gt;=10,$A113&lt;=97),AVERAGE(J111:J115),J113)</f>
        <v>2805.21344181417</v>
      </c>
      <c r="N113" s="44" t="n">
        <f aca="false">IF(AND(Suaviza=1,$A113&gt;=10,$A113&lt;=97),AVERAGE(K111:K115),K113)</f>
        <v>4305.38098903889</v>
      </c>
      <c r="O113" s="44" t="n">
        <f aca="false">IF(AND(Suaviza=1,$A113&gt;=10,$A113&lt;=97),AVERAGE(F111:F115),F113)</f>
        <v>6644</v>
      </c>
      <c r="P113" s="44" t="n">
        <f aca="false">IF(AND(Suaviza=1,$A113&gt;=10,$A113&lt;=97),AVERAGE(G111:G115),G113)</f>
        <v>11651</v>
      </c>
      <c r="Q113" s="44" t="n">
        <f aca="false">IF(AND(Suaviza=1,$A113&gt;=10,$A113&lt;=97),AVERAGE(H111:H115),H113)</f>
        <v>18295</v>
      </c>
    </row>
    <row r="114" customFormat="false" ht="15" hidden="false" customHeight="false" outlineLevel="0" collapsed="false">
      <c r="A114" s="10" t="s">
        <v>102</v>
      </c>
      <c r="B114" s="38" t="n">
        <v>3294</v>
      </c>
      <c r="C114" s="38" t="n">
        <v>371</v>
      </c>
      <c r="D114" s="38" t="n">
        <v>378</v>
      </c>
      <c r="E114" s="46" t="n">
        <f aca="false">SUM(B114:D114)</f>
        <v>4043</v>
      </c>
      <c r="F114" s="38" t="n">
        <v>136194</v>
      </c>
      <c r="G114" s="38" t="n">
        <v>137192</v>
      </c>
      <c r="H114" s="46" t="n">
        <f aca="false">F114+G114</f>
        <v>273386</v>
      </c>
    </row>
    <row r="115" customFormat="false" ht="15" hidden="false" customHeight="false" outlineLevel="0" collapsed="false">
      <c r="A115" s="10" t="s">
        <v>91</v>
      </c>
      <c r="B115" s="39" t="n">
        <f aca="false">SUM(B13:B114)</f>
        <v>420110</v>
      </c>
      <c r="C115" s="39" t="n">
        <f aca="false">SUM(C13:C114)</f>
        <v>323869</v>
      </c>
      <c r="D115" s="39" t="n">
        <f aca="false">SUM(D13:D114)</f>
        <v>500</v>
      </c>
      <c r="E115" s="39" t="n">
        <f aca="false">SUM(E13:E114)</f>
        <v>744479</v>
      </c>
      <c r="F115" s="39" t="n">
        <f aca="false">SUM(F13:F114)</f>
        <v>61473390</v>
      </c>
      <c r="G115" s="39" t="n">
        <f aca="false">SUM(G13:G114)</f>
        <v>64540634</v>
      </c>
      <c r="H115" s="39" t="n">
        <f aca="false">SUM(H13:H114)</f>
        <v>126014024</v>
      </c>
    </row>
    <row r="116" customFormat="false" ht="15" hidden="false" customHeight="false" outlineLevel="0" collapsed="false">
      <c r="A116" s="10" t="s">
        <v>103</v>
      </c>
      <c r="B116" s="47" t="n">
        <f aca="false">B115/(B115-B114)</f>
        <v>1.00790276764808</v>
      </c>
      <c r="C116" s="47" t="n">
        <f aca="false">C115/(C115-C114)</f>
        <v>1.00114683862033</v>
      </c>
      <c r="E116" s="47" t="n">
        <f aca="false">E115/(E115-E114)</f>
        <v>1.00546029636593</v>
      </c>
    </row>
    <row r="118" customFormat="false" ht="15" hidden="false" customHeight="false" outlineLevel="0" collapsed="false">
      <c r="A118" s="3" t="s">
        <v>104</v>
      </c>
    </row>
    <row r="119" customFormat="false" ht="15" hidden="false" customHeight="false" outlineLevel="0" collapsed="false">
      <c r="A119" s="3" t="s">
        <v>105</v>
      </c>
    </row>
    <row r="120" customFormat="false" ht="15" hidden="false" customHeight="false" outlineLevel="0" collapsed="false">
      <c r="A120" s="3" t="s">
        <v>106</v>
      </c>
    </row>
  </sheetData>
  <mergeCells count="5">
    <mergeCell ref="B11:E11"/>
    <mergeCell ref="F11:H11"/>
    <mergeCell ref="I11:K11"/>
    <mergeCell ref="L11:N11"/>
    <mergeCell ref="O11:Q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N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17.35" hidden="false" customHeight="false" outlineLevel="0" collapsed="false">
      <c r="A1" s="1" t="s">
        <v>107</v>
      </c>
    </row>
    <row r="3" customFormat="false" ht="15" hidden="false" customHeight="true" outlineLevel="0" collapsed="false">
      <c r="B3" s="41" t="s">
        <v>23</v>
      </c>
      <c r="C3" s="41"/>
      <c r="D3" s="41"/>
      <c r="E3" s="41" t="s">
        <v>22</v>
      </c>
      <c r="F3" s="41"/>
      <c r="G3" s="41"/>
      <c r="H3" s="41" t="s">
        <v>24</v>
      </c>
      <c r="I3" s="41"/>
      <c r="J3" s="41"/>
      <c r="K3" s="41" t="s">
        <v>27</v>
      </c>
      <c r="L3" s="41"/>
      <c r="M3" s="41"/>
      <c r="N3" s="10" t="s">
        <v>108</v>
      </c>
    </row>
    <row r="4" customFormat="false" ht="15" hidden="false" customHeight="false" outlineLevel="0" collapsed="false">
      <c r="A4" s="24" t="s">
        <v>21</v>
      </c>
      <c r="B4" s="25" t="s">
        <v>51</v>
      </c>
      <c r="C4" s="26" t="s">
        <v>52</v>
      </c>
      <c r="D4" s="27" t="s">
        <v>53</v>
      </c>
      <c r="E4" s="25" t="s">
        <v>51</v>
      </c>
      <c r="F4" s="26" t="s">
        <v>52</v>
      </c>
      <c r="G4" s="27" t="s">
        <v>53</v>
      </c>
      <c r="H4" s="25" t="s">
        <v>51</v>
      </c>
      <c r="I4" s="26" t="s">
        <v>52</v>
      </c>
      <c r="J4" s="27" t="s">
        <v>53</v>
      </c>
      <c r="K4" s="25" t="s">
        <v>51</v>
      </c>
      <c r="L4" s="26" t="s">
        <v>52</v>
      </c>
      <c r="M4" s="27" t="s">
        <v>53</v>
      </c>
      <c r="N4" s="24" t="s">
        <v>109</v>
      </c>
    </row>
    <row r="5" customFormat="false" ht="15" hidden="false" customHeight="false" outlineLevel="0" collapsed="false">
      <c r="A5" s="10" t="n">
        <v>0</v>
      </c>
      <c r="B5" s="17" t="n">
        <f aca="false">'Tabla hombres'!D5</f>
        <v>100000</v>
      </c>
      <c r="C5" s="17" t="n">
        <f aca="false">'Tabla mujeres'!D5</f>
        <v>100000</v>
      </c>
      <c r="D5" s="17" t="n">
        <f aca="false">'Tabla ambos sexos'!D5</f>
        <v>100000</v>
      </c>
      <c r="E5" s="48" t="n">
        <f aca="false">'Tabla hombres'!C5</f>
        <v>0.0136451701350009</v>
      </c>
      <c r="F5" s="48" t="n">
        <f aca="false">'Tabla mujeres'!C5</f>
        <v>0.0110411425046369</v>
      </c>
      <c r="G5" s="48" t="n">
        <f aca="false">'Tabla ambos sexos'!C5</f>
        <v>0.012423606379248</v>
      </c>
      <c r="H5" s="17" t="n">
        <f aca="false">'Tabla hombres'!E5</f>
        <v>1364.51701350009</v>
      </c>
      <c r="I5" s="17" t="n">
        <f aca="false">'Tabla mujeres'!E5</f>
        <v>1104.11425046369</v>
      </c>
      <c r="J5" s="17" t="n">
        <f aca="false">'Tabla ambos sexos'!E5</f>
        <v>1242.3606379248</v>
      </c>
      <c r="K5" s="49" t="n">
        <f aca="false">'Tabla hombres'!H5</f>
        <v>72.8950124093887</v>
      </c>
      <c r="L5" s="49" t="n">
        <f aca="false">'Tabla mujeres'!H5</f>
        <v>79.114598898827</v>
      </c>
      <c r="M5" s="49" t="n">
        <f aca="false">'Tabla ambos sexos'!H5</f>
        <v>75.9880421478919</v>
      </c>
      <c r="N5" s="50" t="n">
        <f aca="false">IF(F5&gt;0,E5/F5,"")</f>
        <v>1.23584766062664</v>
      </c>
    </row>
    <row r="6" customFormat="false" ht="15" hidden="false" customHeight="false" outlineLevel="0" collapsed="false">
      <c r="A6" s="10" t="n">
        <v>1</v>
      </c>
      <c r="B6" s="17" t="n">
        <f aca="false">'Tabla hombres'!D6</f>
        <v>98635.4829864999</v>
      </c>
      <c r="C6" s="17" t="n">
        <f aca="false">'Tabla mujeres'!D6</f>
        <v>98895.8857495363</v>
      </c>
      <c r="D6" s="17" t="n">
        <f aca="false">'Tabla ambos sexos'!D6</f>
        <v>98757.6393620752</v>
      </c>
      <c r="E6" s="48" t="n">
        <f aca="false">'Tabla hombres'!C6</f>
        <v>0.00116642464033302</v>
      </c>
      <c r="F6" s="48" t="n">
        <f aca="false">'Tabla mujeres'!C6</f>
        <v>0.00107306549258667</v>
      </c>
      <c r="G6" s="48" t="n">
        <f aca="false">'Tabla ambos sexos'!C6</f>
        <v>0.00112119467317172</v>
      </c>
      <c r="H6" s="17" t="n">
        <f aca="false">'Tabla hombres'!E6</f>
        <v>115.050857766602</v>
      </c>
      <c r="I6" s="17" t="n">
        <f aca="false">'Tabla mujeres'!E6</f>
        <v>106.121762356621</v>
      </c>
      <c r="J6" s="17" t="n">
        <f aca="false">'Tabla ambos sexos'!E6</f>
        <v>110.726539187772</v>
      </c>
      <c r="K6" s="49" t="n">
        <f aca="false">'Tabla hombres'!H6</f>
        <v>72.8965204178067</v>
      </c>
      <c r="L6" s="49" t="n">
        <f aca="false">'Tabla mujeres'!H6</f>
        <v>78.9922845404574</v>
      </c>
      <c r="M6" s="49" t="n">
        <f aca="false">'Tabla ambos sexos'!H6</f>
        <v>75.9376737187187</v>
      </c>
      <c r="N6" s="50" t="n">
        <f aca="false">IF(F6&gt;0,E6/F6,"")</f>
        <v>1.08700228307715</v>
      </c>
    </row>
    <row r="7" customFormat="false" ht="15" hidden="false" customHeight="false" outlineLevel="0" collapsed="false">
      <c r="A7" s="10" t="n">
        <v>2</v>
      </c>
      <c r="B7" s="17" t="n">
        <f aca="false">'Tabla hombres'!D7</f>
        <v>98520.4321287333</v>
      </c>
      <c r="C7" s="17" t="n">
        <f aca="false">'Tabla mujeres'!D7</f>
        <v>98789.7639871797</v>
      </c>
      <c r="D7" s="17" t="n">
        <f aca="false">'Tabla ambos sexos'!D7</f>
        <v>98646.9128228874</v>
      </c>
      <c r="E7" s="48" t="n">
        <f aca="false">'Tabla hombres'!C7</f>
        <v>0.000594709003836512</v>
      </c>
      <c r="F7" s="48" t="n">
        <f aca="false">'Tabla mujeres'!C7</f>
        <v>0.000495836550581336</v>
      </c>
      <c r="G7" s="48" t="n">
        <f aca="false">'Tabla ambos sexos'!C7</f>
        <v>0.000546639312836013</v>
      </c>
      <c r="H7" s="17" t="n">
        <f aca="false">'Tabla hombres'!E7</f>
        <v>58.5909880488217</v>
      </c>
      <c r="I7" s="17" t="n">
        <f aca="false">'Tabla mujeres'!E7</f>
        <v>48.9835758081474</v>
      </c>
      <c r="J7" s="17" t="n">
        <f aca="false">'Tabla ambos sexos'!E7</f>
        <v>53.9242806388973</v>
      </c>
      <c r="K7" s="49" t="n">
        <f aca="false">'Tabla hombres'!H7</f>
        <v>71.9810641169503</v>
      </c>
      <c r="L7" s="49" t="n">
        <f aca="false">'Tabla mujeres'!H7</f>
        <v>78.0766023809971</v>
      </c>
      <c r="M7" s="49" t="n">
        <f aca="false">'Tabla ambos sexos'!H7</f>
        <v>75.0223489740938</v>
      </c>
      <c r="N7" s="50" t="n">
        <f aca="false">IF(F7&gt;0,E7/F7,"")</f>
        <v>1.19940533455885</v>
      </c>
    </row>
    <row r="8" customFormat="false" ht="15" hidden="false" customHeight="false" outlineLevel="0" collapsed="false">
      <c r="A8" s="10" t="n">
        <v>3</v>
      </c>
      <c r="B8" s="17" t="n">
        <f aca="false">'Tabla hombres'!D8</f>
        <v>98461.8411406845</v>
      </c>
      <c r="C8" s="17" t="n">
        <f aca="false">'Tabla mujeres'!D8</f>
        <v>98740.7804113715</v>
      </c>
      <c r="D8" s="17" t="n">
        <f aca="false">'Tabla ambos sexos'!D8</f>
        <v>98592.9885422485</v>
      </c>
      <c r="E8" s="48" t="n">
        <f aca="false">'Tabla hombres'!C8</f>
        <v>0.000397074037422805</v>
      </c>
      <c r="F8" s="48" t="n">
        <f aca="false">'Tabla mujeres'!C8</f>
        <v>0.000325827063979955</v>
      </c>
      <c r="G8" s="48" t="n">
        <f aca="false">'Tabla ambos sexos'!C8</f>
        <v>0.000361887738247588</v>
      </c>
      <c r="H8" s="17" t="n">
        <f aca="false">'Tabla hombres'!E8</f>
        <v>39.0966407938144</v>
      </c>
      <c r="I8" s="17" t="n">
        <f aca="false">'Tabla mujeres'!E8</f>
        <v>32.1724185765266</v>
      </c>
      <c r="J8" s="17" t="n">
        <f aca="false">'Tabla ambos sexos'!E8</f>
        <v>35.6795936306247</v>
      </c>
      <c r="K8" s="49" t="n">
        <f aca="false">'Tabla hombres'!H8</f>
        <v>71.0235998457654</v>
      </c>
      <c r="L8" s="49" t="n">
        <f aca="false">'Tabla mujeres'!H8</f>
        <v>77.1150867778981</v>
      </c>
      <c r="M8" s="49" t="n">
        <f aca="false">'Tabla ambos sexos'!H8</f>
        <v>74.0631081002687</v>
      </c>
      <c r="N8" s="50" t="n">
        <f aca="false">IF(F8&gt;0,E8/F8,"")</f>
        <v>1.21866499538919</v>
      </c>
    </row>
    <row r="9" customFormat="false" ht="15" hidden="false" customHeight="false" outlineLevel="0" collapsed="false">
      <c r="A9" s="10" t="n">
        <v>4</v>
      </c>
      <c r="B9" s="17" t="n">
        <f aca="false">'Tabla hombres'!D9</f>
        <v>98422.7444998907</v>
      </c>
      <c r="C9" s="17" t="n">
        <f aca="false">'Tabla mujeres'!D9</f>
        <v>98708.607992795</v>
      </c>
      <c r="D9" s="17" t="n">
        <f aca="false">'Tabla ambos sexos'!D9</f>
        <v>98557.3089486179</v>
      </c>
      <c r="E9" s="48" t="n">
        <f aca="false">'Tabla hombres'!C9</f>
        <v>0.000308318402537597</v>
      </c>
      <c r="F9" s="48" t="n">
        <f aca="false">'Tabla mujeres'!C9</f>
        <v>0.000275102168030036</v>
      </c>
      <c r="G9" s="48" t="n">
        <f aca="false">'Tabla ambos sexos'!C9</f>
        <v>0.000292131421701076</v>
      </c>
      <c r="H9" s="17" t="n">
        <f aca="false">'Tabla hombres'!E9</f>
        <v>30.3455433575724</v>
      </c>
      <c r="I9" s="17" t="n">
        <f aca="false">'Tabla mujeres'!E9</f>
        <v>27.1549520620449</v>
      </c>
      <c r="J9" s="17" t="n">
        <f aca="false">'Tabla ambos sexos'!E9</f>
        <v>28.7916867821919</v>
      </c>
      <c r="K9" s="49" t="n">
        <f aca="false">'Tabla hombres'!H9</f>
        <v>70.0516140600069</v>
      </c>
      <c r="L9" s="49" t="n">
        <f aca="false">'Tabla mujeres'!H9</f>
        <v>76.1400581830392</v>
      </c>
      <c r="M9" s="49" t="n">
        <f aca="false">'Tabla ambos sexos'!H9</f>
        <v>73.0897393245911</v>
      </c>
      <c r="N9" s="50" t="n">
        <f aca="false">IF(F9&gt;0,E9/F9,"")</f>
        <v>1.12074144942374</v>
      </c>
    </row>
    <row r="10" customFormat="false" ht="15" hidden="false" customHeight="false" outlineLevel="0" collapsed="false">
      <c r="A10" s="10" t="n">
        <v>5</v>
      </c>
      <c r="B10" s="17" t="n">
        <f aca="false">'Tabla hombres'!D10</f>
        <v>98392.3989565331</v>
      </c>
      <c r="C10" s="17" t="n">
        <f aca="false">'Tabla mujeres'!D10</f>
        <v>98681.453040733</v>
      </c>
      <c r="D10" s="17" t="n">
        <f aca="false">'Tabla ambos sexos'!D10</f>
        <v>98528.5172618357</v>
      </c>
      <c r="E10" s="48" t="n">
        <f aca="false">'Tabla hombres'!C10</f>
        <v>0.00026142487251237</v>
      </c>
      <c r="F10" s="48" t="n">
        <f aca="false">'Tabla mujeres'!C10</f>
        <v>0.000245463388874404</v>
      </c>
      <c r="G10" s="48" t="n">
        <f aca="false">'Tabla ambos sexos'!C10</f>
        <v>0.000253766920133824</v>
      </c>
      <c r="H10" s="17" t="n">
        <f aca="false">'Tabla hombres'!E10</f>
        <v>25.7222203533979</v>
      </c>
      <c r="I10" s="17" t="n">
        <f aca="false">'Tabla mujeres'!E10</f>
        <v>24.2226838824287</v>
      </c>
      <c r="J10" s="17" t="n">
        <f aca="false">'Tabla ambos sexos'!E10</f>
        <v>25.0032783708884</v>
      </c>
      <c r="K10" s="49" t="n">
        <f aca="false">'Tabla hombres'!H10</f>
        <v>69.0730647161798</v>
      </c>
      <c r="L10" s="49" t="n">
        <f aca="false">'Tabla mujeres'!H10</f>
        <v>75.1608726531411</v>
      </c>
      <c r="M10" s="49" t="n">
        <f aca="false">'Tabla ambos sexos'!H10</f>
        <v>72.1109512650152</v>
      </c>
      <c r="N10" s="50" t="n">
        <f aca="false">IF(F10&gt;0,E10/F10,"")</f>
        <v>1.0650259238706</v>
      </c>
    </row>
    <row r="11" customFormat="false" ht="15" hidden="false" customHeight="false" outlineLevel="0" collapsed="false">
      <c r="A11" s="10" t="n">
        <v>6</v>
      </c>
      <c r="B11" s="17" t="n">
        <f aca="false">'Tabla hombres'!D11</f>
        <v>98366.6767361797</v>
      </c>
      <c r="C11" s="17" t="n">
        <f aca="false">'Tabla mujeres'!D11</f>
        <v>98657.2303568505</v>
      </c>
      <c r="D11" s="17" t="n">
        <f aca="false">'Tabla ambos sexos'!D11</f>
        <v>98503.5139834648</v>
      </c>
      <c r="E11" s="48" t="n">
        <f aca="false">'Tabla hombres'!C11</f>
        <v>0.000248694653977647</v>
      </c>
      <c r="F11" s="48" t="n">
        <f aca="false">'Tabla mujeres'!C11</f>
        <v>0.000205474540011107</v>
      </c>
      <c r="G11" s="48" t="n">
        <f aca="false">'Tabla ambos sexos'!C11</f>
        <v>0.000227424637389945</v>
      </c>
      <c r="H11" s="17" t="n">
        <f aca="false">'Tabla hombres'!E11</f>
        <v>24.4632666338353</v>
      </c>
      <c r="I11" s="17" t="n">
        <f aca="false">'Tabla mujeres'!E11</f>
        <v>20.2715490263437</v>
      </c>
      <c r="J11" s="17" t="n">
        <f aca="false">'Tabla ambos sexos'!E11</f>
        <v>22.4021259493249</v>
      </c>
      <c r="K11" s="49" t="n">
        <f aca="false">'Tabla hombres'!H11</f>
        <v>68.090996108593</v>
      </c>
      <c r="L11" s="49" t="n">
        <f aca="false">'Tabla mujeres'!H11</f>
        <v>74.1792036635508</v>
      </c>
      <c r="M11" s="49" t="n">
        <f aca="false">'Tabla ambos sexos'!H11</f>
        <v>71.1291283683131</v>
      </c>
      <c r="N11" s="50" t="n">
        <f aca="false">IF(F11&gt;0,E11/F11,"")</f>
        <v>1.21034291627665</v>
      </c>
    </row>
    <row r="12" customFormat="false" ht="15" hidden="false" customHeight="false" outlineLevel="0" collapsed="false">
      <c r="A12" s="10" t="n">
        <v>7</v>
      </c>
      <c r="B12" s="17" t="n">
        <f aca="false">'Tabla hombres'!D12</f>
        <v>98342.2134695459</v>
      </c>
      <c r="C12" s="17" t="n">
        <f aca="false">'Tabla mujeres'!D12</f>
        <v>98636.9588078242</v>
      </c>
      <c r="D12" s="17" t="n">
        <f aca="false">'Tabla ambos sexos'!D12</f>
        <v>98481.1118575155</v>
      </c>
      <c r="E12" s="48" t="n">
        <f aca="false">'Tabla hombres'!C12</f>
        <v>0.000231762099680989</v>
      </c>
      <c r="F12" s="48" t="n">
        <f aca="false">'Tabla mujeres'!C12</f>
        <v>0.000226819591431342</v>
      </c>
      <c r="G12" s="48" t="n">
        <f aca="false">'Tabla ambos sexos'!C12</f>
        <v>0.000229520748597036</v>
      </c>
      <c r="H12" s="17" t="n">
        <f aca="false">'Tabla hombres'!E12</f>
        <v>22.791997880978</v>
      </c>
      <c r="I12" s="17" t="n">
        <f aca="false">'Tabla mujeres'!E12</f>
        <v>22.3727946968208</v>
      </c>
      <c r="J12" s="17" t="n">
        <f aca="false">'Tabla ambos sexos'!E12</f>
        <v>22.6034585162054</v>
      </c>
      <c r="K12" s="49" t="n">
        <f aca="false">'Tabla hombres'!H12</f>
        <v>67.1078098094598</v>
      </c>
      <c r="L12" s="49" t="n">
        <f aca="false">'Tabla mujeres'!H12</f>
        <v>73.1943459753915</v>
      </c>
      <c r="M12" s="49" t="n">
        <f aca="false">'Tabla ambos sexos'!H12</f>
        <v>70.1451948261298</v>
      </c>
      <c r="N12" s="50" t="n">
        <f aca="false">IF(F12&gt;0,E12/F12,"")</f>
        <v>1.02179048211161</v>
      </c>
    </row>
    <row r="13" customFormat="false" ht="15" hidden="false" customHeight="false" outlineLevel="0" collapsed="false">
      <c r="A13" s="10" t="n">
        <v>8</v>
      </c>
      <c r="B13" s="17" t="n">
        <f aca="false">'Tabla hombres'!D13</f>
        <v>98319.4214716649</v>
      </c>
      <c r="C13" s="17" t="n">
        <f aca="false">'Tabla mujeres'!D13</f>
        <v>98614.5860131274</v>
      </c>
      <c r="D13" s="17" t="n">
        <f aca="false">'Tabla ambos sexos'!D13</f>
        <v>98458.5083989993</v>
      </c>
      <c r="E13" s="48" t="n">
        <f aca="false">'Tabla hombres'!C13</f>
        <v>0.000229746195121359</v>
      </c>
      <c r="F13" s="48" t="n">
        <f aca="false">'Tabla mujeres'!C13</f>
        <v>0.000171113905335754</v>
      </c>
      <c r="G13" s="48" t="n">
        <f aca="false">'Tabla ambos sexos'!C13</f>
        <v>0.000201117280336122</v>
      </c>
      <c r="H13" s="17" t="n">
        <f aca="false">'Tabla hombres'!E13</f>
        <v>22.5885129896483</v>
      </c>
      <c r="I13" s="17" t="n">
        <f aca="false">'Tabla mujeres'!E13</f>
        <v>16.8743269357749</v>
      </c>
      <c r="J13" s="17" t="n">
        <f aca="false">'Tabla ambos sexos'!E13</f>
        <v>19.801707435158</v>
      </c>
      <c r="K13" s="49" t="n">
        <f aca="false">'Tabla hombres'!H13</f>
        <v>66.1232505538957</v>
      </c>
      <c r="L13" s="49" t="n">
        <f aca="false">'Tabla mujeres'!H13</f>
        <v>72.2108382180087</v>
      </c>
      <c r="M13" s="49" t="n">
        <f aca="false">'Tabla ambos sexos'!H13</f>
        <v>69.1611835131179</v>
      </c>
      <c r="N13" s="50" t="n">
        <f aca="false">IF(F13&gt;0,E13/F13,"")</f>
        <v>1.34265064356143</v>
      </c>
    </row>
    <row r="14" customFormat="false" ht="15" hidden="false" customHeight="false" outlineLevel="0" collapsed="false">
      <c r="A14" s="10" t="n">
        <v>9</v>
      </c>
      <c r="B14" s="17" t="n">
        <f aca="false">'Tabla hombres'!D14</f>
        <v>98296.8329586752</v>
      </c>
      <c r="C14" s="17" t="n">
        <f aca="false">'Tabla mujeres'!D14</f>
        <v>98597.7116861916</v>
      </c>
      <c r="D14" s="17" t="n">
        <f aca="false">'Tabla ambos sexos'!D14</f>
        <v>98438.7066915641</v>
      </c>
      <c r="E14" s="48" t="n">
        <f aca="false">'Tabla hombres'!C14</f>
        <v>0.000271522171934557</v>
      </c>
      <c r="F14" s="48" t="n">
        <f aca="false">'Tabla mujeres'!C14</f>
        <v>0.000216861264359608</v>
      </c>
      <c r="G14" s="48" t="n">
        <f aca="false">'Tabla ambos sexos'!C14</f>
        <v>0.000244502107201248</v>
      </c>
      <c r="H14" s="17" t="n">
        <f aca="false">'Tabla hombres'!E14</f>
        <v>26.6897695792278</v>
      </c>
      <c r="I14" s="17" t="n">
        <f aca="false">'Tabla mujeres'!E14</f>
        <v>21.3820244192316</v>
      </c>
      <c r="J14" s="17" t="n">
        <f aca="false">'Tabla ambos sexos'!E14</f>
        <v>24.068471216253</v>
      </c>
      <c r="K14" s="49" t="n">
        <f aca="false">'Tabla hombres'!H14</f>
        <v>65.1383307106306</v>
      </c>
      <c r="L14" s="49" t="n">
        <f aca="false">'Tabla mujeres'!H14</f>
        <v>71.2231110396416</v>
      </c>
      <c r="M14" s="49" t="n">
        <f aca="false">'Tabla ambos sexos'!H14</f>
        <v>68.1749952413879</v>
      </c>
      <c r="N14" s="50" t="n">
        <f aca="false">IF(F14&gt;0,E14/F14,"")</f>
        <v>1.25205473064248</v>
      </c>
    </row>
    <row r="15" customFormat="false" ht="15" hidden="false" customHeight="false" outlineLevel="0" collapsed="false">
      <c r="A15" s="10" t="n">
        <v>10</v>
      </c>
      <c r="B15" s="17" t="n">
        <f aca="false">'Tabla hombres'!D15</f>
        <v>98270.143189096</v>
      </c>
      <c r="C15" s="17" t="n">
        <f aca="false">'Tabla mujeres'!D15</f>
        <v>98576.3296617724</v>
      </c>
      <c r="D15" s="17" t="n">
        <f aca="false">'Tabla ambos sexos'!D15</f>
        <v>98414.6382203479</v>
      </c>
      <c r="E15" s="48" t="n">
        <f aca="false">'Tabla hombres'!C15</f>
        <v>0.000265607728147938</v>
      </c>
      <c r="F15" s="48" t="n">
        <f aca="false">'Tabla mujeres'!C15</f>
        <v>0.000202235775290499</v>
      </c>
      <c r="G15" s="48" t="n">
        <f aca="false">'Tabla ambos sexos'!C15</f>
        <v>0.00023455249519469</v>
      </c>
      <c r="H15" s="17" t="n">
        <f aca="false">'Tabla hombres'!E15</f>
        <v>26.1013094772284</v>
      </c>
      <c r="I15" s="17" t="n">
        <f aca="false">'Tabla mujeres'!E15</f>
        <v>19.9356604544404</v>
      </c>
      <c r="J15" s="17" t="n">
        <f aca="false">'Tabla ambos sexos'!E15</f>
        <v>23.0833989582653</v>
      </c>
      <c r="K15" s="49" t="n">
        <f aca="false">'Tabla hombres'!H15</f>
        <v>64.1558862172847</v>
      </c>
      <c r="L15" s="49" t="n">
        <f aca="false">'Tabla mujeres'!H15</f>
        <v>70.2384514696661</v>
      </c>
      <c r="M15" s="49" t="n">
        <f aca="false">'Tabla ambos sexos'!H15</f>
        <v>67.1915459670166</v>
      </c>
      <c r="N15" s="50" t="n">
        <f aca="false">IF(F15&gt;0,E15/F15,"")</f>
        <v>1.31335678747446</v>
      </c>
    </row>
    <row r="16" customFormat="false" ht="15" hidden="false" customHeight="false" outlineLevel="0" collapsed="false">
      <c r="A16" s="10" t="n">
        <v>11</v>
      </c>
      <c r="B16" s="17" t="n">
        <f aca="false">'Tabla hombres'!D16</f>
        <v>98244.0418796188</v>
      </c>
      <c r="C16" s="17" t="n">
        <f aca="false">'Tabla mujeres'!D16</f>
        <v>98556.3940013179</v>
      </c>
      <c r="D16" s="17" t="n">
        <f aca="false">'Tabla ambos sexos'!D16</f>
        <v>98391.5548213896</v>
      </c>
      <c r="E16" s="48" t="n">
        <f aca="false">'Tabla hombres'!C16</f>
        <v>0.000294272387776476</v>
      </c>
      <c r="F16" s="48" t="n">
        <f aca="false">'Tabla mujeres'!C16</f>
        <v>0.000222965275334081</v>
      </c>
      <c r="G16" s="48" t="n">
        <f aca="false">'Tabla ambos sexos'!C16</f>
        <v>0.000259257624761094</v>
      </c>
      <c r="H16" s="17" t="n">
        <f aca="false">'Tabla hombres'!E16</f>
        <v>28.9105087887275</v>
      </c>
      <c r="I16" s="17" t="n">
        <f aca="false">'Tabla mujeres'!E16</f>
        <v>21.9746535244381</v>
      </c>
      <c r="J16" s="17" t="n">
        <f aca="false">'Tabla ambos sexos'!E16</f>
        <v>25.5087607995444</v>
      </c>
      <c r="K16" s="49" t="n">
        <f aca="false">'Tabla hombres'!H16</f>
        <v>63.1727982045606</v>
      </c>
      <c r="L16" s="49" t="n">
        <f aca="false">'Tabla mujeres'!H16</f>
        <v>69.2525579322981</v>
      </c>
      <c r="M16" s="49" t="n">
        <f aca="false">'Tabla ambos sexos'!H16</f>
        <v>66.2071923054192</v>
      </c>
      <c r="N16" s="50" t="n">
        <f aca="false">IF(F16&gt;0,E16/F16,"")</f>
        <v>1.31981263600599</v>
      </c>
    </row>
    <row r="17" customFormat="false" ht="15" hidden="false" customHeight="false" outlineLevel="0" collapsed="false">
      <c r="A17" s="10" t="n">
        <v>12</v>
      </c>
      <c r="B17" s="17" t="n">
        <f aca="false">'Tabla hombres'!D17</f>
        <v>98215.13137083</v>
      </c>
      <c r="C17" s="17" t="n">
        <f aca="false">'Tabla mujeres'!D17</f>
        <v>98534.4193477935</v>
      </c>
      <c r="D17" s="17" t="n">
        <f aca="false">'Tabla ambos sexos'!D17</f>
        <v>98366.0460605901</v>
      </c>
      <c r="E17" s="48" t="n">
        <f aca="false">'Tabla hombres'!C17</f>
        <v>0.000338556026435477</v>
      </c>
      <c r="F17" s="48" t="n">
        <f aca="false">'Tabla mujeres'!C17</f>
        <v>0.000238681263368131</v>
      </c>
      <c r="G17" s="48" t="n">
        <f aca="false">'Tabla ambos sexos'!C17</f>
        <v>0.000289462720031504</v>
      </c>
      <c r="H17" s="17" t="n">
        <f aca="false">'Tabla hombres'!E17</f>
        <v>33.2513246127466</v>
      </c>
      <c r="I17" s="17" t="n">
        <f aca="false">'Tabla mujeres'!E17</f>
        <v>23.5183196951765</v>
      </c>
      <c r="J17" s="17" t="n">
        <f aca="false">'Tabla ambos sexos'!E17</f>
        <v>28.4733032514426</v>
      </c>
      <c r="K17" s="49" t="n">
        <f aca="false">'Tabla hombres'!H17</f>
        <v>62.191246507363</v>
      </c>
      <c r="L17" s="49" t="n">
        <f aca="false">'Tabla mujeres'!H17</f>
        <v>68.2678907840008</v>
      </c>
      <c r="M17" s="49" t="n">
        <f aca="false">'Tabla ambos sexos'!H17</f>
        <v>65.2242318136485</v>
      </c>
      <c r="N17" s="50" t="n">
        <f aca="false">IF(F17&gt;0,E17/F17,"")</f>
        <v>1.41844408588245</v>
      </c>
    </row>
    <row r="18" customFormat="false" ht="15" hidden="false" customHeight="false" outlineLevel="0" collapsed="false">
      <c r="A18" s="10" t="n">
        <v>13</v>
      </c>
      <c r="B18" s="17" t="n">
        <f aca="false">'Tabla hombres'!D18</f>
        <v>98181.8800462173</v>
      </c>
      <c r="C18" s="17" t="n">
        <f aca="false">'Tabla mujeres'!D18</f>
        <v>98510.9010280983</v>
      </c>
      <c r="D18" s="17" t="n">
        <f aca="false">'Tabla ambos sexos'!D18</f>
        <v>98337.5727573386</v>
      </c>
      <c r="E18" s="48" t="n">
        <f aca="false">'Tabla hombres'!C18</f>
        <v>0.000425390858345421</v>
      </c>
      <c r="F18" s="48" t="n">
        <f aca="false">'Tabla mujeres'!C18</f>
        <v>0.000273443853121673</v>
      </c>
      <c r="G18" s="48" t="n">
        <f aca="false">'Tabla ambos sexos'!C18</f>
        <v>0.000350520857123599</v>
      </c>
      <c r="H18" s="17" t="n">
        <f aca="false">'Tabla hombres'!E18</f>
        <v>41.7656742268275</v>
      </c>
      <c r="I18" s="17" t="n">
        <f aca="false">'Tabla mujeres'!E18</f>
        <v>26.937200351611</v>
      </c>
      <c r="J18" s="17" t="n">
        <f aca="false">'Tabla ambos sexos'!E18</f>
        <v>34.4693702903567</v>
      </c>
      <c r="K18" s="49" t="n">
        <f aca="false">'Tabla hombres'!H18</f>
        <v>61.2121395241031</v>
      </c>
      <c r="L18" s="49" t="n">
        <f aca="false">'Tabla mujeres'!H18</f>
        <v>67.2840695713624</v>
      </c>
      <c r="M18" s="49" t="n">
        <f aca="false">'Tabla ambos sexos'!H18</f>
        <v>64.2429724905685</v>
      </c>
      <c r="N18" s="50" t="n">
        <f aca="false">IF(F18&gt;0,E18/F18,"")</f>
        <v>1.55567899402053</v>
      </c>
    </row>
    <row r="19" customFormat="false" ht="15" hidden="false" customHeight="false" outlineLevel="0" collapsed="false">
      <c r="A19" s="10" t="n">
        <v>14</v>
      </c>
      <c r="B19" s="17" t="n">
        <f aca="false">'Tabla hombres'!D19</f>
        <v>98140.1143719905</v>
      </c>
      <c r="C19" s="17" t="n">
        <f aca="false">'Tabla mujeres'!D19</f>
        <v>98483.9638277467</v>
      </c>
      <c r="D19" s="17" t="n">
        <f aca="false">'Tabla ambos sexos'!D19</f>
        <v>98303.1033870483</v>
      </c>
      <c r="E19" s="48" t="n">
        <f aca="false">'Tabla hombres'!C19</f>
        <v>0.000562534571337266</v>
      </c>
      <c r="F19" s="48" t="n">
        <f aca="false">'Tabla mujeres'!C19</f>
        <v>0.000326605158153897</v>
      </c>
      <c r="G19" s="48" t="n">
        <f aca="false">'Tabla ambos sexos'!C19</f>
        <v>0.000446097515377046</v>
      </c>
      <c r="H19" s="17" t="n">
        <f aca="false">'Tabla hombres'!E19</f>
        <v>55.207207169238</v>
      </c>
      <c r="I19" s="17" t="n">
        <f aca="false">'Tabla mujeres'!E19</f>
        <v>32.1653705815838</v>
      </c>
      <c r="J19" s="17" t="n">
        <f aca="false">'Tabla ambos sexos'!E19</f>
        <v>43.8527701748151</v>
      </c>
      <c r="K19" s="49" t="n">
        <f aca="false">'Tabla hombres'!H19</f>
        <v>60.2379769042326</v>
      </c>
      <c r="L19" s="49" t="n">
        <f aca="false">'Tabla mujeres'!H19</f>
        <v>66.3023362595867</v>
      </c>
      <c r="M19" s="49" t="n">
        <f aca="false">'Tabla ambos sexos'!H19</f>
        <v>63.2653235664398</v>
      </c>
      <c r="N19" s="50" t="n">
        <f aca="false">IF(F19&gt;0,E19/F19,"")</f>
        <v>1.72236891332929</v>
      </c>
    </row>
    <row r="20" customFormat="false" ht="15" hidden="false" customHeight="false" outlineLevel="0" collapsed="false">
      <c r="A20" s="10" t="n">
        <v>15</v>
      </c>
      <c r="B20" s="17" t="n">
        <f aca="false">'Tabla hombres'!D20</f>
        <v>98084.9071648212</v>
      </c>
      <c r="C20" s="17" t="n">
        <f aca="false">'Tabla mujeres'!D20</f>
        <v>98451.7984571651</v>
      </c>
      <c r="D20" s="17" t="n">
        <f aca="false">'Tabla ambos sexos'!D20</f>
        <v>98259.2506168735</v>
      </c>
      <c r="E20" s="48" t="n">
        <f aca="false">'Tabla hombres'!C20</f>
        <v>0.000740795181757582</v>
      </c>
      <c r="F20" s="48" t="n">
        <f aca="false">'Tabla mujeres'!C20</f>
        <v>0.000372732184850099</v>
      </c>
      <c r="G20" s="48" t="n">
        <f aca="false">'Tabla ambos sexos'!C20</f>
        <v>0.000558882982893938</v>
      </c>
      <c r="H20" s="17" t="n">
        <f aca="false">'Tabla hombres'!E20</f>
        <v>72.6608266308393</v>
      </c>
      <c r="I20" s="17" t="n">
        <f aca="false">'Tabla mujeres'!E20</f>
        <v>36.6961539413607</v>
      </c>
      <c r="J20" s="17" t="n">
        <f aca="false">'Tabla ambos sexos'!E20</f>
        <v>54.9154230816812</v>
      </c>
      <c r="K20" s="49" t="n">
        <f aca="false">'Tabla hombres'!H20</f>
        <v>59.2716004958957</v>
      </c>
      <c r="L20" s="49" t="n">
        <f aca="false">'Tabla mujeres'!H20</f>
        <v>65.3238346635173</v>
      </c>
      <c r="M20" s="49" t="n">
        <f aca="false">'Tabla ambos sexos'!H20</f>
        <v>62.2933355173963</v>
      </c>
      <c r="N20" s="50" t="n">
        <f aca="false">IF(F20&gt;0,E20/F20,"")</f>
        <v>1.98747307548852</v>
      </c>
    </row>
    <row r="21" customFormat="false" ht="15" hidden="false" customHeight="false" outlineLevel="0" collapsed="false">
      <c r="A21" s="10" t="n">
        <v>16</v>
      </c>
      <c r="B21" s="17" t="n">
        <f aca="false">'Tabla hombres'!D21</f>
        <v>98012.2463381904</v>
      </c>
      <c r="C21" s="17" t="n">
        <f aca="false">'Tabla mujeres'!D21</f>
        <v>98415.1023032238</v>
      </c>
      <c r="D21" s="17" t="n">
        <f aca="false">'Tabla ambos sexos'!D21</f>
        <v>98204.3351937918</v>
      </c>
      <c r="E21" s="48" t="n">
        <f aca="false">'Tabla hombres'!C21</f>
        <v>0.000955614288936365</v>
      </c>
      <c r="F21" s="48" t="n">
        <f aca="false">'Tabla mujeres'!C21</f>
        <v>0.00041244251271385</v>
      </c>
      <c r="G21" s="48" t="n">
        <f aca="false">'Tabla ambos sexos'!C21</f>
        <v>0.000687332180307395</v>
      </c>
      <c r="H21" s="17" t="n">
        <f aca="false">'Tabla hombres'!E21</f>
        <v>93.6619030915257</v>
      </c>
      <c r="I21" s="17" t="n">
        <f aca="false">'Tabla mujeres'!E21</f>
        <v>40.5905720829322</v>
      </c>
      <c r="J21" s="17" t="n">
        <f aca="false">'Tabla ambos sexos'!E21</f>
        <v>67.4989998243872</v>
      </c>
      <c r="K21" s="49" t="n">
        <f aca="false">'Tabla hombres'!H21</f>
        <v>58.3151704908095</v>
      </c>
      <c r="L21" s="49" t="n">
        <f aca="false">'Tabla mujeres'!H21</f>
        <v>64.3480056023286</v>
      </c>
      <c r="M21" s="49" t="n">
        <f aca="false">'Tabla ambos sexos'!H21</f>
        <v>61.3278900730264</v>
      </c>
      <c r="N21" s="50" t="n">
        <f aca="false">IF(F21&gt;0,E21/F21,"")</f>
        <v>2.31696359972321</v>
      </c>
    </row>
    <row r="22" customFormat="false" ht="15" hidden="false" customHeight="false" outlineLevel="0" collapsed="false">
      <c r="A22" s="10" t="n">
        <v>17</v>
      </c>
      <c r="B22" s="17" t="n">
        <f aca="false">'Tabla hombres'!D22</f>
        <v>97918.5844350989</v>
      </c>
      <c r="C22" s="17" t="n">
        <f aca="false">'Tabla mujeres'!D22</f>
        <v>98374.5117311408</v>
      </c>
      <c r="D22" s="17" t="n">
        <f aca="false">'Tabla ambos sexos'!D22</f>
        <v>98136.8361939674</v>
      </c>
      <c r="E22" s="48" t="n">
        <f aca="false">'Tabla hombres'!C22</f>
        <v>0.00120293206612946</v>
      </c>
      <c r="F22" s="48" t="n">
        <f aca="false">'Tabla mujeres'!C22</f>
        <v>0.000470066264864047</v>
      </c>
      <c r="G22" s="48" t="n">
        <f aca="false">'Tabla ambos sexos'!C22</f>
        <v>0.000840082199840163</v>
      </c>
      <c r="H22" s="17" t="n">
        <f aca="false">'Tabla hombres'!E22</f>
        <v>117.789405086986</v>
      </c>
      <c r="I22" s="17" t="n">
        <f aca="false">'Tabla mujeres'!E22</f>
        <v>46.2425392872817</v>
      </c>
      <c r="J22" s="17" t="n">
        <f aca="false">'Tabla ambos sexos'!E22</f>
        <v>82.4430092351818</v>
      </c>
      <c r="K22" s="49" t="n">
        <f aca="false">'Tabla hombres'!H22</f>
        <v>57.3704723410861</v>
      </c>
      <c r="L22" s="49" t="n">
        <f aca="false">'Tabla mujeres'!H22</f>
        <v>63.3743500997817</v>
      </c>
      <c r="M22" s="49" t="n">
        <f aca="false">'Tabla ambos sexos'!H22</f>
        <v>60.369727795747</v>
      </c>
      <c r="N22" s="50" t="n">
        <f aca="false">IF(F22&gt;0,E22/F22,"")</f>
        <v>2.55906912715248</v>
      </c>
    </row>
    <row r="23" customFormat="false" ht="15" hidden="false" customHeight="false" outlineLevel="0" collapsed="false">
      <c r="A23" s="10" t="n">
        <v>18</v>
      </c>
      <c r="B23" s="17" t="n">
        <f aca="false">'Tabla hombres'!D23</f>
        <v>97800.7950300119</v>
      </c>
      <c r="C23" s="17" t="n">
        <f aca="false">'Tabla mujeres'!D23</f>
        <v>98328.2691918535</v>
      </c>
      <c r="D23" s="17" t="n">
        <f aca="false">'Tabla ambos sexos'!D23</f>
        <v>98054.3931847322</v>
      </c>
      <c r="E23" s="48" t="n">
        <f aca="false">'Tabla hombres'!C23</f>
        <v>0.00144810147402952</v>
      </c>
      <c r="F23" s="48" t="n">
        <f aca="false">'Tabla mujeres'!C23</f>
        <v>0.000500126786853741</v>
      </c>
      <c r="G23" s="48" t="n">
        <f aca="false">'Tabla ambos sexos'!C23</f>
        <v>0.000976742647406302</v>
      </c>
      <c r="H23" s="17" t="n">
        <f aca="false">'Tabla hombres'!E23</f>
        <v>141.625475444219</v>
      </c>
      <c r="I23" s="17" t="n">
        <f aca="false">'Tabla mujeres'!E23</f>
        <v>49.1766013278114</v>
      </c>
      <c r="J23" s="17" t="n">
        <f aca="false">'Tabla ambos sexos'!E23</f>
        <v>95.7739075890738</v>
      </c>
      <c r="K23" s="49" t="n">
        <f aca="false">'Tabla hombres'!H23</f>
        <v>56.4389660491589</v>
      </c>
      <c r="L23" s="49" t="n">
        <f aca="false">'Tabla mujeres'!H23</f>
        <v>62.4039191100831</v>
      </c>
      <c r="M23" s="49" t="n">
        <f aca="false">'Tabla ambos sexos'!H23</f>
        <v>59.4200655762508</v>
      </c>
      <c r="N23" s="50" t="n">
        <f aca="false">IF(F23&gt;0,E23/F23,"")</f>
        <v>2.89546873331744</v>
      </c>
    </row>
    <row r="24" customFormat="false" ht="15" hidden="false" customHeight="false" outlineLevel="0" collapsed="false">
      <c r="A24" s="10" t="n">
        <v>19</v>
      </c>
      <c r="B24" s="17" t="n">
        <f aca="false">'Tabla hombres'!D24</f>
        <v>97659.1695545677</v>
      </c>
      <c r="C24" s="17" t="n">
        <f aca="false">'Tabla mujeres'!D24</f>
        <v>98279.0925905257</v>
      </c>
      <c r="D24" s="17" t="n">
        <f aca="false">'Tabla ambos sexos'!D24</f>
        <v>97958.6192771431</v>
      </c>
      <c r="E24" s="48" t="n">
        <f aca="false">'Tabla hombres'!C24</f>
        <v>0.00170122072642691</v>
      </c>
      <c r="F24" s="48" t="n">
        <f aca="false">'Tabla mujeres'!C24</f>
        <v>0.000531122286150868</v>
      </c>
      <c r="G24" s="48" t="n">
        <f aca="false">'Tabla ambos sexos'!C24</f>
        <v>0.00111800778499004</v>
      </c>
      <c r="H24" s="17" t="n">
        <f aca="false">'Tabla hombres'!E24</f>
        <v>166.139803371871</v>
      </c>
      <c r="I24" s="17" t="n">
        <f aca="false">'Tabla mujeres'!E24</f>
        <v>52.1982163375128</v>
      </c>
      <c r="J24" s="17" t="n">
        <f aca="false">'Tabla ambos sexos'!E24</f>
        <v>109.518498958721</v>
      </c>
      <c r="K24" s="49" t="n">
        <f aca="false">'Tabla hombres'!H24</f>
        <v>55.5200888223579</v>
      </c>
      <c r="L24" s="49" t="n">
        <f aca="false">'Tabla mujeres'!H24</f>
        <v>61.4348944098184</v>
      </c>
      <c r="M24" s="49" t="n">
        <f aca="false">'Tabla ambos sexos'!H24</f>
        <v>58.477671583331</v>
      </c>
      <c r="N24" s="50" t="n">
        <f aca="false">IF(F24&gt;0,E24/F24,"")</f>
        <v>3.20306786362881</v>
      </c>
    </row>
    <row r="25" customFormat="false" ht="15" hidden="false" customHeight="false" outlineLevel="0" collapsed="false">
      <c r="A25" s="10" t="n">
        <v>20</v>
      </c>
      <c r="B25" s="17" t="n">
        <f aca="false">'Tabla hombres'!D25</f>
        <v>97493.0297511958</v>
      </c>
      <c r="C25" s="17" t="n">
        <f aca="false">'Tabla mujeres'!D25</f>
        <v>98226.8943741882</v>
      </c>
      <c r="D25" s="17" t="n">
        <f aca="false">'Tabla ambos sexos'!D25</f>
        <v>97849.1007781844</v>
      </c>
      <c r="E25" s="48" t="n">
        <f aca="false">'Tabla hombres'!C25</f>
        <v>0.00191730088938739</v>
      </c>
      <c r="F25" s="48" t="n">
        <f aca="false">'Tabla mujeres'!C25</f>
        <v>0.000550242090694731</v>
      </c>
      <c r="G25" s="48" t="n">
        <f aca="false">'Tabla ambos sexos'!C25</f>
        <v>0.00123340812916362</v>
      </c>
      <c r="H25" s="17" t="n">
        <f aca="false">'Tabla hombres'!E25</f>
        <v>186.923472651039</v>
      </c>
      <c r="I25" s="17" t="n">
        <f aca="false">'Tabla mujeres'!E25</f>
        <v>54.0485717229038</v>
      </c>
      <c r="J25" s="17" t="n">
        <f aca="false">'Tabla ambos sexos'!E25</f>
        <v>120.687876331163</v>
      </c>
      <c r="K25" s="49" t="n">
        <f aca="false">'Tabla hombres'!H25</f>
        <v>54.6138496456883</v>
      </c>
      <c r="L25" s="49" t="n">
        <f aca="false">'Tabla mujeres'!H25</f>
        <v>60.4672754885563</v>
      </c>
      <c r="M25" s="49" t="n">
        <f aca="false">'Tabla ambos sexos'!H25</f>
        <v>57.5425636213204</v>
      </c>
      <c r="N25" s="50" t="n">
        <f aca="false">IF(F25&gt;0,E25/F25,"")</f>
        <v>3.48446787661522</v>
      </c>
    </row>
    <row r="26" customFormat="false" ht="15" hidden="false" customHeight="false" outlineLevel="0" collapsed="false">
      <c r="A26" s="10" t="n">
        <v>21</v>
      </c>
      <c r="B26" s="17" t="n">
        <f aca="false">'Tabla hombres'!D26</f>
        <v>97306.1062785448</v>
      </c>
      <c r="C26" s="17" t="n">
        <f aca="false">'Tabla mujeres'!D26</f>
        <v>98172.8458024653</v>
      </c>
      <c r="D26" s="17" t="n">
        <f aca="false">'Tabla ambos sexos'!D26</f>
        <v>97728.4129018533</v>
      </c>
      <c r="E26" s="48" t="n">
        <f aca="false">'Tabla hombres'!C26</f>
        <v>0.00215490074892031</v>
      </c>
      <c r="F26" s="48" t="n">
        <f aca="false">'Tabla mujeres'!C26</f>
        <v>0.000588209752044424</v>
      </c>
      <c r="G26" s="48" t="n">
        <f aca="false">'Tabla ambos sexos'!C26</f>
        <v>0.0013665091794352</v>
      </c>
      <c r="H26" s="17" t="n">
        <f aca="false">'Tabla hombres'!E26</f>
        <v>209.685001294155</v>
      </c>
      <c r="I26" s="17" t="n">
        <f aca="false">'Tabla mujeres'!E26</f>
        <v>57.7462252869636</v>
      </c>
      <c r="J26" s="17" t="n">
        <f aca="false">'Tabla ambos sexos'!E26</f>
        <v>133.546773322016</v>
      </c>
      <c r="K26" s="49" t="n">
        <f aca="false">'Tabla hombres'!H26</f>
        <v>53.7178014846955</v>
      </c>
      <c r="L26" s="49" t="n">
        <f aca="false">'Tabla mujeres'!H26</f>
        <v>59.5002901736638</v>
      </c>
      <c r="M26" s="49" t="n">
        <f aca="false">'Tabla ambos sexos'!H26</f>
        <v>56.6130072687667</v>
      </c>
      <c r="N26" s="50" t="n">
        <f aca="false">IF(F26&gt;0,E26/F26,"")</f>
        <v>3.66349034750033</v>
      </c>
    </row>
    <row r="27" customFormat="false" ht="15" hidden="false" customHeight="false" outlineLevel="0" collapsed="false">
      <c r="A27" s="10" t="n">
        <v>22</v>
      </c>
      <c r="B27" s="17" t="n">
        <f aca="false">'Tabla hombres'!D27</f>
        <v>97096.4212772506</v>
      </c>
      <c r="C27" s="17" t="n">
        <f aca="false">'Tabla mujeres'!D27</f>
        <v>98115.0995771784</v>
      </c>
      <c r="D27" s="17" t="n">
        <f aca="false">'Tabla ambos sexos'!D27</f>
        <v>97594.8661285312</v>
      </c>
      <c r="E27" s="48" t="n">
        <f aca="false">'Tabla hombres'!C27</f>
        <v>0.00230098406547755</v>
      </c>
      <c r="F27" s="48" t="n">
        <f aca="false">'Tabla mujeres'!C27</f>
        <v>0.000607412541298637</v>
      </c>
      <c r="G27" s="48" t="n">
        <f aca="false">'Tabla ambos sexos'!C27</f>
        <v>0.00144596607026434</v>
      </c>
      <c r="H27" s="17" t="n">
        <f aca="false">'Tabla hombres'!E27</f>
        <v>223.417318173849</v>
      </c>
      <c r="I27" s="17" t="n">
        <f aca="false">'Tabla mujeres'!E27</f>
        <v>59.5963419739427</v>
      </c>
      <c r="J27" s="17" t="n">
        <f aca="false">'Tabla ambos sexos'!E27</f>
        <v>141.118865053847</v>
      </c>
      <c r="K27" s="49" t="n">
        <f aca="false">'Tabla hombres'!H27</f>
        <v>52.8327282206802</v>
      </c>
      <c r="L27" s="49" t="n">
        <f aca="false">'Tabla mujeres'!H27</f>
        <v>58.5350151452843</v>
      </c>
      <c r="M27" s="49" t="n">
        <f aca="false">'Tabla ambos sexos'!H27</f>
        <v>55.689791134142</v>
      </c>
      <c r="N27" s="50" t="n">
        <f aca="false">IF(F27&gt;0,E27/F27,"")</f>
        <v>3.78817345548725</v>
      </c>
    </row>
    <row r="28" customFormat="false" ht="15" hidden="false" customHeight="false" outlineLevel="0" collapsed="false">
      <c r="A28" s="10" t="n">
        <v>23</v>
      </c>
      <c r="B28" s="17" t="n">
        <f aca="false">'Tabla hombres'!D28</f>
        <v>96873.0039590768</v>
      </c>
      <c r="C28" s="17" t="n">
        <f aca="false">'Tabla mujeres'!D28</f>
        <v>98055.5032352044</v>
      </c>
      <c r="D28" s="17" t="n">
        <f aca="false">'Tabla ambos sexos'!D28</f>
        <v>97453.7472634774</v>
      </c>
      <c r="E28" s="48" t="n">
        <f aca="false">'Tabla hombres'!C28</f>
        <v>0.00248186309811934</v>
      </c>
      <c r="F28" s="48" t="n">
        <f aca="false">'Tabla mujeres'!C28</f>
        <v>0.000635477430740671</v>
      </c>
      <c r="G28" s="48" t="n">
        <f aca="false">'Tabla ambos sexos'!C28</f>
        <v>0.0015462703157002</v>
      </c>
      <c r="H28" s="17" t="n">
        <f aca="false">'Tabla hombres'!E28</f>
        <v>240.425533730002</v>
      </c>
      <c r="I28" s="17" t="n">
        <f aca="false">'Tabla mujeres'!E28</f>
        <v>62.3120592658912</v>
      </c>
      <c r="J28" s="17" t="n">
        <f aca="false">'Tabla ambos sexos'!E28</f>
        <v>150.689836547265</v>
      </c>
      <c r="K28" s="49" t="n">
        <f aca="false">'Tabla hombres'!H28</f>
        <v>51.9534227105169</v>
      </c>
      <c r="L28" s="49" t="n">
        <f aca="false">'Tabla mujeres'!H28</f>
        <v>57.5702877663504</v>
      </c>
      <c r="M28" s="49" t="n">
        <f aca="false">'Tabla ambos sexos'!H28</f>
        <v>54.7697092584431</v>
      </c>
      <c r="N28" s="50" t="n">
        <f aca="false">IF(F28&gt;0,E28/F28,"")</f>
        <v>3.9055094297002</v>
      </c>
    </row>
    <row r="29" customFormat="false" ht="15" hidden="false" customHeight="false" outlineLevel="0" collapsed="false">
      <c r="A29" s="10" t="n">
        <v>24</v>
      </c>
      <c r="B29" s="17" t="n">
        <f aca="false">'Tabla hombres'!D29</f>
        <v>96632.5784253468</v>
      </c>
      <c r="C29" s="17" t="n">
        <f aca="false">'Tabla mujeres'!D29</f>
        <v>97993.1911759385</v>
      </c>
      <c r="D29" s="17" t="n">
        <f aca="false">'Tabla ambos sexos'!D29</f>
        <v>97303.0574269301</v>
      </c>
      <c r="E29" s="48" t="n">
        <f aca="false">'Tabla hombres'!C29</f>
        <v>0.00258131808692586</v>
      </c>
      <c r="F29" s="48" t="n">
        <f aca="false">'Tabla mujeres'!C29</f>
        <v>0.000648123946534627</v>
      </c>
      <c r="G29" s="48" t="n">
        <f aca="false">'Tabla ambos sexos'!C29</f>
        <v>0.00159575716142076</v>
      </c>
      <c r="H29" s="17" t="n">
        <f aca="false">'Tabla hombres'!E29</f>
        <v>249.439422475629</v>
      </c>
      <c r="I29" s="17" t="n">
        <f aca="false">'Tabla mujeres'!E29</f>
        <v>63.5117337984715</v>
      </c>
      <c r="J29" s="17" t="n">
        <f aca="false">'Tabla ambos sexos'!E29</f>
        <v>155.27205071716</v>
      </c>
      <c r="K29" s="49" t="n">
        <f aca="false">'Tabla hombres'!H29</f>
        <v>51.0814407849489</v>
      </c>
      <c r="L29" s="49" t="n">
        <f aca="false">'Tabla mujeres'!H29</f>
        <v>56.6065777076304</v>
      </c>
      <c r="M29" s="49" t="n">
        <f aca="false">'Tabla ambos sexos'!H29</f>
        <v>53.853754856124</v>
      </c>
      <c r="N29" s="50" t="n">
        <f aca="false">IF(F29&gt;0,E29/F29,"")</f>
        <v>3.98275376296091</v>
      </c>
    </row>
    <row r="30" customFormat="false" ht="15" hidden="false" customHeight="false" outlineLevel="0" collapsed="false">
      <c r="A30" s="10" t="n">
        <v>25</v>
      </c>
      <c r="B30" s="17" t="n">
        <f aca="false">'Tabla hombres'!D30</f>
        <v>96383.1390028711</v>
      </c>
      <c r="C30" s="17" t="n">
        <f aca="false">'Tabla mujeres'!D30</f>
        <v>97929.6794421401</v>
      </c>
      <c r="D30" s="17" t="n">
        <f aca="false">'Tabla ambos sexos'!D30</f>
        <v>97147.785376213</v>
      </c>
      <c r="E30" s="48" t="n">
        <f aca="false">'Tabla hombres'!C30</f>
        <v>0.00274599594267378</v>
      </c>
      <c r="F30" s="48" t="n">
        <f aca="false">'Tabla mujeres'!C30</f>
        <v>0.000694974834484513</v>
      </c>
      <c r="G30" s="48" t="n">
        <f aca="false">'Tabla ambos sexos'!C30</f>
        <v>0.00169613797195842</v>
      </c>
      <c r="H30" s="17" t="n">
        <f aca="false">'Tabla hombres'!E30</f>
        <v>264.667708644047</v>
      </c>
      <c r="I30" s="17" t="n">
        <f aca="false">'Tabla mujeres'!E30</f>
        <v>68.0586627614227</v>
      </c>
      <c r="J30" s="17" t="n">
        <f aca="false">'Tabla ambos sexos'!E30</f>
        <v>164.776047668261</v>
      </c>
      <c r="K30" s="49" t="n">
        <f aca="false">'Tabla hombres'!H30</f>
        <v>50.2123454795657</v>
      </c>
      <c r="L30" s="49" t="n">
        <f aca="false">'Tabla mujeres'!H30</f>
        <v>55.6429653078759</v>
      </c>
      <c r="M30" s="49" t="n">
        <f aca="false">'Tabla ambos sexos'!H30</f>
        <v>52.9390305718584</v>
      </c>
      <c r="N30" s="50" t="n">
        <f aca="false">IF(F30&gt;0,E30/F30,"")</f>
        <v>3.95121636988566</v>
      </c>
    </row>
    <row r="31" customFormat="false" ht="15" hidden="false" customHeight="false" outlineLevel="0" collapsed="false">
      <c r="A31" s="10" t="n">
        <v>26</v>
      </c>
      <c r="B31" s="17" t="n">
        <f aca="false">'Tabla hombres'!D31</f>
        <v>96118.4712942271</v>
      </c>
      <c r="C31" s="17" t="n">
        <f aca="false">'Tabla mujeres'!D31</f>
        <v>97861.6207793786</v>
      </c>
      <c r="D31" s="17" t="n">
        <f aca="false">'Tabla ambos sexos'!D31</f>
        <v>96983.0093285447</v>
      </c>
      <c r="E31" s="48" t="n">
        <f aca="false">'Tabla hombres'!C31</f>
        <v>0.00280875333358597</v>
      </c>
      <c r="F31" s="48" t="n">
        <f aca="false">'Tabla mujeres'!C31</f>
        <v>0.000717475833834112</v>
      </c>
      <c r="G31" s="48" t="n">
        <f aca="false">'Tabla ambos sexos'!C31</f>
        <v>0.0017366626628428</v>
      </c>
      <c r="H31" s="17" t="n">
        <f aca="false">'Tabla hombres'!E31</f>
        <v>269.973076666848</v>
      </c>
      <c r="I31" s="17" t="n">
        <f aca="false">'Tabla mujeres'!E31</f>
        <v>70.2133479690423</v>
      </c>
      <c r="J31" s="17" t="n">
        <f aca="false">'Tabla ambos sexos'!E31</f>
        <v>168.426771231019</v>
      </c>
      <c r="K31" s="49" t="n">
        <f aca="false">'Tabla hombres'!H31</f>
        <v>49.3492312663686</v>
      </c>
      <c r="L31" s="49" t="n">
        <f aca="false">'Tabla mujeres'!H31</f>
        <v>54.6813149330882</v>
      </c>
      <c r="M31" s="49" t="n">
        <f aca="false">'Tabla ambos sexos'!H31</f>
        <v>52.0281255201489</v>
      </c>
      <c r="N31" s="50" t="n">
        <f aca="false">IF(F31&gt;0,E31/F31,"")</f>
        <v>3.91477064610846</v>
      </c>
    </row>
    <row r="32" customFormat="false" ht="15" hidden="false" customHeight="false" outlineLevel="0" collapsed="false">
      <c r="A32" s="10" t="n">
        <v>27</v>
      </c>
      <c r="B32" s="17" t="n">
        <f aca="false">'Tabla hombres'!D32</f>
        <v>95848.4982175602</v>
      </c>
      <c r="C32" s="17" t="n">
        <f aca="false">'Tabla mujeres'!D32</f>
        <v>97791.4074314096</v>
      </c>
      <c r="D32" s="17" t="n">
        <f aca="false">'Tabla ambos sexos'!D32</f>
        <v>96814.5825573137</v>
      </c>
      <c r="E32" s="48" t="n">
        <f aca="false">'Tabla hombres'!C32</f>
        <v>0.00293248806757778</v>
      </c>
      <c r="F32" s="48" t="n">
        <f aca="false">'Tabla mujeres'!C32</f>
        <v>0.00073718574764411</v>
      </c>
      <c r="G32" s="48" t="n">
        <f aca="false">'Tabla ambos sexos'!C32</f>
        <v>0.0018041345276326</v>
      </c>
      <c r="H32" s="17" t="n">
        <f aca="false">'Tabla hombres'!E32</f>
        <v>281.074577318245</v>
      </c>
      <c r="I32" s="17" t="n">
        <f aca="false">'Tabla mujeres'!E32</f>
        <v>72.0904318004935</v>
      </c>
      <c r="J32" s="17" t="n">
        <f aca="false">'Tabla ambos sexos'!E32</f>
        <v>174.666531169986</v>
      </c>
      <c r="K32" s="49" t="n">
        <f aca="false">'Tabla hombres'!H32</f>
        <v>48.486823169247</v>
      </c>
      <c r="L32" s="49" t="n">
        <f aca="false">'Tabla mujeres'!H32</f>
        <v>53.7202166282242</v>
      </c>
      <c r="M32" s="49" t="n">
        <f aca="false">'Tabla ambos sexos'!H32</f>
        <v>51.1177681708706</v>
      </c>
      <c r="N32" s="50" t="n">
        <f aca="false">IF(F32&gt;0,E32/F32,"")</f>
        <v>3.97795003084282</v>
      </c>
    </row>
    <row r="33" customFormat="false" ht="15" hidden="false" customHeight="false" outlineLevel="0" collapsed="false">
      <c r="A33" s="10" t="n">
        <v>28</v>
      </c>
      <c r="B33" s="17" t="n">
        <f aca="false">'Tabla hombres'!D33</f>
        <v>95567.423640242</v>
      </c>
      <c r="C33" s="17" t="n">
        <f aca="false">'Tabla mujeres'!D33</f>
        <v>97719.3169996091</v>
      </c>
      <c r="D33" s="17" t="n">
        <f aca="false">'Tabla ambos sexos'!D33</f>
        <v>96639.9160261437</v>
      </c>
      <c r="E33" s="48" t="n">
        <f aca="false">'Tabla hombres'!C33</f>
        <v>0.00291085614370532</v>
      </c>
      <c r="F33" s="48" t="n">
        <f aca="false">'Tabla mujeres'!C33</f>
        <v>0.00074866833661789</v>
      </c>
      <c r="G33" s="48" t="n">
        <f aca="false">'Tabla ambos sexos'!C33</f>
        <v>0.00179808260494662</v>
      </c>
      <c r="H33" s="17" t="n">
        <f aca="false">'Tabla hombres'!E33</f>
        <v>278.183022241287</v>
      </c>
      <c r="I33" s="17" t="n">
        <f aca="false">'Tabla mujeres'!E33</f>
        <v>73.1593585135337</v>
      </c>
      <c r="J33" s="17" t="n">
        <f aca="false">'Tabla ambos sexos'!E33</f>
        <v>173.766551950111</v>
      </c>
      <c r="K33" s="49" t="n">
        <f aca="false">'Tabla hombres'!H33</f>
        <v>47.6279578313041</v>
      </c>
      <c r="L33" s="49" t="n">
        <f aca="false">'Tabla mujeres'!H33</f>
        <v>52.7594787568907</v>
      </c>
      <c r="M33" s="49" t="n">
        <f aca="false">'Tabla ambos sexos'!H33</f>
        <v>50.2092544877624</v>
      </c>
      <c r="N33" s="50" t="n">
        <f aca="false">IF(F33&gt;0,E33/F33,"")</f>
        <v>3.88804494772026</v>
      </c>
    </row>
    <row r="34" customFormat="false" ht="15" hidden="false" customHeight="false" outlineLevel="0" collapsed="false">
      <c r="A34" s="10" t="n">
        <v>29</v>
      </c>
      <c r="B34" s="17" t="n">
        <f aca="false">'Tabla hombres'!D34</f>
        <v>95289.2406180007</v>
      </c>
      <c r="C34" s="17" t="n">
        <f aca="false">'Tabla mujeres'!D34</f>
        <v>97646.1576410956</v>
      </c>
      <c r="D34" s="17" t="n">
        <f aca="false">'Tabla ambos sexos'!D34</f>
        <v>96466.1494741936</v>
      </c>
      <c r="E34" s="48" t="n">
        <f aca="false">'Tabla hombres'!C34</f>
        <v>0.00305353505691056</v>
      </c>
      <c r="F34" s="48" t="n">
        <f aca="false">'Tabla mujeres'!C34</f>
        <v>0.000805860884290956</v>
      </c>
      <c r="G34" s="48" t="n">
        <f aca="false">'Tabla ambos sexos'!C34</f>
        <v>0.0018948607212704</v>
      </c>
      <c r="H34" s="17" t="n">
        <f aca="false">'Tabla hombres'!E34</f>
        <v>290.96903677345</v>
      </c>
      <c r="I34" s="17" t="n">
        <f aca="false">'Tabla mujeres'!E34</f>
        <v>78.6892189442673</v>
      </c>
      <c r="J34" s="17" t="n">
        <f aca="false">'Tabla ambos sexos'!E34</f>
        <v>182.789917570849</v>
      </c>
      <c r="K34" s="49" t="n">
        <f aca="false">'Tabla hombres'!H34</f>
        <v>46.7655410217729</v>
      </c>
      <c r="L34" s="49" t="n">
        <f aca="false">'Tabla mujeres'!H34</f>
        <v>51.7986330875318</v>
      </c>
      <c r="M34" s="49" t="n">
        <f aca="false">'Tabla ambos sexos'!H34</f>
        <v>49.2987968381043</v>
      </c>
      <c r="N34" s="50" t="n">
        <f aca="false">IF(F34&gt;0,E34/F34,"")</f>
        <v>3.7891590427512</v>
      </c>
    </row>
    <row r="35" customFormat="false" ht="15" hidden="false" customHeight="false" outlineLevel="0" collapsed="false">
      <c r="A35" s="10" t="n">
        <v>30</v>
      </c>
      <c r="B35" s="17" t="n">
        <f aca="false">'Tabla hombres'!D35</f>
        <v>94998.2715812273</v>
      </c>
      <c r="C35" s="17" t="n">
        <f aca="false">'Tabla mujeres'!D35</f>
        <v>97567.4684221513</v>
      </c>
      <c r="D35" s="17" t="n">
        <f aca="false">'Tabla ambos sexos'!D35</f>
        <v>96283.3595566227</v>
      </c>
      <c r="E35" s="48" t="n">
        <f aca="false">'Tabla hombres'!C35</f>
        <v>0.00303319357098512</v>
      </c>
      <c r="F35" s="48" t="n">
        <f aca="false">'Tabla mujeres'!C35</f>
        <v>0.000809653762187137</v>
      </c>
      <c r="G35" s="48" t="n">
        <f aca="false">'Tabla ambos sexos'!C35</f>
        <v>0.00188333854688405</v>
      </c>
      <c r="H35" s="17" t="n">
        <f aca="false">'Tabla hombres'!E35</f>
        <v>288.148146614877</v>
      </c>
      <c r="I35" s="17" t="n">
        <f aca="false">'Tabla mujeres'!E35</f>
        <v>78.9958678750695</v>
      </c>
      <c r="J35" s="17" t="n">
        <f aca="false">'Tabla ambos sexos'!E35</f>
        <v>181.334162476485</v>
      </c>
      <c r="K35" s="49" t="n">
        <f aca="false">'Tabla hombres'!H35</f>
        <v>45.9072471779254</v>
      </c>
      <c r="L35" s="49" t="n">
        <f aca="false">'Tabla mujeres'!H35</f>
        <v>50.8400059901585</v>
      </c>
      <c r="M35" s="49" t="n">
        <f aca="false">'Tabla ambos sexos'!H35</f>
        <v>48.3914393060517</v>
      </c>
      <c r="N35" s="50" t="n">
        <f aca="false">IF(F35&gt;0,E35/F35,"")</f>
        <v>3.74628478572307</v>
      </c>
    </row>
    <row r="36" customFormat="false" ht="15" hidden="false" customHeight="false" outlineLevel="0" collapsed="false">
      <c r="A36" s="10" t="n">
        <v>31</v>
      </c>
      <c r="B36" s="17" t="n">
        <f aca="false">'Tabla hombres'!D36</f>
        <v>94710.1234346124</v>
      </c>
      <c r="C36" s="17" t="n">
        <f aca="false">'Tabla mujeres'!D36</f>
        <v>97488.4725542762</v>
      </c>
      <c r="D36" s="17" t="n">
        <f aca="false">'Tabla ambos sexos'!D36</f>
        <v>96102.0253941462</v>
      </c>
      <c r="E36" s="48" t="n">
        <f aca="false">'Tabla hombres'!C36</f>
        <v>0.00312573643620411</v>
      </c>
      <c r="F36" s="48" t="n">
        <f aca="false">'Tabla mujeres'!C36</f>
        <v>0.000858225310174571</v>
      </c>
      <c r="G36" s="48" t="n">
        <f aca="false">'Tabla ambos sexos'!C36</f>
        <v>0.00194757699128177</v>
      </c>
      <c r="H36" s="17" t="n">
        <f aca="false">'Tabla hombres'!E36</f>
        <v>296.038883696957</v>
      </c>
      <c r="I36" s="17" t="n">
        <f aca="false">'Tabla mujeres'!E36</f>
        <v>83.6670745963389</v>
      </c>
      <c r="J36" s="17" t="n">
        <f aca="false">'Tabla ambos sexos'!E36</f>
        <v>187.166093473215</v>
      </c>
      <c r="K36" s="49" t="n">
        <f aca="false">'Tabla hombres'!H36</f>
        <v>45.0453951777666</v>
      </c>
      <c r="L36" s="49" t="n">
        <f aca="false">'Tabla mujeres'!H36</f>
        <v>49.880796991985</v>
      </c>
      <c r="M36" s="49" t="n">
        <f aca="false">'Tabla ambos sexos'!H36</f>
        <v>47.4818052895025</v>
      </c>
      <c r="N36" s="50" t="n">
        <f aca="false">IF(F36&gt;0,E36/F36,"")</f>
        <v>3.64209304846569</v>
      </c>
    </row>
    <row r="37" customFormat="false" ht="15" hidden="false" customHeight="false" outlineLevel="0" collapsed="false">
      <c r="A37" s="10" t="n">
        <v>32</v>
      </c>
      <c r="B37" s="17" t="n">
        <f aca="false">'Tabla hombres'!D37</f>
        <v>94414.0845509154</v>
      </c>
      <c r="C37" s="17" t="n">
        <f aca="false">'Tabla mujeres'!D37</f>
        <v>97404.8054796799</v>
      </c>
      <c r="D37" s="17" t="n">
        <f aca="false">'Tabla ambos sexos'!D37</f>
        <v>95914.859300673</v>
      </c>
      <c r="E37" s="48" t="n">
        <f aca="false">'Tabla hombres'!C37</f>
        <v>0.00316534892685622</v>
      </c>
      <c r="F37" s="48" t="n">
        <f aca="false">'Tabla mujeres'!C37</f>
        <v>0.000898216114997984</v>
      </c>
      <c r="G37" s="48" t="n">
        <f aca="false">'Tabla ambos sexos'!C37</f>
        <v>0.00198688912319311</v>
      </c>
      <c r="H37" s="17" t="n">
        <f aca="false">'Tabla hombres'!E37</f>
        <v>298.853521213353</v>
      </c>
      <c r="I37" s="17" t="n">
        <f aca="false">'Tabla mujeres'!E37</f>
        <v>87.4905659600924</v>
      </c>
      <c r="J37" s="17" t="n">
        <f aca="false">'Tabla ambos sexos'!E37</f>
        <v>190.572190697104</v>
      </c>
      <c r="K37" s="49" t="n">
        <f aca="false">'Tabla hombres'!H37</f>
        <v>44.1850689258625</v>
      </c>
      <c r="L37" s="49" t="n">
        <f aca="false">'Tabla mujeres'!H37</f>
        <v>48.9232132445016</v>
      </c>
      <c r="M37" s="49" t="n">
        <f aca="false">'Tabla ambos sexos'!H37</f>
        <v>46.5734845248626</v>
      </c>
      <c r="N37" s="50" t="n">
        <f aca="false">IF(F37&gt;0,E37/F37,"")</f>
        <v>3.52403934198322</v>
      </c>
    </row>
    <row r="38" customFormat="false" ht="15" hidden="false" customHeight="false" outlineLevel="0" collapsed="false">
      <c r="A38" s="10" t="n">
        <v>33</v>
      </c>
      <c r="B38" s="17" t="n">
        <f aca="false">'Tabla hombres'!D38</f>
        <v>94115.2310297021</v>
      </c>
      <c r="C38" s="17" t="n">
        <f aca="false">'Tabla mujeres'!D38</f>
        <v>97317.3149137198</v>
      </c>
      <c r="D38" s="17" t="n">
        <f aca="false">'Tabla ambos sexos'!D38</f>
        <v>95724.2871099759</v>
      </c>
      <c r="E38" s="48" t="n">
        <f aca="false">'Tabla hombres'!C38</f>
        <v>0.00333149983555474</v>
      </c>
      <c r="F38" s="48" t="n">
        <f aca="false">'Tabla mujeres'!C38</f>
        <v>0.000968226271620257</v>
      </c>
      <c r="G38" s="48" t="n">
        <f aca="false">'Tabla ambos sexos'!C38</f>
        <v>0.00210124884763712</v>
      </c>
      <c r="H38" s="17" t="n">
        <f aca="false">'Tabla hombres'!E38</f>
        <v>313.544876698649</v>
      </c>
      <c r="I38" s="17" t="n">
        <f aca="false">'Tabla mujeres'!E38</f>
        <v>94.2251809830054</v>
      </c>
      <c r="J38" s="17" t="n">
        <f aca="false">'Tabla ambos sexos'!E38</f>
        <v>201.140547980721</v>
      </c>
      <c r="K38" s="49" t="n">
        <f aca="false">'Tabla hombres'!H38</f>
        <v>43.3237865014356</v>
      </c>
      <c r="L38" s="49" t="n">
        <f aca="false">'Tabla mujeres'!H38</f>
        <v>47.9667468575706</v>
      </c>
      <c r="M38" s="49" t="n">
        <f aca="false">'Tabla ambos sexos'!H38</f>
        <v>45.6652096778414</v>
      </c>
      <c r="N38" s="50" t="n">
        <f aca="false">IF(F38&gt;0,E38/F38,"")</f>
        <v>3.44082776227474</v>
      </c>
    </row>
    <row r="39" customFormat="false" ht="15" hidden="false" customHeight="false" outlineLevel="0" collapsed="false">
      <c r="A39" s="10" t="n">
        <v>34</v>
      </c>
      <c r="B39" s="17" t="n">
        <f aca="false">'Tabla hombres'!D39</f>
        <v>93801.6861530034</v>
      </c>
      <c r="C39" s="17" t="n">
        <f aca="false">'Tabla mujeres'!D39</f>
        <v>97223.0897327368</v>
      </c>
      <c r="D39" s="17" t="n">
        <f aca="false">'Tabla ambos sexos'!D39</f>
        <v>95523.1465619952</v>
      </c>
      <c r="E39" s="48" t="n">
        <f aca="false">'Tabla hombres'!C39</f>
        <v>0.00325247830791616</v>
      </c>
      <c r="F39" s="48" t="n">
        <f aca="false">'Tabla mujeres'!C39</f>
        <v>0.000981931112392762</v>
      </c>
      <c r="G39" s="48" t="n">
        <f aca="false">'Tabla ambos sexos'!C39</f>
        <v>0.00207029165043894</v>
      </c>
      <c r="H39" s="17" t="n">
        <f aca="false">'Tabla hombres'!E39</f>
        <v>305.087949458603</v>
      </c>
      <c r="I39" s="17" t="n">
        <f aca="false">'Tabla mujeres'!E39</f>
        <v>95.4663766515276</v>
      </c>
      <c r="J39" s="17" t="n">
        <f aca="false">'Tabla ambos sexos'!E39</f>
        <v>197.760772750954</v>
      </c>
      <c r="K39" s="49" t="n">
        <f aca="false">'Tabla hombres'!H39</f>
        <v>42.4669308244114</v>
      </c>
      <c r="L39" s="49" t="n">
        <f aca="false">'Tabla mujeres'!H39</f>
        <v>47.0127499503094</v>
      </c>
      <c r="M39" s="49" t="n">
        <f aca="false">'Tabla ambos sexos'!H39</f>
        <v>44.7603128580782</v>
      </c>
      <c r="N39" s="50" t="n">
        <f aca="false">IF(F39&gt;0,E39/F39,"")</f>
        <v>3.3123283974479</v>
      </c>
    </row>
    <row r="40" customFormat="false" ht="15" hidden="false" customHeight="false" outlineLevel="0" collapsed="false">
      <c r="A40" s="10" t="n">
        <v>35</v>
      </c>
      <c r="B40" s="17" t="n">
        <f aca="false">'Tabla hombres'!D40</f>
        <v>93496.5982035448</v>
      </c>
      <c r="C40" s="17" t="n">
        <f aca="false">'Tabla mujeres'!D40</f>
        <v>97127.6233560853</v>
      </c>
      <c r="D40" s="17" t="n">
        <f aca="false">'Tabla ambos sexos'!D40</f>
        <v>95325.3857892443</v>
      </c>
      <c r="E40" s="48" t="n">
        <f aca="false">'Tabla hombres'!C40</f>
        <v>0.00347171016367551</v>
      </c>
      <c r="F40" s="48" t="n">
        <f aca="false">'Tabla mujeres'!C40</f>
        <v>0.00107774473615685</v>
      </c>
      <c r="G40" s="48" t="n">
        <f aca="false">'Tabla ambos sexos'!C40</f>
        <v>0.00222493651628972</v>
      </c>
      <c r="H40" s="17" t="n">
        <f aca="false">'Tabla hombres'!E40</f>
        <v>324.593090252332</v>
      </c>
      <c r="I40" s="17" t="n">
        <f aca="false">'Tabla mujeres'!E40</f>
        <v>104.678784807446</v>
      </c>
      <c r="J40" s="17" t="n">
        <f aca="false">'Tabla ambos sexos'!E40</f>
        <v>212.092931771895</v>
      </c>
      <c r="K40" s="49" t="n">
        <f aca="false">'Tabla hombres'!H40</f>
        <v>41.6038727572336</v>
      </c>
      <c r="L40" s="49" t="n">
        <f aca="false">'Tabla mujeres'!H40</f>
        <v>46.058467157757</v>
      </c>
      <c r="M40" s="49" t="n">
        <f aca="false">'Tabla ambos sexos'!H40</f>
        <v>43.8521347122521</v>
      </c>
      <c r="N40" s="50" t="n">
        <f aca="false">IF(F40&gt;0,E40/F40,"")</f>
        <v>3.22127313379914</v>
      </c>
    </row>
    <row r="41" customFormat="false" ht="15" hidden="false" customHeight="false" outlineLevel="0" collapsed="false">
      <c r="A41" s="10" t="n">
        <v>36</v>
      </c>
      <c r="B41" s="17" t="n">
        <f aca="false">'Tabla hombres'!D41</f>
        <v>93172.0051132925</v>
      </c>
      <c r="C41" s="17" t="n">
        <f aca="false">'Tabla mujeres'!D41</f>
        <v>97022.9445712778</v>
      </c>
      <c r="D41" s="17" t="n">
        <f aca="false">'Tabla ambos sexos'!D41</f>
        <v>95113.2928574724</v>
      </c>
      <c r="E41" s="48" t="n">
        <f aca="false">'Tabla hombres'!C41</f>
        <v>0.00345116924743446</v>
      </c>
      <c r="F41" s="48" t="n">
        <f aca="false">'Tabla mujeres'!C41</f>
        <v>0.00111032866135041</v>
      </c>
      <c r="G41" s="48" t="n">
        <f aca="false">'Tabla ambos sexos'!C41</f>
        <v>0.00223567488305793</v>
      </c>
      <c r="H41" s="17" t="n">
        <f aca="false">'Tabla hombres'!E41</f>
        <v>321.552358768801</v>
      </c>
      <c r="I41" s="17" t="n">
        <f aca="false">'Tabla mujeres'!E41</f>
        <v>107.727356166102</v>
      </c>
      <c r="J41" s="17" t="n">
        <f aca="false">'Tabla ambos sexos'!E41</f>
        <v>212.642399886384</v>
      </c>
      <c r="K41" s="49" t="n">
        <f aca="false">'Tabla hombres'!H41</f>
        <v>40.747070631567</v>
      </c>
      <c r="L41" s="49" t="n">
        <f aca="false">'Tabla mujeres'!H41</f>
        <v>45.1076205307126</v>
      </c>
      <c r="M41" s="49" t="n">
        <f aca="false">'Tabla ambos sexos'!H41</f>
        <v>42.9488055463012</v>
      </c>
      <c r="N41" s="50" t="n">
        <f aca="false">IF(F41&gt;0,E41/F41,"")</f>
        <v>3.10824116098837</v>
      </c>
    </row>
    <row r="42" customFormat="false" ht="15" hidden="false" customHeight="false" outlineLevel="0" collapsed="false">
      <c r="A42" s="10" t="n">
        <v>37</v>
      </c>
      <c r="B42" s="17" t="n">
        <f aca="false">'Tabla hombres'!D42</f>
        <v>92850.4527545237</v>
      </c>
      <c r="C42" s="17" t="n">
        <f aca="false">'Tabla mujeres'!D42</f>
        <v>96915.2172151117</v>
      </c>
      <c r="D42" s="17" t="n">
        <f aca="false">'Tabla ambos sexos'!D42</f>
        <v>94900.650457586</v>
      </c>
      <c r="E42" s="48" t="n">
        <f aca="false">'Tabla hombres'!C42</f>
        <v>0.00355776923818056</v>
      </c>
      <c r="F42" s="48" t="n">
        <f aca="false">'Tabla mujeres'!C42</f>
        <v>0.00119926978773346</v>
      </c>
      <c r="G42" s="48" t="n">
        <f aca="false">'Tabla ambos sexos'!C42</f>
        <v>0.00233128038812478</v>
      </c>
      <c r="H42" s="17" t="n">
        <f aca="false">'Tabla hombres'!E42</f>
        <v>330.340484561182</v>
      </c>
      <c r="I42" s="17" t="n">
        <f aca="false">'Tabla mujeres'!E42</f>
        <v>116.227491977709</v>
      </c>
      <c r="J42" s="17" t="n">
        <f aca="false">'Tabla ambos sexos'!E42</f>
        <v>221.240025232055</v>
      </c>
      <c r="K42" s="49" t="n">
        <f aca="false">'Tabla hombres'!H42</f>
        <v>39.8864511096497</v>
      </c>
      <c r="L42" s="49" t="n">
        <f aca="false">'Tabla mujeres'!H42</f>
        <v>44.1572047050324</v>
      </c>
      <c r="M42" s="49" t="n">
        <f aca="false">'Tabla ambos sexos'!H42</f>
        <v>42.0439199194921</v>
      </c>
      <c r="N42" s="50" t="n">
        <f aca="false">IF(F42&gt;0,E42/F42,"")</f>
        <v>2.96661291276629</v>
      </c>
    </row>
    <row r="43" customFormat="false" ht="15" hidden="false" customHeight="false" outlineLevel="0" collapsed="false">
      <c r="A43" s="10" t="n">
        <v>38</v>
      </c>
      <c r="B43" s="17" t="n">
        <f aca="false">'Tabla hombres'!D43</f>
        <v>92520.1122699625</v>
      </c>
      <c r="C43" s="17" t="n">
        <f aca="false">'Tabla mujeres'!D43</f>
        <v>96798.989723134</v>
      </c>
      <c r="D43" s="17" t="n">
        <f aca="false">'Tabla ambos sexos'!D43</f>
        <v>94679.4104323539</v>
      </c>
      <c r="E43" s="48" t="n">
        <f aca="false">'Tabla hombres'!C43</f>
        <v>0.0035547884661962</v>
      </c>
      <c r="F43" s="48" t="n">
        <f aca="false">'Tabla mujeres'!C43</f>
        <v>0.00123999794244944</v>
      </c>
      <c r="G43" s="48" t="n">
        <f aca="false">'Tabla ambos sexos'!C43</f>
        <v>0.00235022293880435</v>
      </c>
      <c r="H43" s="17" t="n">
        <f aca="false">'Tabla hombres'!E43</f>
        <v>328.88942798844</v>
      </c>
      <c r="I43" s="17" t="n">
        <f aca="false">'Tabla mujeres'!E43</f>
        <v>120.030548087871</v>
      </c>
      <c r="J43" s="17" t="n">
        <f aca="false">'Tabla ambos sexos'!E43</f>
        <v>222.51772223059</v>
      </c>
      <c r="K43" s="49" t="n">
        <f aca="false">'Tabla hombres'!H43</f>
        <v>39.0270793365885</v>
      </c>
      <c r="L43" s="49" t="n">
        <f aca="false">'Tabla mujeres'!H43</f>
        <v>43.2096243369328</v>
      </c>
      <c r="M43" s="49" t="n">
        <f aca="false">'Tabla ambos sexos'!H43</f>
        <v>41.1409967585773</v>
      </c>
      <c r="N43" s="50" t="n">
        <f aca="false">IF(F43&gt;0,E43/F43,"")</f>
        <v>2.86676964896749</v>
      </c>
    </row>
    <row r="44" customFormat="false" ht="15" hidden="false" customHeight="false" outlineLevel="0" collapsed="false">
      <c r="A44" s="10" t="n">
        <v>39</v>
      </c>
      <c r="B44" s="17" t="n">
        <f aca="false">'Tabla hombres'!D44</f>
        <v>92191.2228419741</v>
      </c>
      <c r="C44" s="17" t="n">
        <f aca="false">'Tabla mujeres'!D44</f>
        <v>96678.9591750461</v>
      </c>
      <c r="D44" s="17" t="n">
        <f aca="false">'Tabla ambos sexos'!D44</f>
        <v>94456.8927101233</v>
      </c>
      <c r="E44" s="48" t="n">
        <f aca="false">'Tabla hombres'!C44</f>
        <v>0.00388459748728604</v>
      </c>
      <c r="F44" s="48" t="n">
        <f aca="false">'Tabla mujeres'!C44</f>
        <v>0.00139642461188012</v>
      </c>
      <c r="G44" s="48" t="n">
        <f aca="false">'Tabla ambos sexos'!C44</f>
        <v>0.00258994760185563</v>
      </c>
      <c r="H44" s="17" t="n">
        <f aca="false">'Tabla hombres'!E44</f>
        <v>358.12579260176</v>
      </c>
      <c r="I44" s="17" t="n">
        <f aca="false">'Tabla mujeres'!E44</f>
        <v>135.004878042988</v>
      </c>
      <c r="J44" s="17" t="n">
        <f aca="false">'Tabla ambos sexos'!E44</f>
        <v>244.638402753319</v>
      </c>
      <c r="K44" s="49" t="n">
        <f aca="false">'Tabla hombres'!H44</f>
        <v>38.1645235389156</v>
      </c>
      <c r="L44" s="49" t="n">
        <f aca="false">'Tabla mujeres'!H44</f>
        <v>42.2626499348657</v>
      </c>
      <c r="M44" s="49" t="n">
        <f aca="false">'Tabla ambos sexos'!H44</f>
        <v>40.2367371727327</v>
      </c>
      <c r="N44" s="50" t="n">
        <f aca="false">IF(F44&gt;0,E44/F44,"")</f>
        <v>2.78181683009431</v>
      </c>
    </row>
    <row r="45" customFormat="false" ht="15" hidden="false" customHeight="false" outlineLevel="0" collapsed="false">
      <c r="A45" s="10" t="n">
        <v>40</v>
      </c>
      <c r="B45" s="17" t="n">
        <f aca="false">'Tabla hombres'!D45</f>
        <v>91833.0970493723</v>
      </c>
      <c r="C45" s="17" t="n">
        <f aca="false">'Tabla mujeres'!D45</f>
        <v>96543.9542970032</v>
      </c>
      <c r="D45" s="17" t="n">
        <f aca="false">'Tabla ambos sexos'!D45</f>
        <v>94212.25430737</v>
      </c>
      <c r="E45" s="48" t="n">
        <f aca="false">'Tabla hombres'!C45</f>
        <v>0.003831842577918</v>
      </c>
      <c r="F45" s="48" t="n">
        <f aca="false">'Tabla mujeres'!C45</f>
        <v>0.00144560346175557</v>
      </c>
      <c r="G45" s="48" t="n">
        <f aca="false">'Tabla ambos sexos'!C45</f>
        <v>0.00259156906285866</v>
      </c>
      <c r="H45" s="17" t="n">
        <f aca="false">'Tabla hombres'!E45</f>
        <v>351.889971335861</v>
      </c>
      <c r="I45" s="17" t="n">
        <f aca="false">'Tabla mujeres'!E45</f>
        <v>139.56427454332</v>
      </c>
      <c r="J45" s="17" t="n">
        <f aca="false">'Tabla ambos sexos'!E45</f>
        <v>244.157563605153</v>
      </c>
      <c r="K45" s="49" t="n">
        <f aca="false">'Tabla hombres'!H45</f>
        <v>37.3114056302175</v>
      </c>
      <c r="L45" s="49" t="n">
        <f aca="false">'Tabla mujeres'!H45</f>
        <v>41.3210498782103</v>
      </c>
      <c r="M45" s="49" t="n">
        <f aca="false">'Tabla ambos sexos'!H45</f>
        <v>39.339920479236</v>
      </c>
      <c r="N45" s="50" t="n">
        <f aca="false">IF(F45&gt;0,E45/F45,"")</f>
        <v>2.65068719001581</v>
      </c>
    </row>
    <row r="46" customFormat="false" ht="15" hidden="false" customHeight="false" outlineLevel="0" collapsed="false">
      <c r="A46" s="10" t="n">
        <v>41</v>
      </c>
      <c r="B46" s="17" t="n">
        <f aca="false">'Tabla hombres'!D46</f>
        <v>91481.2070780365</v>
      </c>
      <c r="C46" s="17" t="n">
        <f aca="false">'Tabla mujeres'!D46</f>
        <v>96404.3900224598</v>
      </c>
      <c r="D46" s="17" t="n">
        <f aca="false">'Tabla ambos sexos'!D46</f>
        <v>93968.0967437648</v>
      </c>
      <c r="E46" s="48" t="n">
        <f aca="false">'Tabla hombres'!C46</f>
        <v>0.00415184089084255</v>
      </c>
      <c r="F46" s="48" t="n">
        <f aca="false">'Tabla mujeres'!C46</f>
        <v>0.001583205051921</v>
      </c>
      <c r="G46" s="48" t="n">
        <f aca="false">'Tabla ambos sexos'!C46</f>
        <v>0.0028113712979607</v>
      </c>
      <c r="H46" s="17" t="n">
        <f aca="false">'Tabla hombres'!E46</f>
        <v>379.815416290226</v>
      </c>
      <c r="I46" s="17" t="n">
        <f aca="false">'Tabla mujeres'!E46</f>
        <v>152.627917310921</v>
      </c>
      <c r="J46" s="17" t="n">
        <f aca="false">'Tabla ambos sexos'!E46</f>
        <v>264.179210109415</v>
      </c>
      <c r="K46" s="49" t="n">
        <f aca="false">'Tabla hombres'!H46</f>
        <v>36.4530037232663</v>
      </c>
      <c r="L46" s="49" t="n">
        <f aca="false">'Tabla mujeres'!H46</f>
        <v>40.3801463593044</v>
      </c>
      <c r="M46" s="49" t="n">
        <f aca="false">'Tabla ambos sexos'!H46</f>
        <v>38.4408383511888</v>
      </c>
      <c r="N46" s="50" t="n">
        <f aca="false">IF(F46&gt;0,E46/F46,"")</f>
        <v>2.62242776815603</v>
      </c>
    </row>
    <row r="47" customFormat="false" ht="15" hidden="false" customHeight="false" outlineLevel="0" collapsed="false">
      <c r="A47" s="10" t="n">
        <v>42</v>
      </c>
      <c r="B47" s="17" t="n">
        <f aca="false">'Tabla hombres'!D47</f>
        <v>91101.3916617462</v>
      </c>
      <c r="C47" s="17" t="n">
        <f aca="false">'Tabla mujeres'!D47</f>
        <v>96251.7621051489</v>
      </c>
      <c r="D47" s="17" t="n">
        <f aca="false">'Tabla ambos sexos'!D47</f>
        <v>93703.9175336554</v>
      </c>
      <c r="E47" s="48" t="n">
        <f aca="false">'Tabla hombres'!C47</f>
        <v>0.00442813752571784</v>
      </c>
      <c r="F47" s="48" t="n">
        <f aca="false">'Tabla mujeres'!C47</f>
        <v>0.00175514424679035</v>
      </c>
      <c r="G47" s="48" t="n">
        <f aca="false">'Tabla ambos sexos'!C47</f>
        <v>0.00303226066448639</v>
      </c>
      <c r="H47" s="17" t="n">
        <f aca="false">'Tabla hombres'!E47</f>
        <v>403.409491062497</v>
      </c>
      <c r="I47" s="17" t="n">
        <f aca="false">'Tabla mujeres'!E47</f>
        <v>168.935726502286</v>
      </c>
      <c r="J47" s="17" t="n">
        <f aca="false">'Tabla ambos sexos'!E47</f>
        <v>284.13470324558</v>
      </c>
      <c r="K47" s="49" t="n">
        <f aca="false">'Tabla hombres'!H47</f>
        <v>35.602897208173</v>
      </c>
      <c r="L47" s="49" t="n">
        <f aca="false">'Tabla mujeres'!H47</f>
        <v>39.4433849281134</v>
      </c>
      <c r="M47" s="49" t="n">
        <f aca="false">'Tabla ambos sexos'!H47</f>
        <v>37.5478048577161</v>
      </c>
      <c r="N47" s="50" t="n">
        <f aca="false">IF(F47&gt;0,E47/F47,"")</f>
        <v>2.5229479194178</v>
      </c>
    </row>
    <row r="48" customFormat="false" ht="15" hidden="false" customHeight="false" outlineLevel="0" collapsed="false">
      <c r="A48" s="10" t="n">
        <v>43</v>
      </c>
      <c r="B48" s="17" t="n">
        <f aca="false">'Tabla hombres'!D48</f>
        <v>90697.9821706837</v>
      </c>
      <c r="C48" s="17" t="n">
        <f aca="false">'Tabla mujeres'!D48</f>
        <v>96082.8263786466</v>
      </c>
      <c r="D48" s="17" t="n">
        <f aca="false">'Tabla ambos sexos'!D48</f>
        <v>93419.7828304098</v>
      </c>
      <c r="E48" s="48" t="n">
        <f aca="false">'Tabla hombres'!C48</f>
        <v>0.00476844124577124</v>
      </c>
      <c r="F48" s="48" t="n">
        <f aca="false">'Tabla mujeres'!C48</f>
        <v>0.00196837523273821</v>
      </c>
      <c r="G48" s="48" t="n">
        <f aca="false">'Tabla ambos sexos'!C48</f>
        <v>0.00330914338949011</v>
      </c>
      <c r="H48" s="17" t="n">
        <f aca="false">'Tabla hombres'!E48</f>
        <v>432.487999090913</v>
      </c>
      <c r="I48" s="17" t="n">
        <f aca="false">'Tabla mujeres'!E48</f>
        <v>189.127055735213</v>
      </c>
      <c r="J48" s="17" t="n">
        <f aca="false">'Tabla ambos sexos'!E48</f>
        <v>309.139456800853</v>
      </c>
      <c r="K48" s="49" t="n">
        <f aca="false">'Tabla hombres'!H48</f>
        <v>34.7590290377756</v>
      </c>
      <c r="L48" s="49" t="n">
        <f aca="false">'Tabla mujeres'!H48</f>
        <v>38.5118563633662</v>
      </c>
      <c r="M48" s="49" t="n">
        <f aca="false">'Tabla ambos sexos'!H48</f>
        <v>36.6604851350644</v>
      </c>
      <c r="N48" s="50" t="n">
        <f aca="false">IF(F48&gt;0,E48/F48,"")</f>
        <v>2.42252654192253</v>
      </c>
    </row>
    <row r="49" customFormat="false" ht="15" hidden="false" customHeight="false" outlineLevel="0" collapsed="false">
      <c r="A49" s="10" t="n">
        <v>44</v>
      </c>
      <c r="B49" s="17" t="n">
        <f aca="false">'Tabla hombres'!D49</f>
        <v>90265.4941715928</v>
      </c>
      <c r="C49" s="17" t="n">
        <f aca="false">'Tabla mujeres'!D49</f>
        <v>95893.6993229114</v>
      </c>
      <c r="D49" s="17" t="n">
        <f aca="false">'Tabla ambos sexos'!D49</f>
        <v>93110.643373609</v>
      </c>
      <c r="E49" s="48" t="n">
        <f aca="false">'Tabla hombres'!C49</f>
        <v>0.00489093297958651</v>
      </c>
      <c r="F49" s="48" t="n">
        <f aca="false">'Tabla mujeres'!C49</f>
        <v>0.00209502890251431</v>
      </c>
      <c r="G49" s="48" t="n">
        <f aca="false">'Tabla ambos sexos'!C49</f>
        <v>0.00343418085080008</v>
      </c>
      <c r="H49" s="17" t="n">
        <f aca="false">'Tabla hombres'!E49</f>
        <v>441.482482362518</v>
      </c>
      <c r="I49" s="17" t="n">
        <f aca="false">'Tabla mujeres'!E49</f>
        <v>200.900071650516</v>
      </c>
      <c r="J49" s="17" t="n">
        <f aca="false">'Tabla ambos sexos'!E49</f>
        <v>319.758788479324</v>
      </c>
      <c r="K49" s="49" t="n">
        <f aca="false">'Tabla hombres'!H49</f>
        <v>33.9231739201066</v>
      </c>
      <c r="L49" s="49" t="n">
        <f aca="false">'Tabla mujeres'!H49</f>
        <v>37.586825527428</v>
      </c>
      <c r="M49" s="49" t="n">
        <f aca="false">'Tabla ambos sexos'!H49</f>
        <v>35.7805426529516</v>
      </c>
      <c r="N49" s="50" t="n">
        <f aca="false">IF(F49&gt;0,E49/F49,"")</f>
        <v>2.33454200737601</v>
      </c>
    </row>
    <row r="50" customFormat="false" ht="15" hidden="false" customHeight="false" outlineLevel="0" collapsed="false">
      <c r="A50" s="10" t="n">
        <v>45</v>
      </c>
      <c r="B50" s="17" t="n">
        <f aca="false">'Tabla hombres'!D50</f>
        <v>89824.0116892303</v>
      </c>
      <c r="C50" s="17" t="n">
        <f aca="false">'Tabla mujeres'!D50</f>
        <v>95692.7992512609</v>
      </c>
      <c r="D50" s="17" t="n">
        <f aca="false">'Tabla ambos sexos'!D50</f>
        <v>92790.8845851297</v>
      </c>
      <c r="E50" s="48" t="n">
        <f aca="false">'Tabla hombres'!C50</f>
        <v>0.00537927374506102</v>
      </c>
      <c r="F50" s="48" t="n">
        <f aca="false">'Tabla mujeres'!C50</f>
        <v>0.0023994259993959</v>
      </c>
      <c r="G50" s="48" t="n">
        <f aca="false">'Tabla ambos sexos'!C50</f>
        <v>0.00382590175095083</v>
      </c>
      <c r="H50" s="17" t="n">
        <f aca="false">'Tabla hombres'!E50</f>
        <v>483.187947755931</v>
      </c>
      <c r="I50" s="17" t="n">
        <f aca="false">'Tabla mujeres'!E50</f>
        <v>229.607790478448</v>
      </c>
      <c r="J50" s="17" t="n">
        <f aca="false">'Tabla ambos sexos'!E50</f>
        <v>355.008807806524</v>
      </c>
      <c r="K50" s="49" t="n">
        <f aca="false">'Tabla hombres'!H50</f>
        <v>33.0874478766265</v>
      </c>
      <c r="L50" s="49" t="n">
        <f aca="false">'Tabla mujeres'!H50</f>
        <v>36.6646866200499</v>
      </c>
      <c r="M50" s="49" t="n">
        <f aca="false">'Tabla ambos sexos'!H50</f>
        <v>34.9021199353111</v>
      </c>
      <c r="N50" s="50" t="n">
        <f aca="false">IF(F50&gt;0,E50/F50,"")</f>
        <v>2.24190024881591</v>
      </c>
    </row>
    <row r="51" customFormat="false" ht="15" hidden="false" customHeight="false" outlineLevel="0" collapsed="false">
      <c r="A51" s="10" t="n">
        <v>46</v>
      </c>
      <c r="B51" s="17" t="n">
        <f aca="false">'Tabla hombres'!D51</f>
        <v>89340.8237414744</v>
      </c>
      <c r="C51" s="17" t="n">
        <f aca="false">'Tabla mujeres'!D51</f>
        <v>95463.1914607825</v>
      </c>
      <c r="D51" s="17" t="n">
        <f aca="false">'Tabla ambos sexos'!D51</f>
        <v>92435.8757773231</v>
      </c>
      <c r="E51" s="48" t="n">
        <f aca="false">'Tabla hombres'!C51</f>
        <v>0.00554822583494178</v>
      </c>
      <c r="F51" s="48" t="n">
        <f aca="false">'Tabla mujeres'!C51</f>
        <v>0.00258291882382596</v>
      </c>
      <c r="G51" s="48" t="n">
        <f aca="false">'Tabla ambos sexos'!C51</f>
        <v>0.00400556596827881</v>
      </c>
      <c r="H51" s="17" t="n">
        <f aca="false">'Tabla hombres'!E51</f>
        <v>495.683066397428</v>
      </c>
      <c r="I51" s="17" t="n">
        <f aca="false">'Tabla mujeres'!E51</f>
        <v>246.573674206557</v>
      </c>
      <c r="J51" s="17" t="n">
        <f aca="false">'Tabla ambos sexos'!E51</f>
        <v>370.257998261693</v>
      </c>
      <c r="K51" s="49" t="n">
        <f aca="false">'Tabla hombres'!H51</f>
        <v>32.2636927488215</v>
      </c>
      <c r="L51" s="49" t="n">
        <f aca="false">'Tabla mujeres'!H51</f>
        <v>35.7516698191355</v>
      </c>
      <c r="M51" s="49" t="n">
        <f aca="false">'Tabla ambos sexos'!H51</f>
        <v>34.0342445620488</v>
      </c>
      <c r="N51" s="50" t="n">
        <f aca="false">IF(F51&gt;0,E51/F51,"")</f>
        <v>2.14804498839164</v>
      </c>
    </row>
    <row r="52" customFormat="false" ht="15" hidden="false" customHeight="false" outlineLevel="0" collapsed="false">
      <c r="A52" s="10" t="n">
        <v>47</v>
      </c>
      <c r="B52" s="17" t="n">
        <f aca="false">'Tabla hombres'!D52</f>
        <v>88845.140675077</v>
      </c>
      <c r="C52" s="17" t="n">
        <f aca="false">'Tabla mujeres'!D52</f>
        <v>95216.6177865759</v>
      </c>
      <c r="D52" s="17" t="n">
        <f aca="false">'Tabla ambos sexos'!D52</f>
        <v>92065.6177790615</v>
      </c>
      <c r="E52" s="48" t="n">
        <f aca="false">'Tabla hombres'!C52</f>
        <v>0.00567539499334933</v>
      </c>
      <c r="F52" s="48" t="n">
        <f aca="false">'Tabla mujeres'!C52</f>
        <v>0.00273832406078293</v>
      </c>
      <c r="G52" s="48" t="n">
        <f aca="false">'Tabla ambos sexos'!C52</f>
        <v>0.00414922107536996</v>
      </c>
      <c r="H52" s="17" t="n">
        <f aca="false">'Tabla hombres'!E52</f>
        <v>504.231266570749</v>
      </c>
      <c r="I52" s="17" t="n">
        <f aca="false">'Tabla mujeres'!E52</f>
        <v>260.733955471353</v>
      </c>
      <c r="J52" s="17" t="n">
        <f aca="false">'Tabla ambos sexos'!E52</f>
        <v>382.000601605837</v>
      </c>
      <c r="K52" s="49" t="n">
        <f aca="false">'Tabla hombres'!H52</f>
        <v>31.4409081204469</v>
      </c>
      <c r="L52" s="49" t="n">
        <f aca="false">'Tabla mujeres'!H52</f>
        <v>34.842957810153</v>
      </c>
      <c r="M52" s="49" t="n">
        <f aca="false">'Tabla ambos sexos'!H52</f>
        <v>33.1691083968255</v>
      </c>
      <c r="N52" s="50" t="n">
        <f aca="false">IF(F52&gt;0,E52/F52,"")</f>
        <v>2.07257974855125</v>
      </c>
    </row>
    <row r="53" customFormat="false" ht="15" hidden="false" customHeight="false" outlineLevel="0" collapsed="false">
      <c r="A53" s="10" t="n">
        <v>48</v>
      </c>
      <c r="B53" s="17" t="n">
        <f aca="false">'Tabla hombres'!D53</f>
        <v>88340.9094085062</v>
      </c>
      <c r="C53" s="17" t="n">
        <f aca="false">'Tabla mujeres'!D53</f>
        <v>94955.8838311045</v>
      </c>
      <c r="D53" s="17" t="n">
        <f aca="false">'Tabla ambos sexos'!D53</f>
        <v>91683.6171774556</v>
      </c>
      <c r="E53" s="48" t="n">
        <f aca="false">'Tabla hombres'!C53</f>
        <v>0.0059014622371664</v>
      </c>
      <c r="F53" s="48" t="n">
        <f aca="false">'Tabla mujeres'!C53</f>
        <v>0.00290662307442943</v>
      </c>
      <c r="G53" s="48" t="n">
        <f aca="false">'Tabla ambos sexos'!C53</f>
        <v>0.00433995795455797</v>
      </c>
      <c r="H53" s="17" t="n">
        <f aca="false">'Tabla hombres'!E53</f>
        <v>521.340540871238</v>
      </c>
      <c r="I53" s="17" t="n">
        <f aca="false">'Tabla mujeres'!E53</f>
        <v>276.000962996328</v>
      </c>
      <c r="J53" s="17" t="n">
        <f aca="false">'Tabla ambos sexos'!E53</f>
        <v>397.903043671947</v>
      </c>
      <c r="K53" s="49" t="n">
        <f aca="false">'Tabla hombres'!H53</f>
        <v>30.6175122939253</v>
      </c>
      <c r="L53" s="49" t="n">
        <f aca="false">'Tabla mujeres'!H53</f>
        <v>33.9372581828224</v>
      </c>
      <c r="M53" s="49" t="n">
        <f aca="false">'Tabla ambos sexos'!H53</f>
        <v>32.3052245258102</v>
      </c>
      <c r="N53" s="50" t="n">
        <f aca="false">IF(F53&gt;0,E53/F53,"")</f>
        <v>2.03035002683479</v>
      </c>
    </row>
    <row r="54" customFormat="false" ht="15" hidden="false" customHeight="false" outlineLevel="0" collapsed="false">
      <c r="A54" s="10" t="n">
        <v>49</v>
      </c>
      <c r="B54" s="17" t="n">
        <f aca="false">'Tabla hombres'!D54</f>
        <v>87819.568867635</v>
      </c>
      <c r="C54" s="17" t="n">
        <f aca="false">'Tabla mujeres'!D54</f>
        <v>94679.8828681082</v>
      </c>
      <c r="D54" s="17" t="n">
        <f aca="false">'Tabla ambos sexos'!D54</f>
        <v>91285.7141337837</v>
      </c>
      <c r="E54" s="48" t="n">
        <f aca="false">'Tabla hombres'!C54</f>
        <v>0.00634492673327474</v>
      </c>
      <c r="F54" s="48" t="n">
        <f aca="false">'Tabla mujeres'!C54</f>
        <v>0.00321511245812439</v>
      </c>
      <c r="G54" s="48" t="n">
        <f aca="false">'Tabla ambos sexos'!C54</f>
        <v>0.00471193694323006</v>
      </c>
      <c r="H54" s="17" t="n">
        <f aca="false">'Tabla hombres'!E54</f>
        <v>557.208730212919</v>
      </c>
      <c r="I54" s="17" t="n">
        <f aca="false">'Tabla mujeres'!E54</f>
        <v>304.406470943013</v>
      </c>
      <c r="J54" s="17" t="n">
        <f aca="false">'Tabla ambos sexos'!E54</f>
        <v>430.132528816113</v>
      </c>
      <c r="K54" s="49" t="n">
        <f aca="false">'Tabla hombres'!H54</f>
        <v>29.7963047925844</v>
      </c>
      <c r="L54" s="49" t="n">
        <f aca="false">'Tabla mujeres'!H54</f>
        <v>33.0347310057585</v>
      </c>
      <c r="M54" s="49" t="n">
        <f aca="false">'Tabla ambos sexos'!H54</f>
        <v>31.4438595330901</v>
      </c>
      <c r="N54" s="50" t="n">
        <f aca="false">IF(F54&gt;0,E54/F54,"")</f>
        <v>1.97346961137906</v>
      </c>
    </row>
    <row r="55" customFormat="false" ht="15" hidden="false" customHeight="false" outlineLevel="0" collapsed="false">
      <c r="A55" s="10" t="n">
        <v>50</v>
      </c>
      <c r="B55" s="17" t="n">
        <f aca="false">'Tabla hombres'!D55</f>
        <v>87262.3601374221</v>
      </c>
      <c r="C55" s="17" t="n">
        <f aca="false">'Tabla mujeres'!D55</f>
        <v>94375.4763971652</v>
      </c>
      <c r="D55" s="17" t="n">
        <f aca="false">'Tabla ambos sexos'!D55</f>
        <v>90855.5816049676</v>
      </c>
      <c r="E55" s="48" t="n">
        <f aca="false">'Tabla hombres'!C55</f>
        <v>0.00650694898464634</v>
      </c>
      <c r="F55" s="48" t="n">
        <f aca="false">'Tabla mujeres'!C55</f>
        <v>0.00336798565821649</v>
      </c>
      <c r="G55" s="48" t="n">
        <f aca="false">'Tabla ambos sexos'!C55</f>
        <v>0.00486692550221601</v>
      </c>
      <c r="H55" s="17" t="n">
        <f aca="false">'Tabla hombres'!E55</f>
        <v>567.811725694042</v>
      </c>
      <c r="I55" s="17" t="n">
        <f aca="false">'Tabla mujeres'!E55</f>
        <v>317.855250993001</v>
      </c>
      <c r="J55" s="17" t="n">
        <f aca="false">'Tabla ambos sexos'!E55</f>
        <v>442.187347131884</v>
      </c>
      <c r="K55" s="49" t="n">
        <f aca="false">'Tabla hombres'!H55</f>
        <v>28.9833746445538</v>
      </c>
      <c r="L55" s="49" t="n">
        <f aca="false">'Tabla mujeres'!H55</f>
        <v>32.1396712193249</v>
      </c>
      <c r="M55" s="49" t="n">
        <f aca="false">'Tabla ambos sexos'!H55</f>
        <v>30.5903553269332</v>
      </c>
      <c r="N55" s="50" t="n">
        <f aca="false">IF(F55&gt;0,E55/F55,"")</f>
        <v>1.93200020575268</v>
      </c>
    </row>
    <row r="56" customFormat="false" ht="15" hidden="false" customHeight="false" outlineLevel="0" collapsed="false">
      <c r="A56" s="10" t="n">
        <v>51</v>
      </c>
      <c r="B56" s="17" t="n">
        <f aca="false">'Tabla hombres'!D56</f>
        <v>86694.548411728</v>
      </c>
      <c r="C56" s="17" t="n">
        <f aca="false">'Tabla mujeres'!D56</f>
        <v>94057.6211461722</v>
      </c>
      <c r="D56" s="17" t="n">
        <f aca="false">'Tabla ambos sexos'!D56</f>
        <v>90413.3942578357</v>
      </c>
      <c r="E56" s="48" t="n">
        <f aca="false">'Tabla hombres'!C56</f>
        <v>0.00699351181057803</v>
      </c>
      <c r="F56" s="48" t="n">
        <f aca="false">'Tabla mujeres'!C56</f>
        <v>0.00371215948629914</v>
      </c>
      <c r="G56" s="48" t="n">
        <f aca="false">'Tabla ambos sexos'!C56</f>
        <v>0.00527511142903945</v>
      </c>
      <c r="H56" s="17" t="n">
        <f aca="false">'Tabla hombres'!E56</f>
        <v>606.299348230149</v>
      </c>
      <c r="I56" s="17" t="n">
        <f aca="false">'Tabla mujeres'!E56</f>
        <v>349.156890596494</v>
      </c>
      <c r="J56" s="17" t="n">
        <f aca="false">'Tabla ambos sexos'!E56</f>
        <v>476.940729387759</v>
      </c>
      <c r="K56" s="49" t="n">
        <f aca="false">'Tabla hombres'!H56</f>
        <v>28.1699284060857</v>
      </c>
      <c r="L56" s="49" t="n">
        <f aca="false">'Tabla mujeres'!H56</f>
        <v>31.2465932902236</v>
      </c>
      <c r="M56" s="49" t="n">
        <f aca="false">'Tabla ambos sexos'!H56</f>
        <v>29.7375190796658</v>
      </c>
      <c r="N56" s="50" t="n">
        <f aca="false">IF(F56&gt;0,E56/F56,"")</f>
        <v>1.88394702231672</v>
      </c>
    </row>
    <row r="57" customFormat="false" ht="15" hidden="false" customHeight="false" outlineLevel="0" collapsed="false">
      <c r="A57" s="10" t="n">
        <v>52</v>
      </c>
      <c r="B57" s="17" t="n">
        <f aca="false">'Tabla hombres'!D57</f>
        <v>86088.2490634979</v>
      </c>
      <c r="C57" s="17" t="n">
        <f aca="false">'Tabla mujeres'!D57</f>
        <v>93708.4642555757</v>
      </c>
      <c r="D57" s="17" t="n">
        <f aca="false">'Tabla ambos sexos'!D57</f>
        <v>89936.4535284479</v>
      </c>
      <c r="E57" s="48" t="n">
        <f aca="false">'Tabla hombres'!C57</f>
        <v>0.00748420763702568</v>
      </c>
      <c r="F57" s="48" t="n">
        <f aca="false">'Tabla mujeres'!C57</f>
        <v>0.00399753335868273</v>
      </c>
      <c r="G57" s="48" t="n">
        <f aca="false">'Tabla ambos sexos'!C57</f>
        <v>0.00565054602060502</v>
      </c>
      <c r="H57" s="17" t="n">
        <f aca="false">'Tabla hombres'!E57</f>
        <v>644.3023310992</v>
      </c>
      <c r="I57" s="17" t="n">
        <f aca="false">'Tabla mujeres'!E57</f>
        <v>374.602711852592</v>
      </c>
      <c r="J57" s="17" t="n">
        <f aca="false">'Tabla ambos sexos'!E57</f>
        <v>508.1900695925</v>
      </c>
      <c r="K57" s="49" t="n">
        <f aca="false">'Tabla hombres'!H57</f>
        <v>27.3648012225349</v>
      </c>
      <c r="L57" s="49" t="n">
        <f aca="false">'Tabla mujeres'!H57</f>
        <v>30.3611548188425</v>
      </c>
      <c r="M57" s="49" t="n">
        <f aca="false">'Tabla ambos sexos'!H57</f>
        <v>28.8925681518525</v>
      </c>
      <c r="N57" s="50" t="n">
        <f aca="false">IF(F57&gt;0,E57/F57,"")</f>
        <v>1.87220642468682</v>
      </c>
    </row>
    <row r="58" customFormat="false" ht="15" hidden="false" customHeight="false" outlineLevel="0" collapsed="false">
      <c r="A58" s="10" t="n">
        <v>53</v>
      </c>
      <c r="B58" s="17" t="n">
        <f aca="false">'Tabla hombres'!D58</f>
        <v>85443.9467323987</v>
      </c>
      <c r="C58" s="17" t="n">
        <f aca="false">'Tabla mujeres'!D58</f>
        <v>93333.8615437231</v>
      </c>
      <c r="D58" s="17" t="n">
        <f aca="false">'Tabla ambos sexos'!D58</f>
        <v>89428.2634588554</v>
      </c>
      <c r="E58" s="48" t="n">
        <f aca="false">'Tabla hombres'!C58</f>
        <v>0.00836048263777522</v>
      </c>
      <c r="F58" s="48" t="n">
        <f aca="false">'Tabla mujeres'!C58</f>
        <v>0.00458016457035933</v>
      </c>
      <c r="G58" s="48" t="n">
        <f aca="false">'Tabla ambos sexos'!C58</f>
        <v>0.00636775330288002</v>
      </c>
      <c r="H58" s="17" t="n">
        <f aca="false">'Tabla hombres'!E58</f>
        <v>714.352633159209</v>
      </c>
      <c r="I58" s="17" t="n">
        <f aca="false">'Tabla mujeres'!E58</f>
        <v>427.484445857384</v>
      </c>
      <c r="J58" s="17" t="n">
        <f aca="false">'Tabla ambos sexos'!E58</f>
        <v>569.457120010951</v>
      </c>
      <c r="K58" s="49" t="n">
        <f aca="false">'Tabla hombres'!H58</f>
        <v>26.567379107969</v>
      </c>
      <c r="L58" s="49" t="n">
        <f aca="false">'Tabla mujeres'!H58</f>
        <v>29.4810048860011</v>
      </c>
      <c r="M58" s="49" t="n">
        <f aca="false">'Tabla ambos sexos'!H58</f>
        <v>28.0539133533238</v>
      </c>
      <c r="N58" s="50" t="n">
        <f aca="false">IF(F58&gt;0,E58/F58,"")</f>
        <v>1.82536730052896</v>
      </c>
    </row>
    <row r="59" customFormat="false" ht="15" hidden="false" customHeight="false" outlineLevel="0" collapsed="false">
      <c r="A59" s="10" t="n">
        <v>54</v>
      </c>
      <c r="B59" s="17" t="n">
        <f aca="false">'Tabla hombres'!D59</f>
        <v>84729.5940992394</v>
      </c>
      <c r="C59" s="17" t="n">
        <f aca="false">'Tabla mujeres'!D59</f>
        <v>92906.3770978657</v>
      </c>
      <c r="D59" s="17" t="n">
        <f aca="false">'Tabla ambos sexos'!D59</f>
        <v>88858.8063388445</v>
      </c>
      <c r="E59" s="48" t="n">
        <f aca="false">'Tabla hombres'!C59</f>
        <v>0.00848582474456672</v>
      </c>
      <c r="F59" s="48" t="n">
        <f aca="false">'Tabla mujeres'!C59</f>
        <v>0.0047533906414439</v>
      </c>
      <c r="G59" s="48" t="n">
        <f aca="false">'Tabla ambos sexos'!C59</f>
        <v>0.00652283603975463</v>
      </c>
      <c r="H59" s="17" t="n">
        <f aca="false">'Tabla hombres'!E59</f>
        <v>719.000486204421</v>
      </c>
      <c r="I59" s="17" t="n">
        <f aca="false">'Tabla mujeres'!E59</f>
        <v>441.620303427453</v>
      </c>
      <c r="J59" s="17" t="n">
        <f aca="false">'Tabla ambos sexos'!E59</f>
        <v>579.611424436592</v>
      </c>
      <c r="K59" s="49" t="n">
        <f aca="false">'Tabla hombres'!H59</f>
        <v>25.7871523891147</v>
      </c>
      <c r="L59" s="49" t="n">
        <f aca="false">'Tabla mujeres'!H59</f>
        <v>28.614353416006</v>
      </c>
      <c r="M59" s="49" t="n">
        <f aca="false">'Tabla ambos sexos'!H59</f>
        <v>27.2304942999931</v>
      </c>
      <c r="N59" s="50" t="n">
        <f aca="false">IF(F59&gt;0,E59/F59,"")</f>
        <v>1.78521509900332</v>
      </c>
    </row>
    <row r="60" customFormat="false" ht="15" hidden="false" customHeight="false" outlineLevel="0" collapsed="false">
      <c r="A60" s="10" t="n">
        <v>55</v>
      </c>
      <c r="B60" s="17" t="n">
        <f aca="false">'Tabla hombres'!D60</f>
        <v>84010.593613035</v>
      </c>
      <c r="C60" s="17" t="n">
        <f aca="false">'Tabla mujeres'!D60</f>
        <v>92464.7567944383</v>
      </c>
      <c r="D60" s="17" t="n">
        <f aca="false">'Tabla ambos sexos'!D60</f>
        <v>88279.1949144079</v>
      </c>
      <c r="E60" s="48" t="n">
        <f aca="false">'Tabla hombres'!C60</f>
        <v>0.00952733911046093</v>
      </c>
      <c r="F60" s="48" t="n">
        <f aca="false">'Tabla mujeres'!C60</f>
        <v>0.00538729634927302</v>
      </c>
      <c r="G60" s="48" t="n">
        <f aca="false">'Tabla ambos sexos'!C60</f>
        <v>0.00734429262029827</v>
      </c>
      <c r="H60" s="17" t="n">
        <f aca="false">'Tabla hombres'!E60</f>
        <v>800.397414222508</v>
      </c>
      <c r="I60" s="17" t="n">
        <f aca="false">'Tabla mujeres'!E60</f>
        <v>498.135046715095</v>
      </c>
      <c r="J60" s="17" t="n">
        <f aca="false">'Tabla ambos sexos'!E60</f>
        <v>648.348239735758</v>
      </c>
      <c r="K60" s="49" t="n">
        <f aca="false">'Tabla hombres'!H60</f>
        <v>25.0035712248897</v>
      </c>
      <c r="L60" s="49" t="n">
        <f aca="false">'Tabla mujeres'!H60</f>
        <v>27.7486301903866</v>
      </c>
      <c r="M60" s="49" t="n">
        <f aca="false">'Tabla ambos sexos'!H60</f>
        <v>26.4059977115515</v>
      </c>
      <c r="N60" s="50" t="n">
        <f aca="false">IF(F60&gt;0,E60/F60,"")</f>
        <v>1.76848246184686</v>
      </c>
    </row>
    <row r="61" customFormat="false" ht="15" hidden="false" customHeight="false" outlineLevel="0" collapsed="false">
      <c r="A61" s="10" t="n">
        <v>56</v>
      </c>
      <c r="B61" s="17" t="n">
        <f aca="false">'Tabla hombres'!D61</f>
        <v>83210.1961988125</v>
      </c>
      <c r="C61" s="17" t="n">
        <f aca="false">'Tabla mujeres'!D61</f>
        <v>91966.6217477232</v>
      </c>
      <c r="D61" s="17" t="n">
        <f aca="false">'Tabla ambos sexos'!D61</f>
        <v>87630.8466746721</v>
      </c>
      <c r="E61" s="48" t="n">
        <f aca="false">'Tabla hombres'!C61</f>
        <v>0.0102328962040611</v>
      </c>
      <c r="F61" s="48" t="n">
        <f aca="false">'Tabla mujeres'!C61</f>
        <v>0.00590009135232427</v>
      </c>
      <c r="G61" s="48" t="n">
        <f aca="false">'Tabla ambos sexos'!C61</f>
        <v>0.00794692589566734</v>
      </c>
      <c r="H61" s="17" t="n">
        <f aca="false">'Tabla hombres'!E61</f>
        <v>851.481300822004</v>
      </c>
      <c r="I61" s="17" t="n">
        <f aca="false">'Tabla mujeres'!E61</f>
        <v>542.611469676219</v>
      </c>
      <c r="J61" s="17" t="n">
        <f aca="false">'Tabla ambos sexos'!E61</f>
        <v>696.395844698206</v>
      </c>
      <c r="K61" s="49" t="n">
        <f aca="false">'Tabla hombres'!H61</f>
        <v>24.2392706456766</v>
      </c>
      <c r="L61" s="49" t="n">
        <f aca="false">'Tabla mujeres'!H61</f>
        <v>26.8962217558357</v>
      </c>
      <c r="M61" s="49" t="n">
        <f aca="false">'Tabla ambos sexos'!H61</f>
        <v>25.597666611856</v>
      </c>
      <c r="N61" s="50" t="n">
        <f aca="false">IF(F61&gt;0,E61/F61,"")</f>
        <v>1.73436233322556</v>
      </c>
    </row>
    <row r="62" customFormat="false" ht="15" hidden="false" customHeight="false" outlineLevel="0" collapsed="false">
      <c r="A62" s="10" t="n">
        <v>57</v>
      </c>
      <c r="B62" s="17" t="n">
        <f aca="false">'Tabla hombres'!D62</f>
        <v>82358.7148979905</v>
      </c>
      <c r="C62" s="17" t="n">
        <f aca="false">'Tabla mujeres'!D62</f>
        <v>91424.010278047</v>
      </c>
      <c r="D62" s="17" t="n">
        <f aca="false">'Tabla ambos sexos'!D62</f>
        <v>86934.4508299739</v>
      </c>
      <c r="E62" s="48" t="n">
        <f aca="false">'Tabla hombres'!C62</f>
        <v>0.0110688441068599</v>
      </c>
      <c r="F62" s="48" t="n">
        <f aca="false">'Tabla mujeres'!C62</f>
        <v>0.00661506110589564</v>
      </c>
      <c r="G62" s="48" t="n">
        <f aca="false">'Tabla ambos sexos'!C62</f>
        <v>0.00872588941592833</v>
      </c>
      <c r="H62" s="17" t="n">
        <f aca="false">'Tabla hombres'!E62</f>
        <v>911.615776047177</v>
      </c>
      <c r="I62" s="17" t="n">
        <f aca="false">'Tabla mujeres'!E62</f>
        <v>604.775414535312</v>
      </c>
      <c r="J62" s="17" t="n">
        <f aca="false">'Tabla ambos sexos'!E62</f>
        <v>758.580404376811</v>
      </c>
      <c r="K62" s="49" t="n">
        <f aca="false">'Tabla hombres'!H62</f>
        <v>23.4847036283911</v>
      </c>
      <c r="L62" s="49" t="n">
        <f aca="false">'Tabla mujeres'!H62</f>
        <v>26.0528862101434</v>
      </c>
      <c r="M62" s="49" t="n">
        <f aca="false">'Tabla ambos sexos'!H62</f>
        <v>24.7987136142038</v>
      </c>
      <c r="N62" s="50" t="n">
        <f aca="false">IF(F62&gt;0,E62/F62,"")</f>
        <v>1.67327919268877</v>
      </c>
    </row>
    <row r="63" customFormat="false" ht="15" hidden="false" customHeight="false" outlineLevel="0" collapsed="false">
      <c r="A63" s="10" t="n">
        <v>58</v>
      </c>
      <c r="B63" s="17" t="n">
        <f aca="false">'Tabla hombres'!D63</f>
        <v>81447.0991219433</v>
      </c>
      <c r="C63" s="17" t="n">
        <f aca="false">'Tabla mujeres'!D63</f>
        <v>90819.2348635117</v>
      </c>
      <c r="D63" s="17" t="n">
        <f aca="false">'Tabla ambos sexos'!D63</f>
        <v>86175.8704255971</v>
      </c>
      <c r="E63" s="48" t="n">
        <f aca="false">'Tabla hombres'!C63</f>
        <v>0.0114404908079982</v>
      </c>
      <c r="F63" s="48" t="n">
        <f aca="false">'Tabla mujeres'!C63</f>
        <v>0.0069363143562482</v>
      </c>
      <c r="G63" s="48" t="n">
        <f aca="false">'Tabla ambos sexos'!C63</f>
        <v>0.00906944729085572</v>
      </c>
      <c r="H63" s="17" t="n">
        <f aca="false">'Tabla hombres'!E63</f>
        <v>931.794788842713</v>
      </c>
      <c r="I63" s="17" t="n">
        <f aca="false">'Tabla mujeres'!E63</f>
        <v>629.950762607252</v>
      </c>
      <c r="J63" s="17" t="n">
        <f aca="false">'Tabla ambos sexos'!E63</f>
        <v>781.567514568565</v>
      </c>
      <c r="K63" s="49" t="n">
        <f aca="false">'Tabla hombres'!H63</f>
        <v>22.7419653192468</v>
      </c>
      <c r="L63" s="49" t="n">
        <f aca="false">'Tabla mujeres'!H63</f>
        <v>25.2230457294736</v>
      </c>
      <c r="M63" s="49" t="n">
        <f aca="false">'Tabla ambos sexos'!H63</f>
        <v>24.0126079202115</v>
      </c>
      <c r="N63" s="50" t="n">
        <f aca="false">IF(F63&gt;0,E63/F63,"")</f>
        <v>1.64936163795585</v>
      </c>
    </row>
    <row r="64" customFormat="false" ht="15" hidden="false" customHeight="false" outlineLevel="0" collapsed="false">
      <c r="A64" s="10" t="n">
        <v>59</v>
      </c>
      <c r="B64" s="17" t="n">
        <f aca="false">'Tabla hombres'!D64</f>
        <v>80515.3043331006</v>
      </c>
      <c r="C64" s="17" t="n">
        <f aca="false">'Tabla mujeres'!D64</f>
        <v>90189.2841009044</v>
      </c>
      <c r="D64" s="17" t="n">
        <f aca="false">'Tabla ambos sexos'!D64</f>
        <v>85394.3029110285</v>
      </c>
      <c r="E64" s="48" t="n">
        <f aca="false">'Tabla hombres'!C64</f>
        <v>0.0128986520319784</v>
      </c>
      <c r="F64" s="48" t="n">
        <f aca="false">'Tabla mujeres'!C64</f>
        <v>0.00790144606563768</v>
      </c>
      <c r="G64" s="48" t="n">
        <f aca="false">'Tabla ambos sexos'!C64</f>
        <v>0.0102563032757296</v>
      </c>
      <c r="H64" s="17" t="n">
        <f aca="false">'Tabla hombres'!E64</f>
        <v>1038.53889384151</v>
      </c>
      <c r="I64" s="17" t="n">
        <f aca="false">'Tabla mujeres'!E64</f>
        <v>712.62576402177</v>
      </c>
      <c r="J64" s="17" t="n">
        <f aca="false">'Tabla ambos sexos'!E64</f>
        <v>875.829868675025</v>
      </c>
      <c r="K64" s="49" t="n">
        <f aca="false">'Tabla hombres'!H64</f>
        <v>21.9993691451376</v>
      </c>
      <c r="L64" s="49" t="n">
        <f aca="false">'Tabla mujeres'!H64</f>
        <v>24.3957303412489</v>
      </c>
      <c r="M64" s="49" t="n">
        <f aca="false">'Tabla ambos sexos'!H64</f>
        <v>23.2278060061116</v>
      </c>
      <c r="N64" s="50" t="n">
        <f aca="false">IF(F64&gt;0,E64/F64,"")</f>
        <v>1.63244195110979</v>
      </c>
    </row>
    <row r="65" customFormat="false" ht="15" hidden="false" customHeight="false" outlineLevel="0" collapsed="false">
      <c r="A65" s="10" t="n">
        <v>60</v>
      </c>
      <c r="B65" s="17" t="n">
        <f aca="false">'Tabla hombres'!D65</f>
        <v>79476.7654392591</v>
      </c>
      <c r="C65" s="17" t="n">
        <f aca="false">'Tabla mujeres'!D65</f>
        <v>89476.6583368826</v>
      </c>
      <c r="D65" s="17" t="n">
        <f aca="false">'Tabla ambos sexos'!D65</f>
        <v>84518.4730423535</v>
      </c>
      <c r="E65" s="48" t="n">
        <f aca="false">'Tabla hombres'!C65</f>
        <v>0.0133448845343011</v>
      </c>
      <c r="F65" s="48" t="n">
        <f aca="false">'Tabla mujeres'!C65</f>
        <v>0.00836789812338597</v>
      </c>
      <c r="G65" s="48" t="n">
        <f aca="false">'Tabla ambos sexos'!C65</f>
        <v>0.0107129126038746</v>
      </c>
      <c r="H65" s="17" t="n">
        <f aca="false">'Tabla hombres'!E65</f>
        <v>1060.60825794664</v>
      </c>
      <c r="I65" s="17" t="n">
        <f aca="false">'Tabla mujeres'!E65</f>
        <v>748.731561384048</v>
      </c>
      <c r="J65" s="17" t="n">
        <f aca="false">'Tabla ambos sexos'!E65</f>
        <v>905.439015115663</v>
      </c>
      <c r="K65" s="49" t="n">
        <f aca="false">'Tabla hombres'!H65</f>
        <v>21.2803057298976</v>
      </c>
      <c r="L65" s="49" t="n">
        <f aca="false">'Tabla mujeres'!H65</f>
        <v>23.5860449261676</v>
      </c>
      <c r="M65" s="49" t="n">
        <f aca="false">'Tabla ambos sexos'!H65</f>
        <v>22.463324829785</v>
      </c>
      <c r="N65" s="50" t="n">
        <f aca="false">IF(F65&gt;0,E65/F65,"")</f>
        <v>1.59477139151656</v>
      </c>
    </row>
    <row r="66" customFormat="false" ht="15" hidden="false" customHeight="false" outlineLevel="0" collapsed="false">
      <c r="A66" s="10" t="n">
        <v>61</v>
      </c>
      <c r="B66" s="17" t="n">
        <f aca="false">'Tabla hombres'!D66</f>
        <v>78416.1571813125</v>
      </c>
      <c r="C66" s="17" t="n">
        <f aca="false">'Tabla mujeres'!D66</f>
        <v>88727.9267754986</v>
      </c>
      <c r="D66" s="17" t="n">
        <f aca="false">'Tabla ambos sexos'!D66</f>
        <v>83613.0340272378</v>
      </c>
      <c r="E66" s="48" t="n">
        <f aca="false">'Tabla hombres'!C66</f>
        <v>0.0141976292846086</v>
      </c>
      <c r="F66" s="48" t="n">
        <f aca="false">'Tabla mujeres'!C66</f>
        <v>0.00908325472241293</v>
      </c>
      <c r="G66" s="48" t="n">
        <f aca="false">'Tabla ambos sexos'!C66</f>
        <v>0.0114918913772032</v>
      </c>
      <c r="H66" s="17" t="n">
        <f aca="false">'Tabla hombres'!E66</f>
        <v>1113.32352958387</v>
      </c>
      <c r="I66" s="17" t="n">
        <f aca="false">'Tabla mujeres'!E66</f>
        <v>805.938359893456</v>
      </c>
      <c r="J66" s="17" t="n">
        <f aca="false">'Tabla ambos sexos'!E66</f>
        <v>960.871904759414</v>
      </c>
      <c r="K66" s="49" t="n">
        <f aca="false">'Tabla hombres'!H66</f>
        <v>20.561367243902</v>
      </c>
      <c r="L66" s="49" t="n">
        <f aca="false">'Tabla mujeres'!H66</f>
        <v>22.7808567637921</v>
      </c>
      <c r="M66" s="49" t="n">
        <f aca="false">'Tabla ambos sexos'!H66</f>
        <v>21.7011639589819</v>
      </c>
      <c r="N66" s="50" t="n">
        <f aca="false">IF(F66&gt;0,E66/F66,"")</f>
        <v>1.56305528343006</v>
      </c>
    </row>
    <row r="67" customFormat="false" ht="15" hidden="false" customHeight="false" outlineLevel="0" collapsed="false">
      <c r="A67" s="10" t="n">
        <v>62</v>
      </c>
      <c r="B67" s="17" t="n">
        <f aca="false">'Tabla hombres'!D67</f>
        <v>77302.8336517286</v>
      </c>
      <c r="C67" s="17" t="n">
        <f aca="false">'Tabla mujeres'!D67</f>
        <v>87921.9884156051</v>
      </c>
      <c r="D67" s="17" t="n">
        <f aca="false">'Tabla ambos sexos'!D67</f>
        <v>82652.1621224784</v>
      </c>
      <c r="E67" s="48" t="n">
        <f aca="false">'Tabla hombres'!C67</f>
        <v>0.015069781878746</v>
      </c>
      <c r="F67" s="48" t="n">
        <f aca="false">'Tabla mujeres'!C67</f>
        <v>0.00968004320217864</v>
      </c>
      <c r="G67" s="48" t="n">
        <f aca="false">'Tabla ambos sexos'!C67</f>
        <v>0.0122134802476577</v>
      </c>
      <c r="H67" s="17" t="n">
        <f aca="false">'Tabla hombres'!E67</f>
        <v>1164.93684174054</v>
      </c>
      <c r="I67" s="17" t="n">
        <f aca="false">'Tabla mujeres'!E67</f>
        <v>851.088646284508</v>
      </c>
      <c r="J67" s="17" t="n">
        <f aca="false">'Tabla ambos sexos'!E67</f>
        <v>1009.47054950909</v>
      </c>
      <c r="K67" s="49" t="n">
        <f aca="false">'Tabla hombres'!H67</f>
        <v>19.8502931620499</v>
      </c>
      <c r="L67" s="49" t="n">
        <f aca="false">'Tabla mujeres'!H67</f>
        <v>21.9850946055519</v>
      </c>
      <c r="M67" s="49" t="n">
        <f aca="false">'Tabla ambos sexos'!H67</f>
        <v>20.9476378838405</v>
      </c>
      <c r="N67" s="50" t="n">
        <f aca="false">IF(F67&gt;0,E67/F67,"")</f>
        <v>1.55678870062836</v>
      </c>
    </row>
    <row r="68" customFormat="false" ht="15" hidden="false" customHeight="false" outlineLevel="0" collapsed="false">
      <c r="A68" s="10" t="n">
        <v>63</v>
      </c>
      <c r="B68" s="17" t="n">
        <f aca="false">'Tabla hombres'!D68</f>
        <v>76137.8968099881</v>
      </c>
      <c r="C68" s="17" t="n">
        <f aca="false">'Tabla mujeres'!D68</f>
        <v>87070.8997693206</v>
      </c>
      <c r="D68" s="17" t="n">
        <f aca="false">'Tabla ambos sexos'!D68</f>
        <v>81642.6915729693</v>
      </c>
      <c r="E68" s="48" t="n">
        <f aca="false">'Tabla hombres'!C68</f>
        <v>0.01647738634606</v>
      </c>
      <c r="F68" s="48" t="n">
        <f aca="false">'Tabla mujeres'!C68</f>
        <v>0.0107896353451203</v>
      </c>
      <c r="G68" s="48" t="n">
        <f aca="false">'Tabla ambos sexos'!C68</f>
        <v>0.0134621215925646</v>
      </c>
      <c r="H68" s="17" t="n">
        <f aca="false">'Tabla hombres'!E68</f>
        <v>1254.55354131462</v>
      </c>
      <c r="I68" s="17" t="n">
        <f aca="false">'Tabla mujeres'!E68</f>
        <v>939.463257682489</v>
      </c>
      <c r="J68" s="17" t="n">
        <f aca="false">'Tabla ambos sexos'!E68</f>
        <v>1099.08384109956</v>
      </c>
      <c r="K68" s="49" t="n">
        <f aca="false">'Tabla hombres'!H68</f>
        <v>19.146359514647</v>
      </c>
      <c r="L68" s="49" t="n">
        <f aca="false">'Tabla mujeres'!H68</f>
        <v>21.1951041510094</v>
      </c>
      <c r="M68" s="49" t="n">
        <f aca="false">'Tabla ambos sexos'!H68</f>
        <v>20.200462574613</v>
      </c>
      <c r="N68" s="50" t="n">
        <f aca="false">IF(F68&gt;0,E68/F68,"")</f>
        <v>1.52714951145333</v>
      </c>
    </row>
    <row r="69" customFormat="false" ht="15" hidden="false" customHeight="false" outlineLevel="0" collapsed="false">
      <c r="A69" s="10" t="n">
        <v>64</v>
      </c>
      <c r="B69" s="17" t="n">
        <f aca="false">'Tabla hombres'!D69</f>
        <v>74883.3432686734</v>
      </c>
      <c r="C69" s="17" t="n">
        <f aca="false">'Tabla mujeres'!D69</f>
        <v>86131.4365116381</v>
      </c>
      <c r="D69" s="17" t="n">
        <f aca="false">'Tabla ambos sexos'!D69</f>
        <v>80543.6077318698</v>
      </c>
      <c r="E69" s="48" t="n">
        <f aca="false">'Tabla hombres'!C69</f>
        <v>0.0169788637669497</v>
      </c>
      <c r="F69" s="48" t="n">
        <f aca="false">'Tabla mujeres'!C69</f>
        <v>0.0113581446799003</v>
      </c>
      <c r="G69" s="48" t="n">
        <f aca="false">'Tabla ambos sexos'!C69</f>
        <v>0.0140001581016754</v>
      </c>
      <c r="H69" s="17" t="n">
        <f aca="false">'Tabla hombres'!E69</f>
        <v>1271.43408377254</v>
      </c>
      <c r="I69" s="17" t="n">
        <f aca="false">'Tabla mujeres'!E69</f>
        <v>978.293317386837</v>
      </c>
      <c r="J69" s="17" t="n">
        <f aca="false">'Tabla ambos sexos'!E69</f>
        <v>1127.6232423255</v>
      </c>
      <c r="K69" s="49" t="n">
        <f aca="false">'Tabla hombres'!H69</f>
        <v>18.4587501657668</v>
      </c>
      <c r="L69" s="49" t="n">
        <f aca="false">'Tabla mujeres'!H69</f>
        <v>20.4208323026717</v>
      </c>
      <c r="M69" s="49" t="n">
        <f aca="false">'Tabla ambos sexos'!H69</f>
        <v>19.4692916063348</v>
      </c>
      <c r="N69" s="50" t="n">
        <f aca="false">IF(F69&gt;0,E69/F69,"")</f>
        <v>1.49486243092113</v>
      </c>
    </row>
    <row r="70" customFormat="false" ht="15" hidden="false" customHeight="false" outlineLevel="0" collapsed="false">
      <c r="A70" s="10" t="n">
        <v>65</v>
      </c>
      <c r="B70" s="17" t="n">
        <f aca="false">'Tabla hombres'!D70</f>
        <v>73611.9091849009</v>
      </c>
      <c r="C70" s="17" t="n">
        <f aca="false">'Tabla mujeres'!D70</f>
        <v>85153.1431942513</v>
      </c>
      <c r="D70" s="17" t="n">
        <f aca="false">'Tabla ambos sexos'!D70</f>
        <v>79415.9844895443</v>
      </c>
      <c r="E70" s="48" t="n">
        <f aca="false">'Tabla hombres'!C70</f>
        <v>0.0182356099038348</v>
      </c>
      <c r="F70" s="48" t="n">
        <f aca="false">'Tabla mujeres'!C70</f>
        <v>0.0124258539717927</v>
      </c>
      <c r="G70" s="48" t="n">
        <f aca="false">'Tabla ambos sexos'!C70</f>
        <v>0.0151621104940929</v>
      </c>
      <c r="H70" s="17" t="n">
        <f aca="false">'Tabla hombres'!E70</f>
        <v>1342.35806017237</v>
      </c>
      <c r="I70" s="17" t="n">
        <f aca="false">'Tabla mujeres'!E70</f>
        <v>1058.10052257092</v>
      </c>
      <c r="J70" s="17" t="n">
        <f aca="false">'Tabla ambos sexos'!E70</f>
        <v>1204.11393182764</v>
      </c>
      <c r="K70" s="49" t="n">
        <f aca="false">'Tabla hombres'!H70</f>
        <v>17.7689359402637</v>
      </c>
      <c r="L70" s="49" t="n">
        <f aca="false">'Tabla mujeres'!H70</f>
        <v>19.6496954589504</v>
      </c>
      <c r="M70" s="49" t="n">
        <f aca="false">'Tabla ambos sexos'!H70</f>
        <v>18.7386355456342</v>
      </c>
      <c r="N70" s="50" t="n">
        <f aca="false">IF(F70&gt;0,E70/F70,"")</f>
        <v>1.46755385547188</v>
      </c>
    </row>
    <row r="71" customFormat="false" ht="15" hidden="false" customHeight="false" outlineLevel="0" collapsed="false">
      <c r="A71" s="10" t="n">
        <v>66</v>
      </c>
      <c r="B71" s="17" t="n">
        <f aca="false">'Tabla hombres'!D71</f>
        <v>72269.5511247285</v>
      </c>
      <c r="C71" s="17" t="n">
        <f aca="false">'Tabla mujeres'!D71</f>
        <v>84095.0426716804</v>
      </c>
      <c r="D71" s="17" t="n">
        <f aca="false">'Tabla ambos sexos'!D71</f>
        <v>78211.8705577166</v>
      </c>
      <c r="E71" s="48" t="n">
        <f aca="false">'Tabla hombres'!C71</f>
        <v>0.01919679613407</v>
      </c>
      <c r="F71" s="48" t="n">
        <f aca="false">'Tabla mujeres'!C71</f>
        <v>0.0132454785620913</v>
      </c>
      <c r="G71" s="48" t="n">
        <f aca="false">'Tabla ambos sexos'!C71</f>
        <v>0.0160431847178447</v>
      </c>
      <c r="H71" s="17" t="n">
        <f aca="false">'Tabla hombres'!E71</f>
        <v>1387.34383964216</v>
      </c>
      <c r="I71" s="17" t="n">
        <f aca="false">'Tabla mujeres'!E71</f>
        <v>1113.87908488589</v>
      </c>
      <c r="J71" s="17" t="n">
        <f aca="false">'Tabla ambos sexos'!E71</f>
        <v>1254.7674864856</v>
      </c>
      <c r="K71" s="49" t="n">
        <f aca="false">'Tabla hombres'!H71</f>
        <v>17.0896947520903</v>
      </c>
      <c r="L71" s="49" t="n">
        <f aca="false">'Tabla mujeres'!H71</f>
        <v>18.8906407290693</v>
      </c>
      <c r="M71" s="49" t="n">
        <f aca="false">'Tabla ambos sexos'!H71</f>
        <v>18.019429177105</v>
      </c>
      <c r="N71" s="50" t="n">
        <f aca="false">IF(F71&gt;0,E71/F71,"")</f>
        <v>1.44930936576436</v>
      </c>
    </row>
    <row r="72" customFormat="false" ht="15" hidden="false" customHeight="false" outlineLevel="0" collapsed="false">
      <c r="A72" s="10" t="n">
        <v>67</v>
      </c>
      <c r="B72" s="17" t="n">
        <f aca="false">'Tabla hombres'!D72</f>
        <v>70882.2072850864</v>
      </c>
      <c r="C72" s="17" t="n">
        <f aca="false">'Tabla mujeres'!D72</f>
        <v>82981.1635867945</v>
      </c>
      <c r="D72" s="17" t="n">
        <f aca="false">'Tabla ambos sexos'!D72</f>
        <v>76957.103071231</v>
      </c>
      <c r="E72" s="48" t="n">
        <f aca="false">'Tabla hombres'!C72</f>
        <v>0.020689950299846</v>
      </c>
      <c r="F72" s="48" t="n">
        <f aca="false">'Tabla mujeres'!C72</f>
        <v>0.0146419647416449</v>
      </c>
      <c r="G72" s="48" t="n">
        <f aca="false">'Tabla ambos sexos'!C72</f>
        <v>0.0174887643381229</v>
      </c>
      <c r="H72" s="17" t="n">
        <f aca="false">'Tabla hombres'!E72</f>
        <v>1466.54934587182</v>
      </c>
      <c r="I72" s="17" t="n">
        <f aca="false">'Tabla mujeres'!E72</f>
        <v>1215.00727145851</v>
      </c>
      <c r="J72" s="17" t="n">
        <f aca="false">'Tabla ambos sexos'!E72</f>
        <v>1345.88463975739</v>
      </c>
      <c r="K72" s="49" t="n">
        <f aca="false">'Tabla hombres'!H72</f>
        <v>16.4143969826979</v>
      </c>
      <c r="L72" s="49" t="n">
        <f aca="false">'Tabla mujeres'!H72</f>
        <v>18.1375033805472</v>
      </c>
      <c r="M72" s="49" t="n">
        <f aca="false">'Tabla ambos sexos'!H72</f>
        <v>17.3050793540987</v>
      </c>
      <c r="N72" s="50" t="n">
        <f aca="false">IF(F72&gt;0,E72/F72,"")</f>
        <v>1.41305833369475</v>
      </c>
    </row>
    <row r="73" customFormat="false" ht="15" hidden="false" customHeight="false" outlineLevel="0" collapsed="false">
      <c r="A73" s="10" t="n">
        <v>68</v>
      </c>
      <c r="B73" s="17" t="n">
        <f aca="false">'Tabla hombres'!D73</f>
        <v>69415.6579392146</v>
      </c>
      <c r="C73" s="17" t="n">
        <f aca="false">'Tabla mujeres'!D73</f>
        <v>81766.156315336</v>
      </c>
      <c r="D73" s="17" t="n">
        <f aca="false">'Tabla ambos sexos'!D73</f>
        <v>75611.2184314736</v>
      </c>
      <c r="E73" s="48" t="n">
        <f aca="false">'Tabla hombres'!C73</f>
        <v>0.0225359871776208</v>
      </c>
      <c r="F73" s="48" t="n">
        <f aca="false">'Tabla mujeres'!C73</f>
        <v>0.0159592074702665</v>
      </c>
      <c r="G73" s="48" t="n">
        <f aca="false">'Tabla ambos sexos'!C73</f>
        <v>0.0190461586531959</v>
      </c>
      <c r="H73" s="17" t="n">
        <f aca="false">'Tabla hombres'!E73</f>
        <v>1564.35037724425</v>
      </c>
      <c r="I73" s="17" t="n">
        <f aca="false">'Tabla mujeres'!E73</f>
        <v>1304.92305268269</v>
      </c>
      <c r="J73" s="17" t="n">
        <f aca="false">'Tabla ambos sexos'!E73</f>
        <v>1440.1032622073</v>
      </c>
      <c r="K73" s="49" t="n">
        <f aca="false">'Tabla hombres'!H73</f>
        <v>15.7506215345902</v>
      </c>
      <c r="L73" s="49" t="n">
        <f aca="false">'Tabla mujeres'!H73</f>
        <v>17.3995885246146</v>
      </c>
      <c r="M73" s="49" t="n">
        <f aca="false">'Tabla ambos sexos'!H73</f>
        <v>16.6042108671437</v>
      </c>
      <c r="N73" s="50" t="n">
        <f aca="false">IF(F73&gt;0,E73/F73,"")</f>
        <v>1.4120993927554</v>
      </c>
    </row>
    <row r="74" customFormat="false" ht="15" hidden="false" customHeight="false" outlineLevel="0" collapsed="false">
      <c r="A74" s="10" t="n">
        <v>69</v>
      </c>
      <c r="B74" s="17" t="n">
        <f aca="false">'Tabla hombres'!D74</f>
        <v>67851.3075619703</v>
      </c>
      <c r="C74" s="17" t="n">
        <f aca="false">'Tabla mujeres'!D74</f>
        <v>80461.2332626533</v>
      </c>
      <c r="D74" s="17" t="n">
        <f aca="false">'Tabla ambos sexos'!D74</f>
        <v>74171.1151692663</v>
      </c>
      <c r="E74" s="48" t="n">
        <f aca="false">'Tabla hombres'!C74</f>
        <v>0.0247285249591644</v>
      </c>
      <c r="F74" s="48" t="n">
        <f aca="false">'Tabla mujeres'!C74</f>
        <v>0.0176860545684273</v>
      </c>
      <c r="G74" s="48" t="n">
        <f aca="false">'Tabla ambos sexos'!C74</f>
        <v>0.0209979372453241</v>
      </c>
      <c r="H74" s="17" t="n">
        <f aca="false">'Tabla hombres'!E74</f>
        <v>1677.86275255812</v>
      </c>
      <c r="I74" s="17" t="n">
        <f aca="false">'Tabla mujeres'!E74</f>
        <v>1423.04176212625</v>
      </c>
      <c r="J74" s="17" t="n">
        <f aca="false">'Tabla ambos sexos'!E74</f>
        <v>1557.44042173996</v>
      </c>
      <c r="K74" s="49" t="n">
        <f aca="false">'Tabla hombres'!H74</f>
        <v>15.1022332633554</v>
      </c>
      <c r="L74" s="49" t="n">
        <f aca="false">'Tabla mujeres'!H74</f>
        <v>16.6736666334429</v>
      </c>
      <c r="M74" s="49" t="n">
        <f aca="false">'Tabla ambos sexos'!H74</f>
        <v>15.9168895501071</v>
      </c>
      <c r="N74" s="50" t="n">
        <f aca="false">IF(F74&gt;0,E74/F74,"")</f>
        <v>1.39819341071745</v>
      </c>
    </row>
    <row r="75" customFormat="false" ht="15" hidden="false" customHeight="false" outlineLevel="0" collapsed="false">
      <c r="A75" s="10" t="n">
        <v>70</v>
      </c>
      <c r="B75" s="17" t="n">
        <f aca="false">'Tabla hombres'!D75</f>
        <v>66173.4448094122</v>
      </c>
      <c r="C75" s="17" t="n">
        <f aca="false">'Tabla mujeres'!D75</f>
        <v>79038.191500527</v>
      </c>
      <c r="D75" s="17" t="n">
        <f aca="false">'Tabla ambos sexos'!D75</f>
        <v>72613.6747475264</v>
      </c>
      <c r="E75" s="48" t="n">
        <f aca="false">'Tabla hombres'!C75</f>
        <v>0.0260755506901203</v>
      </c>
      <c r="F75" s="48" t="n">
        <f aca="false">'Tabla mujeres'!C75</f>
        <v>0.0186826147068789</v>
      </c>
      <c r="G75" s="48" t="n">
        <f aca="false">'Tabla ambos sexos'!C75</f>
        <v>0.0221518255466221</v>
      </c>
      <c r="H75" s="17" t="n">
        <f aca="false">'Tabla hombres'!E75</f>
        <v>1725.50901446771</v>
      </c>
      <c r="I75" s="17" t="n">
        <f aca="false">'Tabla mujeres'!E75</f>
        <v>1476.64007893286</v>
      </c>
      <c r="J75" s="17" t="n">
        <f aca="false">'Tabla ambos sexos'!E75</f>
        <v>1608.52545530636</v>
      </c>
      <c r="K75" s="49" t="n">
        <f aca="false">'Tabla hombres'!H75</f>
        <v>14.4724806241708</v>
      </c>
      <c r="L75" s="49" t="n">
        <f aca="false">'Tabla mujeres'!H75</f>
        <v>15.9648651367126</v>
      </c>
      <c r="M75" s="49" t="n">
        <f aca="false">'Tabla ambos sexos'!H75</f>
        <v>15.247555737245</v>
      </c>
      <c r="N75" s="50" t="n">
        <f aca="false">IF(F75&gt;0,E75/F75,"")</f>
        <v>1.39571206168049</v>
      </c>
    </row>
    <row r="76" customFormat="false" ht="15" hidden="false" customHeight="false" outlineLevel="0" collapsed="false">
      <c r="A76" s="10" t="n">
        <v>71</v>
      </c>
      <c r="B76" s="17" t="n">
        <f aca="false">'Tabla hombres'!D76</f>
        <v>64447.9357949445</v>
      </c>
      <c r="C76" s="17" t="n">
        <f aca="false">'Tabla mujeres'!D76</f>
        <v>77561.5514215942</v>
      </c>
      <c r="D76" s="17" t="n">
        <f aca="false">'Tabla ambos sexos'!D76</f>
        <v>71005.14929222</v>
      </c>
      <c r="E76" s="48" t="n">
        <f aca="false">'Tabla hombres'!C76</f>
        <v>0.0288954438977257</v>
      </c>
      <c r="F76" s="48" t="n">
        <f aca="false">'Tabla mujeres'!C76</f>
        <v>0.0208767101899906</v>
      </c>
      <c r="G76" s="48" t="n">
        <f aca="false">'Tabla ambos sexos'!C76</f>
        <v>0.024645505005217</v>
      </c>
      <c r="H76" s="17" t="n">
        <f aca="false">'Tabla hombres'!E76</f>
        <v>1862.25171308705</v>
      </c>
      <c r="I76" s="17" t="n">
        <f aca="false">'Tabla mujeres'!E76</f>
        <v>1619.23003091468</v>
      </c>
      <c r="J76" s="17" t="n">
        <f aca="false">'Tabla ambos sexos'!E76</f>
        <v>1749.95776227759</v>
      </c>
      <c r="K76" s="49" t="n">
        <f aca="false">'Tabla hombres'!H76</f>
        <v>13.846575480338</v>
      </c>
      <c r="L76" s="49" t="n">
        <f aca="false">'Tabla mujeres'!H76</f>
        <v>15.2592898775488</v>
      </c>
      <c r="M76" s="49" t="n">
        <f aca="false">'Tabla ambos sexos'!H76</f>
        <v>14.5816416316254</v>
      </c>
      <c r="N76" s="50" t="n">
        <f aca="false">IF(F76&gt;0,E76/F76,"")</f>
        <v>1.38409948860524</v>
      </c>
    </row>
    <row r="77" customFormat="false" ht="15" hidden="false" customHeight="false" outlineLevel="0" collapsed="false">
      <c r="A77" s="10" t="n">
        <v>72</v>
      </c>
      <c r="B77" s="17" t="n">
        <f aca="false">'Tabla hombres'!D77</f>
        <v>62585.6840818574</v>
      </c>
      <c r="C77" s="17" t="n">
        <f aca="false">'Tabla mujeres'!D77</f>
        <v>75942.3213906795</v>
      </c>
      <c r="D77" s="17" t="n">
        <f aca="false">'Tabla ambos sexos'!D77</f>
        <v>69255.1915299424</v>
      </c>
      <c r="E77" s="48" t="n">
        <f aca="false">'Tabla hombres'!C77</f>
        <v>0.0305344142511128</v>
      </c>
      <c r="F77" s="48" t="n">
        <f aca="false">'Tabla mujeres'!C77</f>
        <v>0.0221291039399388</v>
      </c>
      <c r="G77" s="48" t="n">
        <f aca="false">'Tabla ambos sexos'!C77</f>
        <v>0.0260704037533739</v>
      </c>
      <c r="H77" s="17" t="n">
        <f aca="false">'Tabla hombres'!E77</f>
        <v>1911.01720394471</v>
      </c>
      <c r="I77" s="17" t="n">
        <f aca="false">'Tabla mujeres'!E77</f>
        <v>1680.53552349458</v>
      </c>
      <c r="J77" s="17" t="n">
        <f aca="false">'Tabla ambos sexos'!E77</f>
        <v>1805.51080520284</v>
      </c>
      <c r="K77" s="49" t="n">
        <f aca="false">'Tabla hombres'!H77</f>
        <v>13.2437059649964</v>
      </c>
      <c r="L77" s="49" t="n">
        <f aca="false">'Tabla mujeres'!H77</f>
        <v>14.5739850958021</v>
      </c>
      <c r="M77" s="49" t="n">
        <f aca="false">'Tabla ambos sexos'!H77</f>
        <v>13.9374601274593</v>
      </c>
      <c r="N77" s="50" t="n">
        <f aca="false">IF(F77&gt;0,E77/F77,"")</f>
        <v>1.37983057669154</v>
      </c>
    </row>
    <row r="78" customFormat="false" ht="15" hidden="false" customHeight="false" outlineLevel="0" collapsed="false">
      <c r="A78" s="10" t="n">
        <v>73</v>
      </c>
      <c r="B78" s="17" t="n">
        <f aca="false">'Tabla hombres'!D78</f>
        <v>60674.6668779127</v>
      </c>
      <c r="C78" s="17" t="n">
        <f aca="false">'Tabla mujeres'!D78</f>
        <v>74261.7858671849</v>
      </c>
      <c r="D78" s="17" t="n">
        <f aca="false">'Tabla ambos sexos'!D78</f>
        <v>67449.6807247396</v>
      </c>
      <c r="E78" s="48" t="n">
        <f aca="false">'Tabla hombres'!C78</f>
        <v>0.0337764097717009</v>
      </c>
      <c r="F78" s="48" t="n">
        <f aca="false">'Tabla mujeres'!C78</f>
        <v>0.0249865116223841</v>
      </c>
      <c r="G78" s="48" t="n">
        <f aca="false">'Tabla ambos sexos'!C78</f>
        <v>0.0291171569799918</v>
      </c>
      <c r="H78" s="17" t="n">
        <f aca="false">'Tabla hombres'!E78</f>
        <v>2049.37241122983</v>
      </c>
      <c r="I78" s="17" t="n">
        <f aca="false">'Tabla mujeres'!E78</f>
        <v>1855.54297566942</v>
      </c>
      <c r="J78" s="17" t="n">
        <f aca="false">'Tabla ambos sexos'!E78</f>
        <v>1963.94294191257</v>
      </c>
      <c r="K78" s="49" t="n">
        <f aca="false">'Tabla hombres'!H78</f>
        <v>12.6450833864847</v>
      </c>
      <c r="L78" s="49" t="n">
        <f aca="false">'Tabla mujeres'!H78</f>
        <v>13.8924777314752</v>
      </c>
      <c r="M78" s="49" t="n">
        <f aca="false">'Tabla ambos sexos'!H78</f>
        <v>13.297157596653</v>
      </c>
      <c r="N78" s="50" t="n">
        <f aca="false">IF(F78&gt;0,E78/F78,"")</f>
        <v>1.35178572672155</v>
      </c>
    </row>
    <row r="79" customFormat="false" ht="15" hidden="false" customHeight="false" outlineLevel="0" collapsed="false">
      <c r="A79" s="10" t="n">
        <v>74</v>
      </c>
      <c r="B79" s="17" t="n">
        <f aca="false">'Tabla hombres'!D79</f>
        <v>58625.2944666829</v>
      </c>
      <c r="C79" s="17" t="n">
        <f aca="false">'Tabla mujeres'!D79</f>
        <v>72406.2428915155</v>
      </c>
      <c r="D79" s="17" t="n">
        <f aca="false">'Tabla ambos sexos'!D79</f>
        <v>65485.737782827</v>
      </c>
      <c r="E79" s="48" t="n">
        <f aca="false">'Tabla hombres'!C79</f>
        <v>0.0344640050500752</v>
      </c>
      <c r="F79" s="48" t="n">
        <f aca="false">'Tabla mujeres'!C79</f>
        <v>0.0256824668778864</v>
      </c>
      <c r="G79" s="48" t="n">
        <f aca="false">'Tabla ambos sexos'!C79</f>
        <v>0.0298028445267967</v>
      </c>
      <c r="H79" s="17" t="n">
        <f aca="false">'Tabla hombres'!E79</f>
        <v>2020.4624445619</v>
      </c>
      <c r="I79" s="17" t="n">
        <f aca="false">'Tabla mujeres'!E79</f>
        <v>1859.57093481354</v>
      </c>
      <c r="J79" s="17" t="n">
        <f aca="false">'Tabla ambos sexos'!E79</f>
        <v>1951.66126186417</v>
      </c>
      <c r="K79" s="49" t="n">
        <f aca="false">'Tabla hombres'!H79</f>
        <v>12.0696407222009</v>
      </c>
      <c r="L79" s="49" t="n">
        <f aca="false">'Tabla mujeres'!H79</f>
        <v>13.2356845737178</v>
      </c>
      <c r="M79" s="49" t="n">
        <f aca="false">'Tabla ambos sexos'!H79</f>
        <v>12.6809493685628</v>
      </c>
      <c r="N79" s="50" t="n">
        <f aca="false">IF(F79&gt;0,E79/F79,"")</f>
        <v>1.3419273628948</v>
      </c>
    </row>
    <row r="80" customFormat="false" ht="15" hidden="false" customHeight="false" outlineLevel="0" collapsed="false">
      <c r="A80" s="10" t="n">
        <v>75</v>
      </c>
      <c r="B80" s="17" t="n">
        <f aca="false">'Tabla hombres'!D80</f>
        <v>56604.832022121</v>
      </c>
      <c r="C80" s="17" t="n">
        <f aca="false">'Tabla mujeres'!D80</f>
        <v>70546.671956702</v>
      </c>
      <c r="D80" s="17" t="n">
        <f aca="false">'Tabla ambos sexos'!D80</f>
        <v>63534.0765209628</v>
      </c>
      <c r="E80" s="48" t="n">
        <f aca="false">'Tabla hombres'!C80</f>
        <v>0.0388082019832139</v>
      </c>
      <c r="F80" s="48" t="n">
        <f aca="false">'Tabla mujeres'!C80</f>
        <v>0.0291548944783257</v>
      </c>
      <c r="G80" s="48" t="n">
        <f aca="false">'Tabla ambos sexos'!C80</f>
        <v>0.033678269571789</v>
      </c>
      <c r="H80" s="17" t="n">
        <f aca="false">'Tabla hombres'!E80</f>
        <v>2196.73175434036</v>
      </c>
      <c r="I80" s="17" t="n">
        <f aca="false">'Tabla mujeres'!E80</f>
        <v>2056.7807766947</v>
      </c>
      <c r="J80" s="17" t="n">
        <f aca="false">'Tabla ambos sexos'!E80</f>
        <v>2139.71775606766</v>
      </c>
      <c r="K80" s="49" t="n">
        <f aca="false">'Tabla hombres'!H80</f>
        <v>11.4826094342561</v>
      </c>
      <c r="L80" s="49" t="n">
        <f aca="false">'Tabla mujeres'!H80</f>
        <v>12.5713901174573</v>
      </c>
      <c r="M80" s="49" t="n">
        <f aca="false">'Tabla ambos sexos'!H80</f>
        <v>12.0551278931772</v>
      </c>
      <c r="N80" s="50" t="n">
        <f aca="false">IF(F80&gt;0,E80/F80,"")</f>
        <v>1.33110418259496</v>
      </c>
    </row>
    <row r="81" customFormat="false" ht="15" hidden="false" customHeight="false" outlineLevel="0" collapsed="false">
      <c r="A81" s="10" t="n">
        <v>76</v>
      </c>
      <c r="B81" s="17" t="n">
        <f aca="false">'Tabla hombres'!D81</f>
        <v>54408.1002677806</v>
      </c>
      <c r="C81" s="17" t="n">
        <f aca="false">'Tabla mujeres'!D81</f>
        <v>68489.8911800072</v>
      </c>
      <c r="D81" s="17" t="n">
        <f aca="false">'Tabla ambos sexos'!D81</f>
        <v>61394.3587648952</v>
      </c>
      <c r="E81" s="48" t="n">
        <f aca="false">'Tabla hombres'!C81</f>
        <v>0.0411944883810639</v>
      </c>
      <c r="F81" s="48" t="n">
        <f aca="false">'Tabla mujeres'!C81</f>
        <v>0.0317335171076379</v>
      </c>
      <c r="G81" s="48" t="n">
        <f aca="false">'Tabla ambos sexos'!C81</f>
        <v>0.0361794088747008</v>
      </c>
      <c r="H81" s="17" t="n">
        <f aca="false">'Tabla hombres'!E81</f>
        <v>2241.31385431685</v>
      </c>
      <c r="I81" s="17" t="n">
        <f aca="false">'Tabla mujeres'!E81</f>
        <v>2173.42513346102</v>
      </c>
      <c r="J81" s="17" t="n">
        <f aca="false">'Tabla ambos sexos'!E81</f>
        <v>2221.21160835521</v>
      </c>
      <c r="K81" s="49" t="n">
        <f aca="false">'Tabla hombres'!H81</f>
        <v>10.9260332401051</v>
      </c>
      <c r="L81" s="49" t="n">
        <f aca="false">'Tabla mujeres'!H81</f>
        <v>11.9338991346832</v>
      </c>
      <c r="M81" s="49" t="n">
        <f aca="false">'Tabla ambos sexos'!H81</f>
        <v>11.4578475049471</v>
      </c>
      <c r="N81" s="50" t="n">
        <f aca="false">IF(F81&gt;0,E81/F81,"")</f>
        <v>1.29813812447372</v>
      </c>
    </row>
    <row r="82" customFormat="false" ht="15" hidden="false" customHeight="false" outlineLevel="0" collapsed="false">
      <c r="A82" s="10" t="n">
        <v>77</v>
      </c>
      <c r="B82" s="17" t="n">
        <f aca="false">'Tabla hombres'!D82</f>
        <v>52166.7864134638</v>
      </c>
      <c r="C82" s="17" t="n">
        <f aca="false">'Tabla mujeres'!D82</f>
        <v>66316.4660465462</v>
      </c>
      <c r="D82" s="17" t="n">
        <f aca="false">'Tabla ambos sexos'!D82</f>
        <v>59173.14715654</v>
      </c>
      <c r="E82" s="48" t="n">
        <f aca="false">'Tabla hombres'!C82</f>
        <v>0.0451969170643769</v>
      </c>
      <c r="F82" s="48" t="n">
        <f aca="false">'Tabla mujeres'!C82</f>
        <v>0.0356284906233976</v>
      </c>
      <c r="G82" s="48" t="n">
        <f aca="false">'Tabla ambos sexos'!C82</f>
        <v>0.0401424200250326</v>
      </c>
      <c r="H82" s="17" t="n">
        <f aca="false">'Tabla hombres'!E82</f>
        <v>2357.77791904439</v>
      </c>
      <c r="I82" s="17" t="n">
        <f aca="false">'Tabla mujeres'!E82</f>
        <v>2362.75558871624</v>
      </c>
      <c r="J82" s="17" t="n">
        <f aca="false">'Tabla ambos sexos'!E82</f>
        <v>2375.35332736089</v>
      </c>
      <c r="K82" s="49" t="n">
        <f aca="false">'Tabla hombres'!H82</f>
        <v>10.3739813379887</v>
      </c>
      <c r="L82" s="49" t="n">
        <f aca="false">'Tabla mujeres'!H82</f>
        <v>11.3086284475409</v>
      </c>
      <c r="M82" s="49" t="n">
        <f aca="false">'Tabla ambos sexos'!H82</f>
        <v>10.8691776310292</v>
      </c>
      <c r="N82" s="50" t="n">
        <f aca="false">IF(F82&gt;0,E82/F82,"")</f>
        <v>1.268561094606</v>
      </c>
    </row>
    <row r="83" customFormat="false" ht="15" hidden="false" customHeight="false" outlineLevel="0" collapsed="false">
      <c r="A83" s="10" t="n">
        <v>78</v>
      </c>
      <c r="B83" s="17" t="n">
        <f aca="false">'Tabla hombres'!D83</f>
        <v>49809.0084944194</v>
      </c>
      <c r="C83" s="17" t="n">
        <f aca="false">'Tabla mujeres'!D83</f>
        <v>63953.71045783</v>
      </c>
      <c r="D83" s="17" t="n">
        <f aca="false">'Tabla ambos sexos'!D83</f>
        <v>56797.7938291791</v>
      </c>
      <c r="E83" s="48" t="n">
        <f aca="false">'Tabla hombres'!C83</f>
        <v>0.0489628284328364</v>
      </c>
      <c r="F83" s="48" t="n">
        <f aca="false">'Tabla mujeres'!C83</f>
        <v>0.038709948290744</v>
      </c>
      <c r="G83" s="48" t="n">
        <f aca="false">'Tabla ambos sexos'!C83</f>
        <v>0.0435080622514439</v>
      </c>
      <c r="H83" s="17" t="n">
        <f aca="false">'Tabla hombres'!E83</f>
        <v>2438.78993732195</v>
      </c>
      <c r="I83" s="17" t="n">
        <f aca="false">'Tabla mujeres'!E83</f>
        <v>2475.64482482382</v>
      </c>
      <c r="J83" s="17" t="n">
        <f aca="false">'Tabla ambos sexos'!E83</f>
        <v>2471.1619496646</v>
      </c>
      <c r="K83" s="49" t="n">
        <f aca="false">'Tabla hombres'!H83</f>
        <v>9.84137982423595</v>
      </c>
      <c r="L83" s="49" t="n">
        <f aca="false">'Tabla mujeres'!H83</f>
        <v>10.7079508181738</v>
      </c>
      <c r="M83" s="49" t="n">
        <f aca="false">'Tabla ambos sexos'!H83</f>
        <v>10.3028293440155</v>
      </c>
      <c r="N83" s="50" t="n">
        <f aca="false">IF(F83&gt;0,E83/F83,"")</f>
        <v>1.26486421694714</v>
      </c>
    </row>
    <row r="84" customFormat="false" ht="15" hidden="false" customHeight="false" outlineLevel="0" collapsed="false">
      <c r="A84" s="10" t="n">
        <v>79</v>
      </c>
      <c r="B84" s="17" t="n">
        <f aca="false">'Tabla hombres'!D84</f>
        <v>47370.2185570975</v>
      </c>
      <c r="C84" s="17" t="n">
        <f aca="false">'Tabla mujeres'!D84</f>
        <v>61478.0656330062</v>
      </c>
      <c r="D84" s="17" t="n">
        <f aca="false">'Tabla ambos sexos'!D84</f>
        <v>54326.6318795145</v>
      </c>
      <c r="E84" s="48" t="n">
        <f aca="false">'Tabla hombres'!C84</f>
        <v>0.0551604161853976</v>
      </c>
      <c r="F84" s="48" t="n">
        <f aca="false">'Tabla mujeres'!C84</f>
        <v>0.0446018654907551</v>
      </c>
      <c r="G84" s="48" t="n">
        <f aca="false">'Tabla ambos sexos'!C84</f>
        <v>0.0495396976620443</v>
      </c>
      <c r="H84" s="17" t="n">
        <f aca="false">'Tabla hombres'!E84</f>
        <v>2612.96097040274</v>
      </c>
      <c r="I84" s="17" t="n">
        <f aca="false">'Tabla mujeres'!E84</f>
        <v>2742.03641399516</v>
      </c>
      <c r="J84" s="17" t="n">
        <f aca="false">'Tabla ambos sexos'!E84</f>
        <v>2691.32491830832</v>
      </c>
      <c r="K84" s="49" t="n">
        <f aca="false">'Tabla hombres'!H84</f>
        <v>9.32230779564881</v>
      </c>
      <c r="L84" s="49" t="n">
        <f aca="false">'Tabla mujeres'!H84</f>
        <v>10.1190122325963</v>
      </c>
      <c r="M84" s="49" t="n">
        <f aca="false">'Tabla ambos sexos'!H84</f>
        <v>9.74873180540329</v>
      </c>
      <c r="N84" s="50" t="n">
        <f aca="false">IF(F84&gt;0,E84/F84,"")</f>
        <v>1.23672890311799</v>
      </c>
    </row>
    <row r="85" customFormat="false" ht="15" hidden="false" customHeight="false" outlineLevel="0" collapsed="false">
      <c r="A85" s="10" t="n">
        <v>80</v>
      </c>
      <c r="B85" s="17" t="n">
        <f aca="false">'Tabla hombres'!D85</f>
        <v>44757.2575866947</v>
      </c>
      <c r="C85" s="17" t="n">
        <f aca="false">'Tabla mujeres'!D85</f>
        <v>58736.029219011</v>
      </c>
      <c r="D85" s="17" t="n">
        <f aca="false">'Tabla ambos sexos'!D85</f>
        <v>51635.3069612062</v>
      </c>
      <c r="E85" s="48" t="n">
        <f aca="false">'Tabla hombres'!C85</f>
        <v>0.0588813939438355</v>
      </c>
      <c r="F85" s="48" t="n">
        <f aca="false">'Tabla mujeres'!C85</f>
        <v>0.0483567965599985</v>
      </c>
      <c r="G85" s="48" t="n">
        <f aca="false">'Tabla ambos sexos'!C85</f>
        <v>0.0532442607802998</v>
      </c>
      <c r="H85" s="17" t="n">
        <f aca="false">'Tabla hombres'!E85</f>
        <v>2635.36971580789</v>
      </c>
      <c r="I85" s="17" t="n">
        <f aca="false">'Tabla mujeres'!E85</f>
        <v>2840.28621568584</v>
      </c>
      <c r="J85" s="17" t="n">
        <f aca="false">'Tabla ambos sexos'!E85</f>
        <v>2749.28374931329</v>
      </c>
      <c r="K85" s="49" t="n">
        <f aca="false">'Tabla hombres'!H85</f>
        <v>8.83736048613723</v>
      </c>
      <c r="L85" s="49" t="n">
        <f aca="false">'Tabla mujeres'!H85</f>
        <v>9.56806679347065</v>
      </c>
      <c r="M85" s="49" t="n">
        <f aca="false">'Tabla ambos sexos'!H85</f>
        <v>9.23079231468493</v>
      </c>
      <c r="N85" s="50" t="n">
        <f aca="false">IF(F85&gt;0,E85/F85,"")</f>
        <v>1.21764463596712</v>
      </c>
    </row>
    <row r="86" customFormat="false" ht="15" hidden="false" customHeight="false" outlineLevel="0" collapsed="false">
      <c r="A86" s="10" t="n">
        <v>81</v>
      </c>
      <c r="B86" s="17" t="n">
        <f aca="false">'Tabla hombres'!D86</f>
        <v>42121.8878708868</v>
      </c>
      <c r="C86" s="17" t="n">
        <f aca="false">'Tabla mujeres'!D86</f>
        <v>55895.7430033252</v>
      </c>
      <c r="D86" s="17" t="n">
        <f aca="false">'Tabla ambos sexos'!D86</f>
        <v>48886.0232118929</v>
      </c>
      <c r="E86" s="48" t="n">
        <f aca="false">'Tabla hombres'!C86</f>
        <v>0.0665243550835337</v>
      </c>
      <c r="F86" s="48" t="n">
        <f aca="false">'Tabla mujeres'!C86</f>
        <v>0.0546298418729502</v>
      </c>
      <c r="G86" s="48" t="n">
        <f aca="false">'Tabla ambos sexos'!C86</f>
        <v>0.0600742681325097</v>
      </c>
      <c r="H86" s="17" t="n">
        <f aca="false">'Tabla hombres'!E86</f>
        <v>2802.13142551166</v>
      </c>
      <c r="I86" s="17" t="n">
        <f aca="false">'Tabla mujeres'!E86</f>
        <v>3053.57560164271</v>
      </c>
      <c r="J86" s="17" t="n">
        <f aca="false">'Tabla ambos sexos'!E86</f>
        <v>2936.79206636334</v>
      </c>
      <c r="K86" s="49" t="n">
        <f aca="false">'Tabla hombres'!H86</f>
        <v>8.35899017667457</v>
      </c>
      <c r="L86" s="49" t="n">
        <f aca="false">'Tabla mujeres'!H86</f>
        <v>9.02885152827381</v>
      </c>
      <c r="M86" s="49" t="n">
        <f aca="false">'Tabla ambos sexos'!H86</f>
        <v>8.7218002521756</v>
      </c>
      <c r="N86" s="50" t="n">
        <f aca="false">IF(F86&gt;0,E86/F86,"")</f>
        <v>1.21772922642255</v>
      </c>
    </row>
    <row r="87" customFormat="false" ht="15" hidden="false" customHeight="false" outlineLevel="0" collapsed="false">
      <c r="A87" s="10" t="n">
        <v>82</v>
      </c>
      <c r="B87" s="17" t="n">
        <f aca="false">'Tabla hombres'!D87</f>
        <v>39319.7564453752</v>
      </c>
      <c r="C87" s="17" t="n">
        <f aca="false">'Tabla mujeres'!D87</f>
        <v>52842.1674016825</v>
      </c>
      <c r="D87" s="17" t="n">
        <f aca="false">'Tabla ambos sexos'!D87</f>
        <v>45949.2311455295</v>
      </c>
      <c r="E87" s="48" t="n">
        <f aca="false">'Tabla hombres'!C87</f>
        <v>0.0709119698977418</v>
      </c>
      <c r="F87" s="48" t="n">
        <f aca="false">'Tabla mujeres'!C87</f>
        <v>0.0581882082166801</v>
      </c>
      <c r="G87" s="48" t="n">
        <f aca="false">'Tabla ambos sexos'!C87</f>
        <v>0.0639390775987579</v>
      </c>
      <c r="H87" s="17" t="n">
        <f aca="false">'Tabla hombres'!E87</f>
        <v>2788.24138544098</v>
      </c>
      <c r="I87" s="17" t="n">
        <f aca="false">'Tabla mujeres'!E87</f>
        <v>3074.79103938977</v>
      </c>
      <c r="J87" s="17" t="n">
        <f aca="false">'Tabla ambos sexos'!E87</f>
        <v>2937.95145581727</v>
      </c>
      <c r="K87" s="49" t="n">
        <f aca="false">'Tabla hombres'!H87</f>
        <v>7.91906290696834</v>
      </c>
      <c r="L87" s="49" t="n">
        <f aca="false">'Tabla mujeres'!H87</f>
        <v>8.52170589472701</v>
      </c>
      <c r="M87" s="49" t="n">
        <f aca="false">'Tabla ambos sexos'!H87</f>
        <v>8.24728712431367</v>
      </c>
      <c r="N87" s="50" t="n">
        <f aca="false">IF(F87&gt;0,E87/F87,"")</f>
        <v>1.21866563812519</v>
      </c>
    </row>
    <row r="88" customFormat="false" ht="15" hidden="false" customHeight="false" outlineLevel="0" collapsed="false">
      <c r="A88" s="10" t="n">
        <v>83</v>
      </c>
      <c r="B88" s="17" t="n">
        <f aca="false">'Tabla hombres'!D88</f>
        <v>36531.5150599342</v>
      </c>
      <c r="C88" s="17" t="n">
        <f aca="false">'Tabla mujeres'!D88</f>
        <v>49767.3763622927</v>
      </c>
      <c r="D88" s="17" t="n">
        <f aca="false">'Tabla ambos sexos'!D88</f>
        <v>43011.2796897122</v>
      </c>
      <c r="E88" s="48" t="n">
        <f aca="false">'Tabla hombres'!C88</f>
        <v>0.0802262109943116</v>
      </c>
      <c r="F88" s="48" t="n">
        <f aca="false">'Tabla mujeres'!C88</f>
        <v>0.0671264072300001</v>
      </c>
      <c r="G88" s="48" t="n">
        <f aca="false">'Tabla ambos sexos'!C88</f>
        <v>0.073023406574614</v>
      </c>
      <c r="H88" s="17" t="n">
        <f aca="false">'Tabla hombres'!E88</f>
        <v>2930.78503514015</v>
      </c>
      <c r="I88" s="17" t="n">
        <f aca="false">'Tabla mujeres'!E88</f>
        <v>3340.70517246394</v>
      </c>
      <c r="J88" s="17" t="n">
        <f aca="false">'Tabla ambos sexos'!E88</f>
        <v>3140.83016407629</v>
      </c>
      <c r="K88" s="49" t="n">
        <f aca="false">'Tabla hombres'!H88</f>
        <v>7.4853175012402</v>
      </c>
      <c r="L88" s="49" t="n">
        <f aca="false">'Tabla mujeres'!H88</f>
        <v>8.01731308177605</v>
      </c>
      <c r="M88" s="49" t="n">
        <f aca="false">'Tabla ambos sexos'!H88</f>
        <v>7.776477458796</v>
      </c>
      <c r="N88" s="50" t="n">
        <f aca="false">IF(F88&gt;0,E88/F88,"")</f>
        <v>1.19515127212792</v>
      </c>
    </row>
    <row r="89" customFormat="false" ht="15" hidden="false" customHeight="false" outlineLevel="0" collapsed="false">
      <c r="A89" s="10" t="n">
        <v>84</v>
      </c>
      <c r="B89" s="17" t="n">
        <f aca="false">'Tabla hombres'!D89</f>
        <v>33600.730024794</v>
      </c>
      <c r="C89" s="17" t="n">
        <f aca="false">'Tabla mujeres'!D89</f>
        <v>46426.6711898288</v>
      </c>
      <c r="D89" s="17" t="n">
        <f aca="false">'Tabla ambos sexos'!D89</f>
        <v>39870.449525636</v>
      </c>
      <c r="E89" s="48" t="n">
        <f aca="false">'Tabla hombres'!C89</f>
        <v>0.0812632293110557</v>
      </c>
      <c r="F89" s="48" t="n">
        <f aca="false">'Tabla mujeres'!C89</f>
        <v>0.0687319974044274</v>
      </c>
      <c r="G89" s="48" t="n">
        <f aca="false">'Tabla ambos sexos'!C89</f>
        <v>0.074323159089123</v>
      </c>
      <c r="H89" s="17" t="n">
        <f aca="false">'Tabla hombres'!E89</f>
        <v>2730.50382902371</v>
      </c>
      <c r="I89" s="17" t="n">
        <f aca="false">'Tabla mujeres'!E89</f>
        <v>3190.99784371551</v>
      </c>
      <c r="J89" s="17" t="n">
        <f aca="false">'Tabla ambos sexos'!E89</f>
        <v>2963.29776304869</v>
      </c>
      <c r="K89" s="49" t="n">
        <f aca="false">'Tabla hombres'!H89</f>
        <v>7.09460378708073</v>
      </c>
      <c r="L89" s="49" t="n">
        <f aca="false">'Tabla mujeres'!H89</f>
        <v>7.5582333341163</v>
      </c>
      <c r="M89" s="49" t="n">
        <f aca="false">'Tabla ambos sexos'!H89</f>
        <v>7.34968844996159</v>
      </c>
      <c r="N89" s="50" t="n">
        <f aca="false">IF(F89&gt;0,E89/F89,"")</f>
        <v>1.18232020572446</v>
      </c>
    </row>
    <row r="90" customFormat="false" ht="15" hidden="false" customHeight="false" outlineLevel="0" collapsed="false">
      <c r="A90" s="10" t="n">
        <v>85</v>
      </c>
      <c r="B90" s="17" t="n">
        <f aca="false">'Tabla hombres'!D90</f>
        <v>30870.2261957703</v>
      </c>
      <c r="C90" s="17" t="n">
        <f aca="false">'Tabla mujeres'!D90</f>
        <v>43235.6733461132</v>
      </c>
      <c r="D90" s="17" t="n">
        <f aca="false">'Tabla ambos sexos'!D90</f>
        <v>36907.1517625873</v>
      </c>
      <c r="E90" s="48" t="n">
        <f aca="false">'Tabla hombres'!C90</f>
        <v>0.0875256791677976</v>
      </c>
      <c r="F90" s="48" t="n">
        <f aca="false">'Tabla mujeres'!C90</f>
        <v>0.0748275158455537</v>
      </c>
      <c r="G90" s="48" t="n">
        <f aca="false">'Tabla ambos sexos'!C90</f>
        <v>0.0804541275477878</v>
      </c>
      <c r="H90" s="17" t="n">
        <f aca="false">'Tabla hombres'!E90</f>
        <v>2701.93751384833</v>
      </c>
      <c r="I90" s="17" t="n">
        <f aca="false">'Tabla mujeres'!E90</f>
        <v>3235.21803239947</v>
      </c>
      <c r="J90" s="17" t="n">
        <f aca="false">'Tabla ambos sexos'!E90</f>
        <v>2969.33269533276</v>
      </c>
      <c r="K90" s="49" t="n">
        <f aca="false">'Tabla hombres'!H90</f>
        <v>6.67790339678639</v>
      </c>
      <c r="L90" s="49" t="n">
        <f aca="false">'Tabla mujeres'!H90</f>
        <v>7.07916444508351</v>
      </c>
      <c r="M90" s="49" t="n">
        <f aca="false">'Tabla ambos sexos'!H90</f>
        <v>6.89965412035308</v>
      </c>
      <c r="N90" s="50" t="n">
        <f aca="false">IF(F90&gt;0,E90/F90,"")</f>
        <v>1.16969911641131</v>
      </c>
    </row>
    <row r="91" customFormat="false" ht="15" hidden="false" customHeight="false" outlineLevel="0" collapsed="false">
      <c r="A91" s="10" t="n">
        <v>86</v>
      </c>
      <c r="B91" s="17" t="n">
        <f aca="false">'Tabla hombres'!D91</f>
        <v>28168.288681922</v>
      </c>
      <c r="C91" s="17" t="n">
        <f aca="false">'Tabla mujeres'!D91</f>
        <v>40000.4553137138</v>
      </c>
      <c r="D91" s="17" t="n">
        <f aca="false">'Tabla ambos sexos'!D91</f>
        <v>33937.8190672545</v>
      </c>
      <c r="E91" s="48" t="n">
        <f aca="false">'Tabla hombres'!C91</f>
        <v>0.0952172673296204</v>
      </c>
      <c r="F91" s="48" t="n">
        <f aca="false">'Tabla mujeres'!C91</f>
        <v>0.0835879436695441</v>
      </c>
      <c r="G91" s="48" t="n">
        <f aca="false">'Tabla ambos sexos'!C91</f>
        <v>0.0887376064853089</v>
      </c>
      <c r="H91" s="17" t="n">
        <f aca="false">'Tabla hombres'!E91</f>
        <v>2682.10747364448</v>
      </c>
      <c r="I91" s="17" t="n">
        <f aca="false">'Tabla mujeres'!E91</f>
        <v>3343.55580551882</v>
      </c>
      <c r="J91" s="17" t="n">
        <f aca="false">'Tabla ambos sexos'!E91</f>
        <v>3011.56083335964</v>
      </c>
      <c r="K91" s="49" t="n">
        <f aca="false">'Tabla hombres'!H91</f>
        <v>6.27049562463519</v>
      </c>
      <c r="L91" s="49" t="n">
        <f aca="false">'Tabla mujeres'!H91</f>
        <v>6.61128417431965</v>
      </c>
      <c r="M91" s="49" t="n">
        <f aca="false">'Tabla ambos sexos'!H91</f>
        <v>6.45958114986336</v>
      </c>
      <c r="N91" s="50" t="n">
        <f aca="false">IF(F91&gt;0,E91/F91,"")</f>
        <v>1.13912680644534</v>
      </c>
    </row>
    <row r="92" customFormat="false" ht="15" hidden="false" customHeight="false" outlineLevel="0" collapsed="false">
      <c r="A92" s="10" t="n">
        <v>87</v>
      </c>
      <c r="B92" s="17" t="n">
        <f aca="false">'Tabla hombres'!D92</f>
        <v>25486.1812082775</v>
      </c>
      <c r="C92" s="17" t="n">
        <f aca="false">'Tabla mujeres'!D92</f>
        <v>36656.899508195</v>
      </c>
      <c r="D92" s="17" t="n">
        <f aca="false">'Tabla ambos sexos'!D92</f>
        <v>30926.2582338949</v>
      </c>
      <c r="E92" s="48" t="n">
        <f aca="false">'Tabla hombres'!C92</f>
        <v>0.105264470205478</v>
      </c>
      <c r="F92" s="48" t="n">
        <f aca="false">'Tabla mujeres'!C92</f>
        <v>0.0947177423800112</v>
      </c>
      <c r="G92" s="48" t="n">
        <f aca="false">'Tabla ambos sexos'!C92</f>
        <v>0.0993812765532262</v>
      </c>
      <c r="H92" s="17" t="n">
        <f aca="false">'Tabla hombres'!E92</f>
        <v>2682.78936245014</v>
      </c>
      <c r="I92" s="17" t="n">
        <f aca="false">'Tabla mujeres'!E92</f>
        <v>3472.05876406717</v>
      </c>
      <c r="J92" s="17" t="n">
        <f aca="false">'Tabla ambos sexos'!E92</f>
        <v>3073.49102229919</v>
      </c>
      <c r="K92" s="49" t="n">
        <f aca="false">'Tabla hombres'!H92</f>
        <v>5.87776939841029</v>
      </c>
      <c r="L92" s="49" t="n">
        <f aca="false">'Tabla mujeres'!H92</f>
        <v>6.16870774135247</v>
      </c>
      <c r="M92" s="49" t="n">
        <f aca="false">'Tabla ambos sexos'!H92</f>
        <v>6.03991780224527</v>
      </c>
      <c r="N92" s="50" t="n">
        <f aca="false">IF(F92&gt;0,E92/F92,"")</f>
        <v>1.11134902036783</v>
      </c>
    </row>
    <row r="93" customFormat="false" ht="15" hidden="false" customHeight="false" outlineLevel="0" collapsed="false">
      <c r="A93" s="10" t="n">
        <v>88</v>
      </c>
      <c r="B93" s="17" t="n">
        <f aca="false">'Tabla hombres'!D93</f>
        <v>22803.3918458274</v>
      </c>
      <c r="C93" s="17" t="n">
        <f aca="false">'Tabla mujeres'!D93</f>
        <v>33184.8407441278</v>
      </c>
      <c r="D93" s="17" t="n">
        <f aca="false">'Tabla ambos sexos'!D93</f>
        <v>27852.7672115957</v>
      </c>
      <c r="E93" s="48" t="n">
        <f aca="false">'Tabla hombres'!C93</f>
        <v>0.113654016272105</v>
      </c>
      <c r="F93" s="48" t="n">
        <f aca="false">'Tabla mujeres'!C93</f>
        <v>0.10357782114734</v>
      </c>
      <c r="G93" s="48" t="n">
        <f aca="false">'Tabla ambos sexos'!C93</f>
        <v>0.108002651304501</v>
      </c>
      <c r="H93" s="17" t="n">
        <f aca="false">'Tabla hombres'!E93</f>
        <v>2591.69706790484</v>
      </c>
      <c r="I93" s="17" t="n">
        <f aca="false">'Tabla mujeres'!E93</f>
        <v>3437.21349939824</v>
      </c>
      <c r="J93" s="17" t="n">
        <f aca="false">'Tabla ambos sexos'!E93</f>
        <v>3008.1727050194</v>
      </c>
      <c r="K93" s="49" t="n">
        <f aca="false">'Tabla hombres'!H93</f>
        <v>5.51045696670312</v>
      </c>
      <c r="L93" s="49" t="n">
        <f aca="false">'Tabla mujeres'!H93</f>
        <v>5.76181248294389</v>
      </c>
      <c r="M93" s="49" t="n">
        <f aca="false">'Tabla ambos sexos'!H93</f>
        <v>5.65123543184107</v>
      </c>
      <c r="N93" s="50" t="n">
        <f aca="false">IF(F93&gt;0,E93/F93,"")</f>
        <v>1.09728139685841</v>
      </c>
    </row>
    <row r="94" customFormat="false" ht="15" hidden="false" customHeight="false" outlineLevel="0" collapsed="false">
      <c r="A94" s="10" t="n">
        <v>89</v>
      </c>
      <c r="B94" s="17" t="n">
        <f aca="false">'Tabla hombres'!D94</f>
        <v>20211.6947779225</v>
      </c>
      <c r="C94" s="17" t="n">
        <f aca="false">'Tabla mujeres'!D94</f>
        <v>29747.6272447295</v>
      </c>
      <c r="D94" s="17" t="n">
        <f aca="false">'Tabla ambos sexos'!D94</f>
        <v>24844.5945065763</v>
      </c>
      <c r="E94" s="48" t="n">
        <f aca="false">'Tabla hombres'!C94</f>
        <v>0.128462978371183</v>
      </c>
      <c r="F94" s="48" t="n">
        <f aca="false">'Tabla mujeres'!C94</f>
        <v>0.118723276474155</v>
      </c>
      <c r="G94" s="48" t="n">
        <f aca="false">'Tabla ambos sexos'!C94</f>
        <v>0.122985437729487</v>
      </c>
      <c r="H94" s="17" t="n">
        <f aca="false">'Tabla hombres'!E94</f>
        <v>2596.45450910122</v>
      </c>
      <c r="I94" s="17" t="n">
        <f aca="false">'Tabla mujeres'!E94</f>
        <v>3531.73577382613</v>
      </c>
      <c r="J94" s="17" t="n">
        <f aca="false">'Tabla ambos sexos'!E94</f>
        <v>3055.52333060289</v>
      </c>
      <c r="K94" s="49" t="n">
        <f aca="false">'Tabla hombres'!H94</f>
        <v>5.15293582719196</v>
      </c>
      <c r="L94" s="49" t="n">
        <f aca="false">'Tabla mujeres'!H94</f>
        <v>5.36979283542331</v>
      </c>
      <c r="M94" s="49" t="n">
        <f aca="false">'Tabla ambos sexos'!H94</f>
        <v>5.27494477912349</v>
      </c>
      <c r="N94" s="50" t="n">
        <f aca="false">IF(F94&gt;0,E94/F94,"")</f>
        <v>1.08203700391598</v>
      </c>
    </row>
    <row r="95" customFormat="false" ht="15" hidden="false" customHeight="false" outlineLevel="0" collapsed="false">
      <c r="A95" s="10" t="n">
        <v>90</v>
      </c>
      <c r="B95" s="17" t="n">
        <f aca="false">'Tabla hombres'!D95</f>
        <v>17615.2402688213</v>
      </c>
      <c r="C95" s="17" t="n">
        <f aca="false">'Tabla mujeres'!D95</f>
        <v>26215.8914709034</v>
      </c>
      <c r="D95" s="17" t="n">
        <f aca="false">'Tabla ambos sexos'!D95</f>
        <v>21789.0711759734</v>
      </c>
      <c r="E95" s="48" t="n">
        <f aca="false">'Tabla hombres'!C95</f>
        <v>0.139254273812996</v>
      </c>
      <c r="F95" s="48" t="n">
        <f aca="false">'Tabla mujeres'!C95</f>
        <v>0.130183387691084</v>
      </c>
      <c r="G95" s="48" t="n">
        <f aca="false">'Tabla ambos sexos'!C95</f>
        <v>0.134136297072892</v>
      </c>
      <c r="H95" s="17" t="n">
        <f aca="false">'Tabla hombres'!E95</f>
        <v>2452.99749167615</v>
      </c>
      <c r="I95" s="17" t="n">
        <f aca="false">'Tabla mujeres'!E95</f>
        <v>3412.873563024</v>
      </c>
      <c r="J95" s="17" t="n">
        <f aca="false">'Tabla ambos sexos'!E95</f>
        <v>2922.70532420276</v>
      </c>
      <c r="K95" s="49" t="n">
        <f aca="false">'Tabla hombres'!H95</f>
        <v>4.83877014024726</v>
      </c>
      <c r="L95" s="49" t="n">
        <f aca="false">'Tabla mujeres'!H95</f>
        <v>5.02583848571429</v>
      </c>
      <c r="M95" s="49" t="n">
        <f aca="false">'Tabla ambos sexos'!H95</f>
        <v>4.94454446316328</v>
      </c>
      <c r="N95" s="50" t="n">
        <f aca="false">IF(F95&gt;0,E95/F95,"")</f>
        <v>1.06967775445694</v>
      </c>
    </row>
    <row r="96" customFormat="false" ht="15" hidden="false" customHeight="false" outlineLevel="0" collapsed="false">
      <c r="A96" s="10" t="n">
        <v>91</v>
      </c>
      <c r="B96" s="17" t="n">
        <f aca="false">'Tabla hombres'!D96</f>
        <v>15162.2427771451</v>
      </c>
      <c r="C96" s="17" t="n">
        <f aca="false">'Tabla mujeres'!D96</f>
        <v>22803.0179078794</v>
      </c>
      <c r="D96" s="17" t="n">
        <f aca="false">'Tabla ambos sexos'!D96</f>
        <v>18866.3658517706</v>
      </c>
      <c r="E96" s="48" t="n">
        <f aca="false">'Tabla hombres'!C96</f>
        <v>0.147113171016046</v>
      </c>
      <c r="F96" s="48" t="n">
        <f aca="false">'Tabla mujeres'!C96</f>
        <v>0.1378815234074</v>
      </c>
      <c r="G96" s="48" t="n">
        <f aca="false">'Tabla ambos sexos'!C96</f>
        <v>0.141858665753561</v>
      </c>
      <c r="H96" s="17" t="n">
        <f aca="false">'Tabla hombres'!E96</f>
        <v>2230.56561466096</v>
      </c>
      <c r="I96" s="17" t="n">
        <f aca="false">'Tabla mujeres'!E96</f>
        <v>3144.11484742465</v>
      </c>
      <c r="J96" s="17" t="n">
        <f aca="false">'Tabla ambos sexos'!E96</f>
        <v>2676.35748735073</v>
      </c>
      <c r="K96" s="49" t="n">
        <f aca="false">'Tabla hombres'!H96</f>
        <v>4.54071063990927</v>
      </c>
      <c r="L96" s="49" t="n">
        <f aca="false">'Tabla mujeres'!H96</f>
        <v>4.70320998894297</v>
      </c>
      <c r="M96" s="49" t="n">
        <f aca="false">'Tabla ambos sexos'!H96</f>
        <v>4.63307631228589</v>
      </c>
      <c r="N96" s="50" t="n">
        <f aca="false">IF(F96&gt;0,E96/F96,"")</f>
        <v>1.06695347846838</v>
      </c>
    </row>
    <row r="97" customFormat="false" ht="15" hidden="false" customHeight="false" outlineLevel="0" collapsed="false">
      <c r="A97" s="10" t="n">
        <v>92</v>
      </c>
      <c r="B97" s="17" t="n">
        <f aca="false">'Tabla hombres'!D97</f>
        <v>12931.6771624842</v>
      </c>
      <c r="C97" s="17" t="n">
        <f aca="false">'Tabla mujeres'!D97</f>
        <v>19658.9030604548</v>
      </c>
      <c r="D97" s="17" t="n">
        <f aca="false">'Tabla ambos sexos'!D97</f>
        <v>16190.0083644199</v>
      </c>
      <c r="E97" s="48" t="n">
        <f aca="false">'Tabla hombres'!C97</f>
        <v>0.154752010586298</v>
      </c>
      <c r="F97" s="48" t="n">
        <f aca="false">'Tabla mujeres'!C97</f>
        <v>0.146297449217879</v>
      </c>
      <c r="G97" s="48" t="n">
        <f aca="false">'Tabla ambos sexos'!C97</f>
        <v>0.149916559305741</v>
      </c>
      <c r="H97" s="17" t="n">
        <f aca="false">'Tabla hombres'!E97</f>
        <v>2001.20304114734</v>
      </c>
      <c r="I97" s="17" t="n">
        <f aca="false">'Tabla mujeres'!E97</f>
        <v>2876.04737216609</v>
      </c>
      <c r="J97" s="17" t="n">
        <f aca="false">'Tabla ambos sexos'!E97</f>
        <v>2427.15034912499</v>
      </c>
      <c r="K97" s="49" t="n">
        <f aca="false">'Tabla hombres'!H97</f>
        <v>4.23768676287682</v>
      </c>
      <c r="L97" s="49" t="n">
        <f aca="false">'Tabla mujeres'!H97</f>
        <v>4.37544357656683</v>
      </c>
      <c r="M97" s="49" t="n">
        <f aca="false">'Tabla ambos sexos'!H97</f>
        <v>4.31631189099553</v>
      </c>
      <c r="N97" s="50" t="n">
        <f aca="false">IF(F97&gt;0,E97/F97,"")</f>
        <v>1.0577902172158</v>
      </c>
    </row>
    <row r="98" customFormat="false" ht="15" hidden="false" customHeight="false" outlineLevel="0" collapsed="false">
      <c r="A98" s="10" t="n">
        <v>93</v>
      </c>
      <c r="B98" s="17" t="n">
        <f aca="false">'Tabla hombres'!D98</f>
        <v>10930.4741213369</v>
      </c>
      <c r="C98" s="17" t="n">
        <f aca="false">'Tabla mujeres'!D98</f>
        <v>16782.8556882887</v>
      </c>
      <c r="D98" s="17" t="n">
        <f aca="false">'Tabla ambos sexos'!D98</f>
        <v>13762.8580152949</v>
      </c>
      <c r="E98" s="48" t="n">
        <f aca="false">'Tabla hombres'!C98</f>
        <v>0.181390812402976</v>
      </c>
      <c r="F98" s="48" t="n">
        <f aca="false">'Tabla mujeres'!C98</f>
        <v>0.170425455594858</v>
      </c>
      <c r="G98" s="48" t="n">
        <f aca="false">'Tabla ambos sexos'!C98</f>
        <v>0.175027693711468</v>
      </c>
      <c r="H98" s="17" t="n">
        <f aca="false">'Tabla hombres'!E98</f>
        <v>1982.687580819</v>
      </c>
      <c r="I98" s="17" t="n">
        <f aca="false">'Tabla mujeres'!E98</f>
        <v>2860.22582685935</v>
      </c>
      <c r="J98" s="17" t="n">
        <f aca="false">'Tabla ambos sexos'!E98</f>
        <v>2408.88129729546</v>
      </c>
      <c r="K98" s="49" t="n">
        <f aca="false">'Tabla hombres'!H98</f>
        <v>3.92200018182762</v>
      </c>
      <c r="L98" s="49" t="n">
        <f aca="false">'Tabla mujeres'!H98</f>
        <v>4.03957127458075</v>
      </c>
      <c r="M98" s="49" t="n">
        <f aca="false">'Tabla ambos sexos'!H98</f>
        <v>3.98933799707798</v>
      </c>
      <c r="N98" s="50" t="n">
        <f aca="false">IF(F98&gt;0,E98/F98,"")</f>
        <v>1.06434107375477</v>
      </c>
    </row>
    <row r="99" customFormat="false" ht="15" hidden="false" customHeight="false" outlineLevel="0" collapsed="false">
      <c r="A99" s="10" t="n">
        <v>94</v>
      </c>
      <c r="B99" s="17" t="n">
        <f aca="false">'Tabla hombres'!D99</f>
        <v>8947.78654051786</v>
      </c>
      <c r="C99" s="17" t="n">
        <f aca="false">'Tabla mujeres'!D99</f>
        <v>13922.6298614293</v>
      </c>
      <c r="D99" s="17" t="n">
        <f aca="false">'Tabla ambos sexos'!D99</f>
        <v>11353.9767179994</v>
      </c>
      <c r="E99" s="48" t="n">
        <f aca="false">'Tabla hombres'!C99</f>
        <v>0.175256251168713</v>
      </c>
      <c r="F99" s="48" t="n">
        <f aca="false">'Tabla mujeres'!C99</f>
        <v>0.166403851517961</v>
      </c>
      <c r="G99" s="48" t="n">
        <f aca="false">'Tabla ambos sexos'!C99</f>
        <v>0.170143457982326</v>
      </c>
      <c r="H99" s="17" t="n">
        <f aca="false">'Tabla hombres'!E99</f>
        <v>1568.15552534902</v>
      </c>
      <c r="I99" s="17" t="n">
        <f aca="false">'Tabla mujeres'!E99</f>
        <v>2316.77923220082</v>
      </c>
      <c r="J99" s="17" t="n">
        <f aca="false">'Tabla ambos sexos'!E99</f>
        <v>1931.80486065125</v>
      </c>
      <c r="K99" s="49" t="n">
        <f aca="false">'Tabla hombres'!H99</f>
        <v>3.68026114741356</v>
      </c>
      <c r="L99" s="49" t="n">
        <f aca="false">'Tabla mujeres'!H99</f>
        <v>3.76673081816758</v>
      </c>
      <c r="M99" s="49" t="n">
        <f aca="false">'Tabla ambos sexos'!H99</f>
        <v>3.7296425837325</v>
      </c>
      <c r="N99" s="50" t="n">
        <f aca="false">IF(F99&gt;0,E99/F99,"")</f>
        <v>1.05319828579686</v>
      </c>
    </row>
    <row r="100" customFormat="false" ht="15" hidden="false" customHeight="false" outlineLevel="0" collapsed="false">
      <c r="A100" s="10" t="n">
        <v>95</v>
      </c>
      <c r="B100" s="17" t="n">
        <f aca="false">'Tabla hombres'!D100</f>
        <v>7379.63101516883</v>
      </c>
      <c r="C100" s="17" t="n">
        <f aca="false">'Tabla mujeres'!D100</f>
        <v>11605.8506292285</v>
      </c>
      <c r="D100" s="17" t="n">
        <f aca="false">'Tabla ambos sexos'!D100</f>
        <v>9422.17185734819</v>
      </c>
      <c r="E100" s="48" t="n">
        <f aca="false">'Tabla hombres'!C100</f>
        <v>0.181584130618728</v>
      </c>
      <c r="F100" s="48" t="n">
        <f aca="false">'Tabla mujeres'!C100</f>
        <v>0.174205045264211</v>
      </c>
      <c r="G100" s="48" t="n">
        <f aca="false">'Tabla ambos sexos'!C100</f>
        <v>0.177350007888015</v>
      </c>
      <c r="H100" s="17" t="n">
        <f aca="false">'Tabla hombres'!E100</f>
        <v>1340.02388217643</v>
      </c>
      <c r="I100" s="17" t="n">
        <f aca="false">'Tabla mujeres'!E100</f>
        <v>2021.79773419443</v>
      </c>
      <c r="J100" s="17" t="n">
        <f aca="false">'Tabla ambos sexos'!E100</f>
        <v>1671.02225322293</v>
      </c>
      <c r="K100" s="49" t="n">
        <f aca="false">'Tabla hombres'!H100</f>
        <v>3.35605971784592</v>
      </c>
      <c r="L100" s="49" t="n">
        <f aca="false">'Tabla mujeres'!H100</f>
        <v>3.41884106484445</v>
      </c>
      <c r="M100" s="49" t="n">
        <f aca="false">'Tabla ambos sexos'!H100</f>
        <v>3.39180830686723</v>
      </c>
      <c r="N100" s="50" t="n">
        <f aca="false">IF(F100&gt;0,E100/F100,"")</f>
        <v>1.04235862023011</v>
      </c>
    </row>
    <row r="101" customFormat="false" ht="15" hidden="false" customHeight="false" outlineLevel="0" collapsed="false">
      <c r="A101" s="10" t="n">
        <v>96</v>
      </c>
      <c r="B101" s="17" t="n">
        <f aca="false">'Tabla hombres'!D101</f>
        <v>6039.6071329924</v>
      </c>
      <c r="C101" s="17" t="n">
        <f aca="false">'Tabla mujeres'!D101</f>
        <v>9584.05289503408</v>
      </c>
      <c r="D101" s="17" t="n">
        <f aca="false">'Tabla ambos sexos'!D101</f>
        <v>7751.14960412526</v>
      </c>
      <c r="E101" s="48" t="n">
        <f aca="false">'Tabla hombres'!C101</f>
        <v>0.181198294994991</v>
      </c>
      <c r="F101" s="48" t="n">
        <f aca="false">'Tabla mujeres'!C101</f>
        <v>0.173203904506611</v>
      </c>
      <c r="G101" s="48" t="n">
        <f aca="false">'Tabla ambos sexos'!C101</f>
        <v>0.17656465589786</v>
      </c>
      <c r="H101" s="17" t="n">
        <f aca="false">'Tabla hombres'!E101</f>
        <v>1094.36651493781</v>
      </c>
      <c r="I101" s="17" t="n">
        <f aca="false">'Tabla mujeres'!E101</f>
        <v>1659.9953824178</v>
      </c>
      <c r="J101" s="17" t="n">
        <f aca="false">'Tabla ambos sexos'!E101</f>
        <v>1368.57906266521</v>
      </c>
      <c r="K101" s="49" t="n">
        <f aca="false">'Tabla hombres'!H101</f>
        <v>2.98974137073506</v>
      </c>
      <c r="L101" s="49" t="n">
        <f aca="false">'Tabla mujeres'!H101</f>
        <v>3.03458331042762</v>
      </c>
      <c r="M101" s="49" t="n">
        <f aca="false">'Tabla ambos sexos'!H101</f>
        <v>3.01523531829509</v>
      </c>
      <c r="N101" s="50" t="n">
        <f aca="false">IF(F101&gt;0,E101/F101,"")</f>
        <v>1.04615594845366</v>
      </c>
    </row>
    <row r="102" customFormat="false" ht="15" hidden="false" customHeight="false" outlineLevel="0" collapsed="false">
      <c r="A102" s="10" t="n">
        <v>97</v>
      </c>
      <c r="B102" s="17" t="n">
        <f aca="false">'Tabla hombres'!D102</f>
        <v>4945.24061805459</v>
      </c>
      <c r="C102" s="17" t="n">
        <f aca="false">'Tabla mujeres'!D102</f>
        <v>7924.05751261629</v>
      </c>
      <c r="D102" s="17" t="n">
        <f aca="false">'Tabla ambos sexos'!D102</f>
        <v>6382.57054146005</v>
      </c>
      <c r="E102" s="48" t="n">
        <f aca="false">'Tabla hombres'!C102</f>
        <v>0.182759942360859</v>
      </c>
      <c r="F102" s="48" t="n">
        <f aca="false">'Tabla mujeres'!C102</f>
        <v>0.175404455254156</v>
      </c>
      <c r="G102" s="48" t="n">
        <f aca="false">'Tabla ambos sexos'!C102</f>
        <v>0.17853402800681</v>
      </c>
      <c r="H102" s="17" t="n">
        <f aca="false">'Tabla hombres'!E102</f>
        <v>903.791890316237</v>
      </c>
      <c r="I102" s="17" t="n">
        <f aca="false">'Tabla mujeres'!E102</f>
        <v>1389.91499140306</v>
      </c>
      <c r="J102" s="17" t="n">
        <f aca="false">'Tabla ambos sexos'!E102</f>
        <v>1139.50602780447</v>
      </c>
      <c r="K102" s="49" t="n">
        <f aca="false">'Tabla hombres'!H102</f>
        <v>2.54071346641838</v>
      </c>
      <c r="L102" s="49" t="n">
        <f aca="false">'Tabla mujeres'!H102</f>
        <v>2.56554823401181</v>
      </c>
      <c r="M102" s="49" t="n">
        <f aca="false">'Tabla ambos sexos'!H102</f>
        <v>2.55456322261424</v>
      </c>
      <c r="N102" s="50" t="n">
        <f aca="false">IF(F102&gt;0,E102/F102,"")</f>
        <v>1.0419344371615</v>
      </c>
    </row>
    <row r="103" customFormat="false" ht="15" hidden="false" customHeight="false" outlineLevel="0" collapsed="false">
      <c r="A103" s="10" t="n">
        <v>98</v>
      </c>
      <c r="B103" s="17" t="n">
        <f aca="false">'Tabla hombres'!D103</f>
        <v>4041.44872773835</v>
      </c>
      <c r="C103" s="17" t="n">
        <f aca="false">'Tabla mujeres'!D103</f>
        <v>6534.14252121322</v>
      </c>
      <c r="D103" s="17" t="n">
        <f aca="false">'Tabla ambos sexos'!D103</f>
        <v>5243.06451365558</v>
      </c>
      <c r="E103" s="48" t="n">
        <f aca="false">'Tabla hombres'!C103</f>
        <v>0.171987813654392</v>
      </c>
      <c r="F103" s="48" t="n">
        <f aca="false">'Tabla mujeres'!C103</f>
        <v>0.173488096489256</v>
      </c>
      <c r="G103" s="48" t="n">
        <f aca="false">'Tabla ambos sexos'!C103</f>
        <v>0.173248055218107</v>
      </c>
      <c r="H103" s="17" t="n">
        <f aca="false">'Tabla hombres'!E103</f>
        <v>695.079930680045</v>
      </c>
      <c r="I103" s="17" t="n">
        <f aca="false">'Tabla mujeres'!E103</f>
        <v>1133.59594819479</v>
      </c>
      <c r="J103" s="17" t="n">
        <f aca="false">'Tabla ambos sexos'!E103</f>
        <v>908.350730373898</v>
      </c>
      <c r="K103" s="49" t="n">
        <f aca="false">'Tabla hombres'!H103</f>
        <v>1.99707958798988</v>
      </c>
      <c r="L103" s="49" t="n">
        <f aca="false">'Tabla mujeres'!H103</f>
        <v>2.0049228645159</v>
      </c>
      <c r="M103" s="49" t="n">
        <f aca="false">'Tabla ambos sexos'!H103</f>
        <v>2.00109352384869</v>
      </c>
      <c r="N103" s="50" t="n">
        <f aca="false">IF(F103&gt;0,E103/F103,"")</f>
        <v>0.991352243380249</v>
      </c>
    </row>
    <row r="104" customFormat="false" ht="15" hidden="false" customHeight="false" outlineLevel="0" collapsed="false">
      <c r="A104" s="10" t="n">
        <v>99</v>
      </c>
      <c r="B104" s="17" t="n">
        <f aca="false">'Tabla hombres'!D104</f>
        <v>3346.36879705831</v>
      </c>
      <c r="C104" s="17" t="n">
        <f aca="false">'Tabla mujeres'!D104</f>
        <v>5400.54657301844</v>
      </c>
      <c r="D104" s="17" t="n">
        <f aca="false">'Tabla ambos sexos'!D104</f>
        <v>4334.71378328169</v>
      </c>
      <c r="E104" s="48" t="n">
        <f aca="false">'Tabla hombres'!C104</f>
        <v>0.191959475141091</v>
      </c>
      <c r="F104" s="48" t="n">
        <f aca="false">'Tabla mujeres'!C104</f>
        <v>0.179187912329517</v>
      </c>
      <c r="G104" s="48" t="n">
        <f aca="false">'Tabla ambos sexos'!C104</f>
        <v>0.184348360686721</v>
      </c>
      <c r="H104" s="17" t="n">
        <f aca="false">'Tabla hombres'!E104</f>
        <v>642.367197911838</v>
      </c>
      <c r="I104" s="17" t="n">
        <f aca="false">'Tabla mujeres'!E104</f>
        <v>967.712665857501</v>
      </c>
      <c r="J104" s="17" t="n">
        <f aca="false">'Tabla ambos sexos'!E104</f>
        <v>799.097379994112</v>
      </c>
      <c r="K104" s="49" t="n">
        <f aca="false">'Tabla hombres'!H104</f>
        <v>1.30804052485891</v>
      </c>
      <c r="L104" s="49" t="n">
        <f aca="false">'Tabla mujeres'!H104</f>
        <v>1.32081208767048</v>
      </c>
      <c r="M104" s="49" t="n">
        <f aca="false">'Tabla ambos sexos'!H104</f>
        <v>1.31565163931328</v>
      </c>
      <c r="N104" s="50" t="n">
        <f aca="false">IF(F104&gt;0,E104/F104,"")</f>
        <v>1.07127468948959</v>
      </c>
    </row>
    <row r="105" customFormat="false" ht="15" hidden="false" customHeight="false" outlineLevel="0" collapsed="false">
      <c r="A105" s="10" t="n">
        <v>100</v>
      </c>
      <c r="B105" s="17" t="n">
        <f aca="false">'Tabla hombres'!D105</f>
        <v>2704.00159914647</v>
      </c>
      <c r="C105" s="17" t="n">
        <f aca="false">'Tabla mujeres'!D105</f>
        <v>4432.83390716094</v>
      </c>
      <c r="D105" s="17" t="n">
        <f aca="false">'Tabla ambos sexos'!D105</f>
        <v>3535.61640328757</v>
      </c>
      <c r="E105" s="48" t="n">
        <f aca="false">'Tabla hombres'!C105</f>
        <v>1</v>
      </c>
      <c r="F105" s="48" t="n">
        <f aca="false">'Tabla mujeres'!C105</f>
        <v>1</v>
      </c>
      <c r="G105" s="48" t="n">
        <f aca="false">'Tabla ambos sexos'!C105</f>
        <v>1</v>
      </c>
      <c r="H105" s="17" t="n">
        <f aca="false">'Tabla hombres'!E105</f>
        <v>2704.00159914647</v>
      </c>
      <c r="I105" s="17" t="n">
        <f aca="false">'Tabla mujeres'!E105</f>
        <v>4432.83390716094</v>
      </c>
      <c r="J105" s="17" t="n">
        <f aca="false">'Tabla ambos sexos'!E105</f>
        <v>3535.61640328757</v>
      </c>
      <c r="K105" s="49" t="n">
        <f aca="false">'Tabla hombres'!H105</f>
        <v>0.5</v>
      </c>
      <c r="L105" s="49" t="n">
        <f aca="false">'Tabla mujeres'!H105</f>
        <v>0.5</v>
      </c>
      <c r="M105" s="49" t="n">
        <f aca="false">'Tabla ambos sexos'!H105</f>
        <v>0.5</v>
      </c>
      <c r="N105" s="50" t="n">
        <f aca="false">IF(F105&gt;0,E105/F105,"")</f>
        <v>1</v>
      </c>
    </row>
  </sheetData>
  <mergeCells count="4">
    <mergeCell ref="B3:D3"/>
    <mergeCell ref="E3:G3"/>
    <mergeCell ref="H3:J3"/>
    <mergeCell ref="K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2026-10-07T02:06:33Z</dcterms:created>
  <dc:creator>openpyxl</dc:creator>
  <dc:description/>
  <dc:language>en-US</dc:language>
  <cp:lastModifiedBy/>
  <dcterms:modified xsi:type="dcterms:W3CDTF">2026-10-07T02:06:36Z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