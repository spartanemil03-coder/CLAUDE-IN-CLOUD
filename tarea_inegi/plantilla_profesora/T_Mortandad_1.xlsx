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ene\Documents\1_UAEM_2026\Demografia\Tabla de mortalidad\"/>
    </mc:Choice>
  </mc:AlternateContent>
  <xr:revisionPtr revIDLastSave="0" documentId="13_ncr:1_{A86F72FA-CCEB-475A-8B5A-361192B48627}" xr6:coauthVersionLast="47" xr6:coauthVersionMax="47" xr10:uidLastSave="{00000000-0000-0000-0000-000000000000}"/>
  <bookViews>
    <workbookView xWindow="-103" yWindow="-103" windowWidth="16663" windowHeight="8863" xr2:uid="{B34D9C34-C58D-4FFD-97BF-2BF9FEDFB4BE}"/>
  </bookViews>
  <sheets>
    <sheet name="Tabla de mortalida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9" i="2"/>
  <c r="H30" i="2"/>
  <c r="H31" i="2"/>
  <c r="H32" i="2"/>
  <c r="H27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5" i="2"/>
  <c r="G32" i="2"/>
  <c r="G31" i="2"/>
  <c r="G30" i="2"/>
  <c r="G29" i="2"/>
  <c r="G28" i="2"/>
  <c r="G27" i="2"/>
  <c r="F28" i="2"/>
  <c r="F29" i="2"/>
  <c r="F30" i="2"/>
  <c r="F31" i="2"/>
  <c r="F32" i="2"/>
  <c r="F27" i="2"/>
  <c r="D29" i="2"/>
  <c r="D30" i="2" s="1"/>
  <c r="E28" i="2"/>
  <c r="E29" i="2"/>
  <c r="D28" i="2"/>
  <c r="E27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6" i="2"/>
  <c r="F5" i="2"/>
  <c r="D7" i="2"/>
  <c r="E7" i="2" s="1"/>
  <c r="E6" i="2"/>
  <c r="D6" i="2"/>
  <c r="E5" i="2"/>
  <c r="L9" i="2"/>
  <c r="E30" i="2" l="1"/>
  <c r="D31" i="2" s="1"/>
  <c r="D8" i="2"/>
  <c r="D32" i="2" l="1"/>
  <c r="E32" i="2" s="1"/>
  <c r="E31" i="2"/>
  <c r="E8" i="2"/>
  <c r="D9" i="2" s="1"/>
  <c r="E9" i="2" l="1"/>
  <c r="D10" i="2" s="1"/>
  <c r="D11" i="2" l="1"/>
  <c r="E10" i="2"/>
  <c r="E11" i="2" l="1"/>
  <c r="D12" i="2" s="1"/>
  <c r="E12" i="2" l="1"/>
  <c r="D13" i="2" s="1"/>
  <c r="E13" i="2" l="1"/>
  <c r="D14" i="2" s="1"/>
  <c r="D15" i="2" l="1"/>
  <c r="E14" i="2"/>
  <c r="E15" i="2" l="1"/>
  <c r="D16" i="2" s="1"/>
  <c r="E16" i="2" l="1"/>
  <c r="D17" i="2" s="1"/>
  <c r="D18" i="2" l="1"/>
  <c r="E17" i="2"/>
  <c r="E18" i="2" l="1"/>
  <c r="D19" i="2" s="1"/>
  <c r="E19" i="2" l="1"/>
  <c r="D20" i="2" s="1"/>
  <c r="E20" i="2" l="1"/>
  <c r="D21" i="2" s="1"/>
  <c r="E21" i="2" l="1"/>
  <c r="D22" i="2" s="1"/>
  <c r="E22" i="2" l="1"/>
  <c r="D23" i="2" s="1"/>
  <c r="E23" i="2" l="1"/>
  <c r="D24" i="2"/>
  <c r="E24" i="2" l="1"/>
  <c r="D25" i="2" s="1"/>
  <c r="E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Selene</author>
    <author>tc={4731662B-3D7A-472F-BF5B-281F29FA4766}</author>
  </authors>
  <commentList>
    <comment ref="F4" authorId="0" shapeId="0" xr:uid="{052890C0-28EA-4FD9-A856-C5E5CCA81EBA}">
      <text>
        <r>
          <rPr>
            <b/>
            <sz val="9"/>
            <color indexed="81"/>
            <rFont val="Tahoma"/>
            <charset val="1"/>
          </rPr>
          <t>Selene:</t>
        </r>
        <r>
          <rPr>
            <sz val="9"/>
            <color indexed="81"/>
            <rFont val="Tahoma"/>
            <charset val="1"/>
          </rPr>
          <t xml:space="preserve">
Los que han sobrevivido a determina edad</t>
        </r>
      </text>
    </comment>
    <comment ref="G5" authorId="0" shapeId="0" xr:uid="{7CD2B4C6-41CC-41F4-B2C2-A62C657571C3}">
      <text>
        <r>
          <rPr>
            <b/>
            <sz val="9"/>
            <color indexed="81"/>
            <rFont val="Tahoma"/>
            <family val="2"/>
          </rPr>
          <t>Selene:</t>
        </r>
        <r>
          <rPr>
            <sz val="9"/>
            <color indexed="81"/>
            <rFont val="Tahoma"/>
            <family val="2"/>
          </rPr>
          <t xml:space="preserve">
Lxo+Lx1+…+Lx100</t>
        </r>
      </text>
    </comment>
    <comment ref="D6" authorId="1" shapeId="0" xr:uid="{4731662B-3D7A-472F-BF5B-281F29FA4766}">
      <text>
        <t>[Threaded comment]
Your version of Excel allows you to read this threaded comment; however, any edits to it will get removed if the file is opened in a newer version of Excel. Learn more: https://go.microsoft.com/fwlink/?linkid=870924
Comment:
    Lx=lx-1 - dx-x</t>
      </text>
    </comment>
  </commentList>
</comments>
</file>

<file path=xl/sharedStrings.xml><?xml version="1.0" encoding="utf-8"?>
<sst xmlns="http://schemas.openxmlformats.org/spreadsheetml/2006/main" count="51" uniqueCount="50">
  <si>
    <t>Tabla de mortalidad</t>
  </si>
  <si>
    <r>
      <t xml:space="preserve">Cuadro 4.1: </t>
    </r>
    <r>
      <rPr>
        <i/>
        <sz val="9.5"/>
        <rFont val="Cambria"/>
        <family val="1"/>
      </rPr>
      <t>Tabla de mortalidad de la generación francesa de 1899, ambos sexos</t>
    </r>
  </si>
  <si>
    <t>x</t>
  </si>
  <si>
    <t>qx</t>
  </si>
  <si>
    <t>lx</t>
  </si>
  <si>
    <t>dx</t>
  </si>
  <si>
    <t>Lx</t>
  </si>
  <si>
    <t>Tx</t>
  </si>
  <si>
    <t>ex</t>
  </si>
  <si>
    <t>Nota técnica  (qx)</t>
  </si>
  <si>
    <t>Probabilidad de muerte: defunciones xi/PI</t>
  </si>
  <si>
    <t>Supervivientes a una edad exacto</t>
  </si>
  <si>
    <t>Defunciones xi</t>
  </si>
  <si>
    <t>Años vividos entre aniversario</t>
  </si>
  <si>
    <t>Años vividos acumulados: Años que quedan por vivir</t>
  </si>
  <si>
    <t>La media de vida una generación hasta su extinción</t>
  </si>
  <si>
    <t>q(x): Probabilidad de muerte</t>
  </si>
  <si>
    <t>0</t>
  </si>
  <si>
    <t>1</t>
  </si>
  <si>
    <t>Nacimientos</t>
  </si>
  <si>
    <t>2</t>
  </si>
  <si>
    <t>Defunciones</t>
  </si>
  <si>
    <t>3</t>
  </si>
  <si>
    <t>4</t>
  </si>
  <si>
    <t>q(x)</t>
  </si>
  <si>
    <t>5</t>
  </si>
  <si>
    <t>6</t>
  </si>
  <si>
    <t>7</t>
  </si>
  <si>
    <t>Los que han sobrevivido a una determinada edad</t>
  </si>
  <si>
    <t>8</t>
  </si>
  <si>
    <t>9</t>
  </si>
  <si>
    <t>Lx= lx+1+(dx/2)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</si>
  <si>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</si>
  <si>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</si>
  <si>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</si>
  <si>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</si>
  <si>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</si>
  <si>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</si>
  <si>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</si>
  <si>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</si>
  <si>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</si>
  <si>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</si>
  <si>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</si>
  <si>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...                       ...                 ...                ...               ...                       ...              ...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</si>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</sst>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.5"/>
      <name val="Cambria"/>
      <family val="1"/>
    </font>
    <font>
      <b/>
      <sz val="9.5"/>
      <name val="Cambria"/>
      <family val="1"/>
    </font>
    <font>
      <b/>
      <i/>
      <sz val="9.5"/>
      <name val="Calibri"/>
      <family val="2"/>
    </font>
    <font>
      <b/>
      <sz val="9.5"/>
      <name val="Calibri"/>
      <family val="2"/>
    </font>
    <font>
      <sz val="9.5"/>
      <name val="Calibri"/>
      <family val="2"/>
    </font>
    <font>
      <sz val="9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.5"/>
      <color rgb="FFFF0000"/>
      <name val="Calibri"/>
      <family val="2"/>
    </font>
    <font>
      <sz val="9.5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badi Extra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vertical="top"/>
    </xf>
  </cellStyleXfs>
  <cellXfs count="34">
    <xf numFmtId="0" fontId="0" fillId="0" borderId="0" xfId="0"/>
    <xf numFmtId="0" fontId="6" fillId="0" borderId="2" xfId="2" applyNumberFormat="1" applyFont="1" applyFill="1" applyBorder="1" applyAlignment="1" applyProtection="1">
      <alignment horizontal="left" indent="2"/>
    </xf>
    <xf numFmtId="0" fontId="6" fillId="0" borderId="2" xfId="2" applyNumberFormat="1" applyFont="1" applyFill="1" applyBorder="1" applyAlignment="1" applyProtection="1">
      <alignment horizontal="justify"/>
    </xf>
    <xf numFmtId="0" fontId="7" fillId="0" borderId="3" xfId="2" applyNumberFormat="1" applyFont="1" applyFill="1" applyBorder="1" applyAlignment="1" applyProtection="1">
      <alignment horizontal="justify"/>
    </xf>
    <xf numFmtId="0" fontId="7" fillId="0" borderId="0" xfId="2" applyNumberFormat="1" applyFont="1" applyFill="1" applyBorder="1" applyAlignment="1" applyProtection="1">
      <alignment horizontal="justify"/>
    </xf>
    <xf numFmtId="0" fontId="7" fillId="0" borderId="0" xfId="2" applyNumberFormat="1" applyFont="1" applyFill="1" applyBorder="1" applyAlignment="1" applyProtection="1">
      <alignment horizontal="center"/>
    </xf>
    <xf numFmtId="0" fontId="7" fillId="0" borderId="1" xfId="2" applyNumberFormat="1" applyFont="1" applyFill="1" applyBorder="1" applyAlignment="1" applyProtection="1">
      <alignment horizontal="center" vertical="center"/>
    </xf>
    <xf numFmtId="0" fontId="7" fillId="0" borderId="1" xfId="2" applyNumberFormat="1" applyFont="1" applyFill="1" applyBorder="1" applyAlignment="1" applyProtection="1">
      <alignment horizontal="justify" vertical="center"/>
    </xf>
    <xf numFmtId="3" fontId="7" fillId="0" borderId="0" xfId="2" applyNumberFormat="1" applyFont="1" applyFill="1" applyBorder="1" applyAlignment="1" applyProtection="1">
      <alignment horizontal="justify"/>
    </xf>
    <xf numFmtId="3" fontId="7" fillId="2" borderId="3" xfId="2" applyNumberFormat="1" applyFont="1" applyFill="1" applyBorder="1" applyAlignment="1" applyProtection="1">
      <alignment horizontal="justify"/>
    </xf>
    <xf numFmtId="0" fontId="7" fillId="0" borderId="3" xfId="2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4" fontId="7" fillId="0" borderId="3" xfId="2" applyNumberFormat="1" applyFont="1" applyFill="1" applyBorder="1" applyAlignment="1" applyProtection="1">
      <alignment horizontal="justify"/>
    </xf>
    <xf numFmtId="0" fontId="7" fillId="2" borderId="0" xfId="2" applyNumberFormat="1" applyFont="1" applyFill="1" applyBorder="1" applyAlignment="1" applyProtection="1">
      <alignment horizontal="justify"/>
    </xf>
    <xf numFmtId="4" fontId="7" fillId="0" borderId="0" xfId="2" applyNumberFormat="1" applyFont="1" applyFill="1" applyBorder="1" applyAlignment="1" applyProtection="1">
      <alignment horizontal="justify"/>
    </xf>
    <xf numFmtId="3" fontId="7" fillId="2" borderId="0" xfId="2" applyNumberFormat="1" applyFont="1" applyFill="1" applyBorder="1" applyAlignment="1" applyProtection="1">
      <alignment horizontal="justify"/>
    </xf>
    <xf numFmtId="2" fontId="7" fillId="0" borderId="3" xfId="2" applyNumberFormat="1" applyFont="1" applyFill="1" applyBorder="1" applyAlignment="1" applyProtection="1">
      <alignment horizontal="justify"/>
    </xf>
    <xf numFmtId="0" fontId="5" fillId="3" borderId="2" xfId="2" applyNumberFormat="1" applyFont="1" applyFill="1" applyBorder="1" applyAlignment="1" applyProtection="1">
      <alignment horizontal="center"/>
    </xf>
    <xf numFmtId="0" fontId="6" fillId="3" borderId="2" xfId="2" applyNumberFormat="1" applyFont="1" applyFill="1" applyBorder="1" applyAlignment="1" applyProtection="1">
      <alignment horizontal="center"/>
    </xf>
    <xf numFmtId="0" fontId="6" fillId="3" borderId="2" xfId="2" applyNumberFormat="1" applyFont="1" applyFill="1" applyBorder="1" applyAlignment="1" applyProtection="1">
      <alignment horizontal="left" indent="1"/>
    </xf>
    <xf numFmtId="0" fontId="5" fillId="3" borderId="3" xfId="2" applyNumberFormat="1" applyFont="1" applyFill="1" applyBorder="1" applyAlignment="1" applyProtection="1">
      <alignment horizontal="center"/>
    </xf>
    <xf numFmtId="0" fontId="6" fillId="3" borderId="3" xfId="2" applyNumberFormat="1" applyFont="1" applyFill="1" applyBorder="1" applyAlignment="1" applyProtection="1">
      <alignment horizontal="center"/>
    </xf>
    <xf numFmtId="0" fontId="6" fillId="3" borderId="3" xfId="2" applyNumberFormat="1" applyFont="1" applyFill="1" applyBorder="1" applyAlignment="1" applyProtection="1">
      <alignment horizontal="left" indent="1"/>
    </xf>
    <xf numFmtId="0" fontId="6" fillId="0" borderId="3" xfId="2" applyNumberFormat="1" applyFont="1" applyFill="1" applyBorder="1" applyAlignment="1" applyProtection="1">
      <alignment horizontal="left" indent="2"/>
    </xf>
    <xf numFmtId="0" fontId="6" fillId="0" borderId="3" xfId="2" applyNumberFormat="1" applyFont="1" applyFill="1" applyBorder="1" applyAlignment="1" applyProtection="1">
      <alignment horizontal="justify"/>
    </xf>
    <xf numFmtId="164" fontId="0" fillId="0" borderId="0" xfId="1" applyFont="1"/>
    <xf numFmtId="0" fontId="11" fillId="0" borderId="2" xfId="2" applyNumberFormat="1" applyFont="1" applyFill="1" applyBorder="1" applyAlignment="1" applyProtection="1">
      <alignment horizontal="center"/>
    </xf>
    <xf numFmtId="0" fontId="11" fillId="0" borderId="3" xfId="2" applyNumberFormat="1" applyFont="1" applyFill="1" applyBorder="1" applyAlignment="1" applyProtection="1">
      <alignment horizontal="center"/>
    </xf>
    <xf numFmtId="4" fontId="12" fillId="0" borderId="3" xfId="2" applyNumberFormat="1" applyFont="1" applyFill="1" applyBorder="1" applyAlignment="1" applyProtection="1">
      <alignment horizontal="justify"/>
    </xf>
    <xf numFmtId="4" fontId="12" fillId="4" borderId="3" xfId="2" applyNumberFormat="1" applyFont="1" applyFill="1" applyBorder="1" applyAlignment="1" applyProtection="1">
      <alignment horizontal="justify"/>
    </xf>
    <xf numFmtId="0" fontId="4" fillId="0" borderId="1" xfId="2" applyNumberFormat="1" applyFont="1" applyFill="1" applyBorder="1" applyAlignment="1" applyProtection="1">
      <alignment horizontal="center" vertical="top" wrapText="1"/>
    </xf>
    <xf numFmtId="0" fontId="7" fillId="0" borderId="0" xfId="2" applyNumberFormat="1" applyFont="1" applyFill="1" applyBorder="1" applyAlignment="1" applyProtection="1">
      <alignment horizontal="center" vertical="center"/>
    </xf>
    <xf numFmtId="0" fontId="8" fillId="0" borderId="3" xfId="2" applyNumberFormat="1" applyFont="1" applyFill="1" applyBorder="1" applyAlignment="1" applyProtection="1">
      <alignment horizontal="left" wrapText="1"/>
    </xf>
    <xf numFmtId="0" fontId="1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Normal_Hoja1" xfId="2" xr:uid="{9AF47D48-9C4C-45FB-811C-4AACFB0EFB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ía Del Rosario Selene Venegas García" id="{67301685-4D13-4B89-A3DB-0ED7DB94F63F}" userId="S::mlrsvenegasg_ext@uaemex.mx::1b2545da-9f6e-444c-a179-5b43ce9902a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10-06T18:31:25.97" personId="{67301685-4D13-4B89-A3DB-0ED7DB94F63F}" id="{4731662B-3D7A-472F-BF5B-281F29FA4766}">
    <text>Lx=lx-1 - dx-x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6819-E802-4B14-A45B-61D02FA184B8}">
  <dimension ref="B1:N33"/>
  <sheetViews>
    <sheetView tabSelected="1" zoomScale="70" zoomScaleNormal="70" workbookViewId="0">
      <selection activeCell="K16" sqref="K16"/>
    </sheetView>
  </sheetViews>
  <sheetFormatPr defaultColWidth="11.42578125" defaultRowHeight="14.65"/>
  <cols>
    <col min="1" max="1" width="6.140625" customWidth="1"/>
    <col min="2" max="2" width="5.42578125" style="11" customWidth="1"/>
    <col min="3" max="3" width="35.28515625" customWidth="1"/>
    <col min="4" max="4" width="26.5703125" customWidth="1"/>
    <col min="5" max="5" width="12.5703125" customWidth="1"/>
  </cols>
  <sheetData>
    <row r="1" spans="2:14" ht="15"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2:14">
      <c r="B2" s="30" t="s">
        <v>1</v>
      </c>
      <c r="C2" s="30"/>
      <c r="D2" s="30"/>
      <c r="E2" s="30"/>
      <c r="F2" s="30"/>
      <c r="G2" s="30"/>
      <c r="H2" s="30"/>
    </row>
    <row r="3" spans="2:14">
      <c r="B3" s="17" t="s">
        <v>2</v>
      </c>
      <c r="C3" s="18" t="s">
        <v>3</v>
      </c>
      <c r="D3" s="19" t="s">
        <v>4</v>
      </c>
      <c r="E3" s="18" t="s">
        <v>5</v>
      </c>
      <c r="F3" s="26" t="s">
        <v>6</v>
      </c>
      <c r="G3" s="1" t="s">
        <v>7</v>
      </c>
      <c r="H3" s="2" t="s">
        <v>8</v>
      </c>
      <c r="K3" t="s">
        <v>9</v>
      </c>
    </row>
    <row r="4" spans="2:14" ht="62.65">
      <c r="B4" s="20"/>
      <c r="C4" s="21" t="s">
        <v>10</v>
      </c>
      <c r="D4" s="22" t="s">
        <v>11</v>
      </c>
      <c r="E4" s="21" t="s">
        <v>12</v>
      </c>
      <c r="F4" s="27" t="s">
        <v>13</v>
      </c>
      <c r="G4" s="23" t="s">
        <v>14</v>
      </c>
      <c r="H4" s="24" t="s">
        <v>15</v>
      </c>
      <c r="K4" t="s">
        <v>16</v>
      </c>
    </row>
    <row r="5" spans="2:14">
      <c r="B5" s="10" t="s">
        <v>17</v>
      </c>
      <c r="C5" s="3">
        <v>0.167268</v>
      </c>
      <c r="D5" s="9">
        <v>100000</v>
      </c>
      <c r="E5" s="12">
        <f>ROUND(D5*C5,0)</f>
        <v>16727</v>
      </c>
      <c r="F5" s="28">
        <f>ROUND(D6+(E5/2),0)</f>
        <v>91637</v>
      </c>
      <c r="G5" s="9">
        <v>5083531</v>
      </c>
      <c r="H5" s="16">
        <f>G5/D5</f>
        <v>50.83531</v>
      </c>
    </row>
    <row r="6" spans="2:14">
      <c r="B6" s="5" t="s">
        <v>18</v>
      </c>
      <c r="C6" s="4">
        <v>3.1985E-2</v>
      </c>
      <c r="D6" s="8">
        <f>D5-E5</f>
        <v>83273</v>
      </c>
      <c r="E6" s="12">
        <f>ROUND(D6*C6,0)</f>
        <v>2663</v>
      </c>
      <c r="F6" s="28">
        <f>ROUND(D7+(E6/2),0)</f>
        <v>81942</v>
      </c>
      <c r="G6" s="15">
        <v>4991895</v>
      </c>
      <c r="H6" s="16">
        <f t="shared" ref="H6:H32" si="0">G6/D6</f>
        <v>59.946141006088411</v>
      </c>
      <c r="K6" t="s">
        <v>19</v>
      </c>
      <c r="L6" s="25">
        <v>853103</v>
      </c>
    </row>
    <row r="7" spans="2:14">
      <c r="B7" s="5" t="s">
        <v>20</v>
      </c>
      <c r="C7" s="4">
        <v>1.7548000000000001E-2</v>
      </c>
      <c r="D7" s="8">
        <f t="shared" ref="D7:D25" si="1">D6-E6</f>
        <v>80610</v>
      </c>
      <c r="E7" s="12">
        <f t="shared" ref="E7:E25" si="2">ROUND(D7*C7,0)</f>
        <v>1415</v>
      </c>
      <c r="F7" s="28">
        <f t="shared" ref="F7:F25" si="3">ROUND(D8+(E7/2),0)</f>
        <v>79903</v>
      </c>
      <c r="G7" s="15">
        <v>4909953</v>
      </c>
      <c r="H7" s="16">
        <f t="shared" si="0"/>
        <v>60.909973948641607</v>
      </c>
      <c r="K7" t="s">
        <v>21</v>
      </c>
      <c r="L7" s="25">
        <v>142697</v>
      </c>
    </row>
    <row r="8" spans="2:14">
      <c r="B8" s="5" t="s">
        <v>22</v>
      </c>
      <c r="C8" s="4">
        <v>1.0625000000000001E-2</v>
      </c>
      <c r="D8" s="8">
        <f t="shared" si="1"/>
        <v>79195</v>
      </c>
      <c r="E8" s="12">
        <f t="shared" si="2"/>
        <v>841</v>
      </c>
      <c r="F8" s="28">
        <f t="shared" si="3"/>
        <v>78775</v>
      </c>
      <c r="G8" s="15">
        <v>4830051</v>
      </c>
      <c r="H8" s="16">
        <f t="shared" si="0"/>
        <v>60.989342761537976</v>
      </c>
    </row>
    <row r="9" spans="2:14">
      <c r="B9" s="5" t="s">
        <v>23</v>
      </c>
      <c r="C9" s="4">
        <v>8.6079999999999993E-3</v>
      </c>
      <c r="D9" s="8">
        <f t="shared" si="1"/>
        <v>78354</v>
      </c>
      <c r="E9" s="12">
        <f t="shared" si="2"/>
        <v>674</v>
      </c>
      <c r="F9" s="28">
        <f t="shared" si="3"/>
        <v>78017</v>
      </c>
      <c r="G9" s="15">
        <v>4751276</v>
      </c>
      <c r="H9" s="16">
        <f t="shared" si="0"/>
        <v>60.638588968016947</v>
      </c>
      <c r="K9" t="s">
        <v>24</v>
      </c>
      <c r="L9">
        <f>L7/L6</f>
        <v>0.1672681962201516</v>
      </c>
    </row>
    <row r="10" spans="2:14">
      <c r="B10" s="5" t="s">
        <v>25</v>
      </c>
      <c r="C10" s="4">
        <v>5.2350000000000001E-3</v>
      </c>
      <c r="D10" s="8">
        <f t="shared" si="1"/>
        <v>77680</v>
      </c>
      <c r="E10" s="12">
        <f t="shared" si="2"/>
        <v>407</v>
      </c>
      <c r="F10" s="28">
        <f t="shared" si="3"/>
        <v>77477</v>
      </c>
      <c r="G10" s="15">
        <v>4673260</v>
      </c>
      <c r="H10" s="16">
        <f t="shared" si="0"/>
        <v>60.16040164778579</v>
      </c>
    </row>
    <row r="11" spans="2:14">
      <c r="B11" s="5" t="s">
        <v>26</v>
      </c>
      <c r="C11" s="4">
        <v>4.3080000000000002E-3</v>
      </c>
      <c r="D11" s="8">
        <f t="shared" si="1"/>
        <v>77273</v>
      </c>
      <c r="E11" s="12">
        <f t="shared" si="2"/>
        <v>333</v>
      </c>
      <c r="F11" s="28">
        <f t="shared" si="3"/>
        <v>77107</v>
      </c>
      <c r="G11" s="15">
        <v>4595784</v>
      </c>
      <c r="H11" s="16">
        <f t="shared" si="0"/>
        <v>59.474641854205224</v>
      </c>
    </row>
    <row r="12" spans="2:14">
      <c r="B12" s="5" t="s">
        <v>27</v>
      </c>
      <c r="C12" s="4">
        <v>3.6340000000000001E-3</v>
      </c>
      <c r="D12" s="8">
        <f t="shared" si="1"/>
        <v>76940</v>
      </c>
      <c r="E12" s="12">
        <f t="shared" si="2"/>
        <v>280</v>
      </c>
      <c r="F12" s="28">
        <f t="shared" si="3"/>
        <v>76800</v>
      </c>
      <c r="G12" s="15">
        <v>4518678</v>
      </c>
      <c r="H12" s="16">
        <f t="shared" si="0"/>
        <v>58.729893423446839</v>
      </c>
      <c r="K12" t="s">
        <v>6</v>
      </c>
      <c r="L12" t="s">
        <v>28</v>
      </c>
    </row>
    <row r="13" spans="2:14">
      <c r="B13" s="5" t="s">
        <v>29</v>
      </c>
      <c r="C13" s="4">
        <v>2.9190000000000002E-3</v>
      </c>
      <c r="D13" s="8">
        <f t="shared" si="1"/>
        <v>76660</v>
      </c>
      <c r="E13" s="12">
        <f t="shared" si="2"/>
        <v>224</v>
      </c>
      <c r="F13" s="28">
        <f t="shared" si="3"/>
        <v>76548</v>
      </c>
      <c r="G13" s="15">
        <v>4441878</v>
      </c>
      <c r="H13" s="16">
        <f t="shared" si="0"/>
        <v>57.942577615444819</v>
      </c>
    </row>
    <row r="14" spans="2:14">
      <c r="B14" s="5" t="s">
        <v>30</v>
      </c>
      <c r="C14" s="4">
        <v>2.5500000000000002E-3</v>
      </c>
      <c r="D14" s="8">
        <f t="shared" si="1"/>
        <v>76436</v>
      </c>
      <c r="E14" s="12">
        <f t="shared" si="2"/>
        <v>195</v>
      </c>
      <c r="F14" s="28">
        <f t="shared" si="3"/>
        <v>76339</v>
      </c>
      <c r="G14" s="15">
        <v>4365330</v>
      </c>
      <c r="H14" s="16">
        <f t="shared" si="0"/>
        <v>57.110916322151866</v>
      </c>
      <c r="K14" t="s">
        <v>31</v>
      </c>
    </row>
    <row r="15" spans="2:14">
      <c r="B15" s="5" t="s">
        <v>32</v>
      </c>
      <c r="C15" s="4">
        <v>2.4229999999999998E-3</v>
      </c>
      <c r="D15" s="8">
        <f t="shared" si="1"/>
        <v>76241</v>
      </c>
      <c r="E15" s="12">
        <f t="shared" si="2"/>
        <v>185</v>
      </c>
      <c r="F15" s="28">
        <f t="shared" si="3"/>
        <v>76149</v>
      </c>
      <c r="G15" s="15">
        <v>4288991</v>
      </c>
      <c r="H15" s="16">
        <f t="shared" si="0"/>
        <v>56.25570231240409</v>
      </c>
    </row>
    <row r="16" spans="2:14">
      <c r="B16" s="5" t="s">
        <v>33</v>
      </c>
      <c r="C16" s="4">
        <v>2.3990000000000001E-3</v>
      </c>
      <c r="D16" s="8">
        <f t="shared" si="1"/>
        <v>76056</v>
      </c>
      <c r="E16" s="12">
        <f t="shared" si="2"/>
        <v>182</v>
      </c>
      <c r="F16" s="28">
        <f t="shared" si="3"/>
        <v>75965</v>
      </c>
      <c r="G16" s="15">
        <v>4212842</v>
      </c>
      <c r="H16" s="16">
        <f t="shared" si="0"/>
        <v>55.391316924371516</v>
      </c>
    </row>
    <row r="17" spans="2:8">
      <c r="B17" s="5" t="s">
        <v>34</v>
      </c>
      <c r="C17" s="4">
        <v>2.4919999999999999E-3</v>
      </c>
      <c r="D17" s="8">
        <f t="shared" si="1"/>
        <v>75874</v>
      </c>
      <c r="E17" s="12">
        <f t="shared" si="2"/>
        <v>189</v>
      </c>
      <c r="F17" s="28">
        <f t="shared" si="3"/>
        <v>75780</v>
      </c>
      <c r="G17" s="15">
        <v>4136876</v>
      </c>
      <c r="H17" s="16">
        <f t="shared" si="0"/>
        <v>54.52297229617524</v>
      </c>
    </row>
    <row r="18" spans="2:8">
      <c r="B18" s="5" t="s">
        <v>35</v>
      </c>
      <c r="C18" s="4">
        <v>2.526E-3</v>
      </c>
      <c r="D18" s="8">
        <f t="shared" si="1"/>
        <v>75685</v>
      </c>
      <c r="E18" s="12">
        <f t="shared" si="2"/>
        <v>191</v>
      </c>
      <c r="F18" s="28">
        <f t="shared" si="3"/>
        <v>75590</v>
      </c>
      <c r="G18" s="15">
        <v>4061097</v>
      </c>
      <c r="H18" s="16">
        <f t="shared" si="0"/>
        <v>53.657884653498051</v>
      </c>
    </row>
    <row r="19" spans="2:8">
      <c r="B19" s="5" t="s">
        <v>36</v>
      </c>
      <c r="C19" s="4">
        <v>3.0349999999999999E-3</v>
      </c>
      <c r="D19" s="8">
        <f t="shared" si="1"/>
        <v>75494</v>
      </c>
      <c r="E19" s="12">
        <f t="shared" si="2"/>
        <v>229</v>
      </c>
      <c r="F19" s="28">
        <f t="shared" si="3"/>
        <v>75380</v>
      </c>
      <c r="G19" s="15">
        <v>3985507</v>
      </c>
      <c r="H19" s="16">
        <f t="shared" si="0"/>
        <v>52.792367605372611</v>
      </c>
    </row>
    <row r="20" spans="2:8">
      <c r="B20" s="5" t="s">
        <v>37</v>
      </c>
      <c r="C20" s="4">
        <v>3.7699999999999999E-3</v>
      </c>
      <c r="D20" s="8">
        <f t="shared" si="1"/>
        <v>75265</v>
      </c>
      <c r="E20" s="12">
        <f t="shared" si="2"/>
        <v>284</v>
      </c>
      <c r="F20" s="28">
        <f t="shared" si="3"/>
        <v>75123</v>
      </c>
      <c r="G20" s="15">
        <v>3910128</v>
      </c>
      <c r="H20" s="16">
        <f t="shared" si="0"/>
        <v>51.951478110675616</v>
      </c>
    </row>
    <row r="21" spans="2:8">
      <c r="B21" s="5" t="s">
        <v>38</v>
      </c>
      <c r="C21" s="4">
        <v>4.5570000000000003E-3</v>
      </c>
      <c r="D21" s="8">
        <f t="shared" si="1"/>
        <v>74981</v>
      </c>
      <c r="E21" s="12">
        <f t="shared" si="2"/>
        <v>342</v>
      </c>
      <c r="F21" s="28">
        <f t="shared" si="3"/>
        <v>74810</v>
      </c>
      <c r="G21" s="15">
        <v>3835005</v>
      </c>
      <c r="H21" s="16">
        <f t="shared" si="0"/>
        <v>51.146357077126204</v>
      </c>
    </row>
    <row r="22" spans="2:8">
      <c r="B22" s="5" t="s">
        <v>39</v>
      </c>
      <c r="C22" s="4">
        <v>5.3109999999999997E-3</v>
      </c>
      <c r="D22" s="8">
        <f t="shared" si="1"/>
        <v>74639</v>
      </c>
      <c r="E22" s="12">
        <f t="shared" si="2"/>
        <v>396</v>
      </c>
      <c r="F22" s="28">
        <f t="shared" si="3"/>
        <v>74441</v>
      </c>
      <c r="G22" s="15">
        <v>3760194</v>
      </c>
      <c r="H22" s="16">
        <f t="shared" si="0"/>
        <v>50.378408070847684</v>
      </c>
    </row>
    <row r="23" spans="2:8">
      <c r="B23" s="5" t="s">
        <v>40</v>
      </c>
      <c r="C23" s="4">
        <v>8.9180000000000006E-3</v>
      </c>
      <c r="D23" s="8">
        <f t="shared" si="1"/>
        <v>74243</v>
      </c>
      <c r="E23" s="12">
        <f t="shared" si="2"/>
        <v>662</v>
      </c>
      <c r="F23" s="28">
        <f t="shared" si="3"/>
        <v>73912</v>
      </c>
      <c r="G23" s="15">
        <v>3685753</v>
      </c>
      <c r="H23" s="16">
        <f t="shared" si="0"/>
        <v>49.6444513287448</v>
      </c>
    </row>
    <row r="24" spans="2:8">
      <c r="B24" s="5" t="s">
        <v>41</v>
      </c>
      <c r="C24" s="4">
        <v>1.3710999999999999E-2</v>
      </c>
      <c r="D24" s="8">
        <f t="shared" si="1"/>
        <v>73581</v>
      </c>
      <c r="E24" s="12">
        <f t="shared" si="2"/>
        <v>1009</v>
      </c>
      <c r="F24" s="28">
        <f t="shared" si="3"/>
        <v>73077</v>
      </c>
      <c r="G24" s="15">
        <v>3611841</v>
      </c>
      <c r="H24" s="16">
        <f t="shared" si="0"/>
        <v>49.086598442532718</v>
      </c>
    </row>
    <row r="25" spans="2:8">
      <c r="B25" s="5" t="s">
        <v>42</v>
      </c>
      <c r="C25" s="4">
        <v>7.0400000000000003E-3</v>
      </c>
      <c r="D25" s="8">
        <f t="shared" si="1"/>
        <v>72572</v>
      </c>
      <c r="E25" s="12">
        <f t="shared" si="2"/>
        <v>511</v>
      </c>
      <c r="F25" s="29">
        <v>72317</v>
      </c>
      <c r="G25" s="15">
        <v>3538765</v>
      </c>
      <c r="H25" s="16">
        <f t="shared" si="0"/>
        <v>48.76212588877253</v>
      </c>
    </row>
    <row r="26" spans="2:8">
      <c r="B26" s="31" t="s">
        <v>43</v>
      </c>
      <c r="C26" s="31"/>
      <c r="D26" s="31"/>
      <c r="E26" s="31"/>
      <c r="F26" s="31"/>
      <c r="G26" s="31"/>
      <c r="H26" s="31"/>
    </row>
    <row r="27" spans="2:8">
      <c r="B27" s="5" t="s">
        <v>44</v>
      </c>
      <c r="C27" s="4">
        <v>0.25465900000000002</v>
      </c>
      <c r="D27" s="13">
        <v>2247</v>
      </c>
      <c r="E27" s="12">
        <f>ROUND(D27*C27,0)</f>
        <v>572</v>
      </c>
      <c r="F27" s="12">
        <f>D28+(E27/2)</f>
        <v>1961</v>
      </c>
      <c r="G27" s="14">
        <f>D27+D28+D29+D30+D31+D32</f>
        <v>6910</v>
      </c>
      <c r="H27" s="16">
        <f t="shared" si="0"/>
        <v>3.0752113929684022</v>
      </c>
    </row>
    <row r="28" spans="2:8">
      <c r="B28" s="5" t="s">
        <v>45</v>
      </c>
      <c r="C28" s="4">
        <v>0.28395199999999998</v>
      </c>
      <c r="D28" s="8">
        <f>D27-E27</f>
        <v>1675</v>
      </c>
      <c r="E28" s="12">
        <f t="shared" ref="E28:E32" si="4">ROUND(D28*C28,0)</f>
        <v>476</v>
      </c>
      <c r="F28" s="12">
        <f t="shared" ref="F28:F32" si="5">D29+(E28/2)</f>
        <v>1437</v>
      </c>
      <c r="G28" s="14">
        <f>D28+D29+D30+D31+D32</f>
        <v>4663</v>
      </c>
      <c r="H28" s="16">
        <f t="shared" si="0"/>
        <v>2.7838805970149254</v>
      </c>
    </row>
    <row r="29" spans="2:8">
      <c r="B29" s="5" t="s">
        <v>46</v>
      </c>
      <c r="C29" s="4">
        <v>0.30141099999999998</v>
      </c>
      <c r="D29" s="8">
        <f t="shared" ref="D29:D32" si="6">D28-E28</f>
        <v>1199</v>
      </c>
      <c r="E29" s="12">
        <f t="shared" si="4"/>
        <v>361</v>
      </c>
      <c r="F29" s="12">
        <f t="shared" si="5"/>
        <v>1018.5</v>
      </c>
      <c r="G29" s="14">
        <f>D29+D30+D31+D32</f>
        <v>2988</v>
      </c>
      <c r="H29" s="16">
        <f t="shared" si="0"/>
        <v>2.4920767306088405</v>
      </c>
    </row>
    <row r="30" spans="2:8">
      <c r="B30" s="5" t="s">
        <v>47</v>
      </c>
      <c r="C30" s="4">
        <v>0.31756099999999998</v>
      </c>
      <c r="D30" s="8">
        <f t="shared" si="6"/>
        <v>838</v>
      </c>
      <c r="E30" s="12">
        <f t="shared" si="4"/>
        <v>266</v>
      </c>
      <c r="F30" s="12">
        <f t="shared" si="5"/>
        <v>705</v>
      </c>
      <c r="G30" s="14">
        <f>D30+D31+D32</f>
        <v>1789</v>
      </c>
      <c r="H30" s="16">
        <f t="shared" si="0"/>
        <v>2.1348448687350836</v>
      </c>
    </row>
    <row r="31" spans="2:8">
      <c r="B31" s="5" t="s">
        <v>48</v>
      </c>
      <c r="C31" s="4">
        <v>0.33737499999999998</v>
      </c>
      <c r="D31" s="8">
        <f t="shared" si="6"/>
        <v>572</v>
      </c>
      <c r="E31" s="12">
        <f t="shared" si="4"/>
        <v>193</v>
      </c>
      <c r="F31" s="12">
        <f t="shared" si="5"/>
        <v>475.5</v>
      </c>
      <c r="G31" s="14">
        <f>D31+D32</f>
        <v>951</v>
      </c>
      <c r="H31" s="16">
        <f t="shared" si="0"/>
        <v>1.6625874125874125</v>
      </c>
    </row>
    <row r="32" spans="2:8">
      <c r="B32" s="6" t="s">
        <v>49</v>
      </c>
      <c r="C32" s="7">
        <v>1</v>
      </c>
      <c r="D32" s="8">
        <f t="shared" si="6"/>
        <v>379</v>
      </c>
      <c r="E32" s="12">
        <f t="shared" si="4"/>
        <v>379</v>
      </c>
      <c r="F32" s="12">
        <f t="shared" si="5"/>
        <v>189.5</v>
      </c>
      <c r="G32" s="14">
        <f>D32</f>
        <v>379</v>
      </c>
      <c r="H32" s="16">
        <f t="shared" si="0"/>
        <v>1</v>
      </c>
    </row>
    <row r="33" spans="2:8">
      <c r="B33" s="32"/>
      <c r="C33" s="32"/>
      <c r="D33" s="32"/>
      <c r="E33" s="32"/>
      <c r="F33" s="32"/>
      <c r="G33" s="32"/>
      <c r="H33" s="32"/>
    </row>
  </sheetData>
  <mergeCells count="4">
    <mergeCell ref="B2:H2"/>
    <mergeCell ref="B26:H26"/>
    <mergeCell ref="B33:H33"/>
    <mergeCell ref="B1:N1"/>
  </mergeCells>
  <pageMargins left="0.7" right="0.7" top="0.75" bottom="0.75" header="0.3" footer="0.3"/>
  <pageSetup orientation="portrait" horizontalDpi="4294967294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11B12AB28EF41BE7B6BBE4AD81B61" ma:contentTypeVersion="3" ma:contentTypeDescription="Create a new document." ma:contentTypeScope="" ma:versionID="e53434522368ebd29eeec6d9b031525e">
  <xsd:schema xmlns:xsd="http://www.w3.org/2001/XMLSchema" xmlns:xs="http://www.w3.org/2001/XMLSchema" xmlns:p="http://schemas.microsoft.com/office/2006/metadata/properties" xmlns:ns2="86a7330f-545b-45ef-8d13-aa5a6bfed9b2" targetNamespace="http://schemas.microsoft.com/office/2006/metadata/properties" ma:root="true" ma:fieldsID="9bac4236a2328365ba7ae87e46e5cbc0" ns2:_="">
    <xsd:import namespace="86a7330f-545b-45ef-8d13-aa5a6bfed9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7330f-545b-45ef-8d13-aa5a6bfed9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ADECCD-87F6-448B-98EE-970DA88933FE}"/>
</file>

<file path=customXml/itemProps2.xml><?xml version="1.0" encoding="utf-8"?>
<ds:datastoreItem xmlns:ds="http://schemas.openxmlformats.org/officeDocument/2006/customXml" ds:itemID="{F02FC8D0-AFFC-43D7-BFAB-312DC6D44D3B}"/>
</file>

<file path=customXml/itemProps3.xml><?xml version="1.0" encoding="utf-8"?>
<ds:datastoreItem xmlns:ds="http://schemas.openxmlformats.org/officeDocument/2006/customXml" ds:itemID="{8481C54D-AC6A-4DB2-B211-F1E5010ED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Selene</dc:creator>
  <cp:keywords/>
  <dc:description/>
  <cp:lastModifiedBy>VICTOR MANUEL MORENO CASTILLO</cp:lastModifiedBy>
  <cp:revision/>
  <dcterms:created xsi:type="dcterms:W3CDTF">2026-10-06T16:12:26Z</dcterms:created>
  <dcterms:modified xsi:type="dcterms:W3CDTF">2026-10-06T18:38:53Z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0x010100DBB11B12AB28EF41BE7B6BBE4AD81B61</vt:lpwstr>
  </property>
</Properties>
</file>